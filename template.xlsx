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정산서분리\"/>
    </mc:Choice>
  </mc:AlternateContent>
  <xr:revisionPtr revIDLastSave="0" documentId="8_{886599C7-AE28-497F-9DE4-F7CBE59D70F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수수료 정산 내역서" sheetId="6" r:id="rId1"/>
    <sheet name="정산리스트" sheetId="1" r:id="rId2"/>
    <sheet name="홈정산" sheetId="7" r:id="rId3"/>
    <sheet name="환수내용" sheetId="8" r:id="rId4"/>
    <sheet name="단말이상" sheetId="9" r:id="rId5"/>
    <sheet name="소급분" sheetId="10" r:id="rId6"/>
  </sheets>
  <definedNames>
    <definedName name="_xlnm._FilterDatabase" localSheetId="1" hidden="1">정산리스트!$A$9:$AZ$1219</definedName>
  </definedNames>
  <calcPr calcId="191029"/>
</workbook>
</file>

<file path=xl/calcChain.xml><?xml version="1.0" encoding="utf-8"?>
<calcChain xmlns="http://schemas.openxmlformats.org/spreadsheetml/2006/main">
  <c r="AZ11" i="1" l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78" i="1"/>
  <c r="AZ479" i="1"/>
  <c r="AZ480" i="1"/>
  <c r="AZ481" i="1"/>
  <c r="AZ482" i="1"/>
  <c r="AZ483" i="1"/>
  <c r="AZ484" i="1"/>
  <c r="AZ485" i="1"/>
  <c r="AZ486" i="1"/>
  <c r="AZ487" i="1"/>
  <c r="AZ488" i="1"/>
  <c r="AZ489" i="1"/>
  <c r="AZ490" i="1"/>
  <c r="AZ491" i="1"/>
  <c r="AZ492" i="1"/>
  <c r="AZ493" i="1"/>
  <c r="AZ494" i="1"/>
  <c r="AZ495" i="1"/>
  <c r="AZ496" i="1"/>
  <c r="AZ497" i="1"/>
  <c r="AZ498" i="1"/>
  <c r="AZ499" i="1"/>
  <c r="AZ500" i="1"/>
  <c r="AZ501" i="1"/>
  <c r="AZ502" i="1"/>
  <c r="AZ503" i="1"/>
  <c r="AZ504" i="1"/>
  <c r="AZ505" i="1"/>
  <c r="AZ506" i="1"/>
  <c r="AZ507" i="1"/>
  <c r="AZ508" i="1"/>
  <c r="AZ509" i="1"/>
  <c r="AZ510" i="1"/>
  <c r="AZ511" i="1"/>
  <c r="AZ512" i="1"/>
  <c r="AZ513" i="1"/>
  <c r="AZ514" i="1"/>
  <c r="AZ515" i="1"/>
  <c r="AZ516" i="1"/>
  <c r="AZ517" i="1"/>
  <c r="AZ518" i="1"/>
  <c r="AZ519" i="1"/>
  <c r="AZ520" i="1"/>
  <c r="AZ521" i="1"/>
  <c r="AZ522" i="1"/>
  <c r="AZ523" i="1"/>
  <c r="AZ524" i="1"/>
  <c r="AZ525" i="1"/>
  <c r="AZ526" i="1"/>
  <c r="AZ527" i="1"/>
  <c r="AZ528" i="1"/>
  <c r="AZ529" i="1"/>
  <c r="AZ530" i="1"/>
  <c r="AZ531" i="1"/>
  <c r="AZ532" i="1"/>
  <c r="AZ533" i="1"/>
  <c r="AZ534" i="1"/>
  <c r="AZ535" i="1"/>
  <c r="AZ536" i="1"/>
  <c r="AZ537" i="1"/>
  <c r="AZ538" i="1"/>
  <c r="AZ539" i="1"/>
  <c r="AZ540" i="1"/>
  <c r="AZ541" i="1"/>
  <c r="AZ542" i="1"/>
  <c r="AZ543" i="1"/>
  <c r="AZ544" i="1"/>
  <c r="AZ545" i="1"/>
  <c r="AZ546" i="1"/>
  <c r="AZ547" i="1"/>
  <c r="AZ548" i="1"/>
  <c r="AZ549" i="1"/>
  <c r="AZ550" i="1"/>
  <c r="AZ551" i="1"/>
  <c r="AZ552" i="1"/>
  <c r="AZ553" i="1"/>
  <c r="AZ554" i="1"/>
  <c r="AZ555" i="1"/>
  <c r="AZ556" i="1"/>
  <c r="AZ557" i="1"/>
  <c r="AZ558" i="1"/>
  <c r="AZ559" i="1"/>
  <c r="AZ560" i="1"/>
  <c r="AZ561" i="1"/>
  <c r="AZ562" i="1"/>
  <c r="AZ563" i="1"/>
  <c r="AZ564" i="1"/>
  <c r="AZ565" i="1"/>
  <c r="AZ566" i="1"/>
  <c r="AZ567" i="1"/>
  <c r="AZ568" i="1"/>
  <c r="AZ569" i="1"/>
  <c r="AZ570" i="1"/>
  <c r="AZ571" i="1"/>
  <c r="AZ572" i="1"/>
  <c r="AZ573" i="1"/>
  <c r="AZ574" i="1"/>
  <c r="AZ575" i="1"/>
  <c r="AZ576" i="1"/>
  <c r="AZ577" i="1"/>
  <c r="AZ578" i="1"/>
  <c r="AZ579" i="1"/>
  <c r="AZ580" i="1"/>
  <c r="AZ581" i="1"/>
  <c r="AZ582" i="1"/>
  <c r="AZ583" i="1"/>
  <c r="AZ584" i="1"/>
  <c r="AZ585" i="1"/>
  <c r="AZ586" i="1"/>
  <c r="AZ587" i="1"/>
  <c r="AZ588" i="1"/>
  <c r="AZ589" i="1"/>
  <c r="AZ590" i="1"/>
  <c r="AZ591" i="1"/>
  <c r="AZ592" i="1"/>
  <c r="AZ593" i="1"/>
  <c r="AZ594" i="1"/>
  <c r="AZ595" i="1"/>
  <c r="AZ596" i="1"/>
  <c r="AZ597" i="1"/>
  <c r="AZ598" i="1"/>
  <c r="AZ599" i="1"/>
  <c r="AZ600" i="1"/>
  <c r="AZ601" i="1"/>
  <c r="AZ602" i="1"/>
  <c r="AZ603" i="1"/>
  <c r="AZ604" i="1"/>
  <c r="AZ605" i="1"/>
  <c r="AZ606" i="1"/>
  <c r="AZ607" i="1"/>
  <c r="AZ608" i="1"/>
  <c r="AZ609" i="1"/>
  <c r="AZ610" i="1"/>
  <c r="AZ611" i="1"/>
  <c r="AZ612" i="1"/>
  <c r="AZ613" i="1"/>
  <c r="AZ614" i="1"/>
  <c r="AZ615" i="1"/>
  <c r="AZ616" i="1"/>
  <c r="AZ617" i="1"/>
  <c r="AZ618" i="1"/>
  <c r="AZ619" i="1"/>
  <c r="AZ620" i="1"/>
  <c r="AZ621" i="1"/>
  <c r="AZ622" i="1"/>
  <c r="AZ623" i="1"/>
  <c r="AZ624" i="1"/>
  <c r="AZ625" i="1"/>
  <c r="AZ626" i="1"/>
  <c r="AZ627" i="1"/>
  <c r="AZ628" i="1"/>
  <c r="AZ629" i="1"/>
  <c r="AZ630" i="1"/>
  <c r="AZ631" i="1"/>
  <c r="AZ632" i="1"/>
  <c r="AZ633" i="1"/>
  <c r="AZ634" i="1"/>
  <c r="AZ635" i="1"/>
  <c r="AZ636" i="1"/>
  <c r="AZ637" i="1"/>
  <c r="AZ638" i="1"/>
  <c r="AZ639" i="1"/>
  <c r="AZ640" i="1"/>
  <c r="AZ641" i="1"/>
  <c r="AZ642" i="1"/>
  <c r="AZ643" i="1"/>
  <c r="AZ644" i="1"/>
  <c r="AZ645" i="1"/>
  <c r="AZ646" i="1"/>
  <c r="AZ647" i="1"/>
  <c r="AZ648" i="1"/>
  <c r="AZ649" i="1"/>
  <c r="AZ650" i="1"/>
  <c r="AZ651" i="1"/>
  <c r="AZ652" i="1"/>
  <c r="AZ653" i="1"/>
  <c r="AZ654" i="1"/>
  <c r="AZ655" i="1"/>
  <c r="AZ656" i="1"/>
  <c r="AZ657" i="1"/>
  <c r="AZ658" i="1"/>
  <c r="AZ659" i="1"/>
  <c r="AZ660" i="1"/>
  <c r="AZ661" i="1"/>
  <c r="AZ662" i="1"/>
  <c r="AZ663" i="1"/>
  <c r="AZ664" i="1"/>
  <c r="AZ665" i="1"/>
  <c r="AZ666" i="1"/>
  <c r="AZ667" i="1"/>
  <c r="AZ668" i="1"/>
  <c r="AZ669" i="1"/>
  <c r="AZ670" i="1"/>
  <c r="AZ671" i="1"/>
  <c r="AZ672" i="1"/>
  <c r="AZ673" i="1"/>
  <c r="AZ674" i="1"/>
  <c r="AZ675" i="1"/>
  <c r="AZ676" i="1"/>
  <c r="AZ677" i="1"/>
  <c r="AZ678" i="1"/>
  <c r="AZ679" i="1"/>
  <c r="AZ680" i="1"/>
  <c r="AZ681" i="1"/>
  <c r="AZ682" i="1"/>
  <c r="AZ683" i="1"/>
  <c r="AZ684" i="1"/>
  <c r="AZ685" i="1"/>
  <c r="AZ686" i="1"/>
  <c r="AZ687" i="1"/>
  <c r="AZ688" i="1"/>
  <c r="AZ689" i="1"/>
  <c r="AZ690" i="1"/>
  <c r="AZ691" i="1"/>
  <c r="AZ692" i="1"/>
  <c r="AZ693" i="1"/>
  <c r="AZ694" i="1"/>
  <c r="AZ695" i="1"/>
  <c r="AZ696" i="1"/>
  <c r="AZ697" i="1"/>
  <c r="AZ698" i="1"/>
  <c r="AZ699" i="1"/>
  <c r="AZ700" i="1"/>
  <c r="AZ701" i="1"/>
  <c r="AZ702" i="1"/>
  <c r="AZ703" i="1"/>
  <c r="AZ704" i="1"/>
  <c r="AZ705" i="1"/>
  <c r="AZ706" i="1"/>
  <c r="AZ707" i="1"/>
  <c r="AZ708" i="1"/>
  <c r="AZ709" i="1"/>
  <c r="AZ710" i="1"/>
  <c r="AZ711" i="1"/>
  <c r="AZ712" i="1"/>
  <c r="AZ713" i="1"/>
  <c r="AZ714" i="1"/>
  <c r="AZ715" i="1"/>
  <c r="AZ716" i="1"/>
  <c r="AZ717" i="1"/>
  <c r="AZ718" i="1"/>
  <c r="AZ719" i="1"/>
  <c r="AZ720" i="1"/>
  <c r="AZ721" i="1"/>
  <c r="AZ722" i="1"/>
  <c r="AZ723" i="1"/>
  <c r="AZ724" i="1"/>
  <c r="AZ725" i="1"/>
  <c r="AZ726" i="1"/>
  <c r="AZ727" i="1"/>
  <c r="AZ728" i="1"/>
  <c r="AZ729" i="1"/>
  <c r="AZ730" i="1"/>
  <c r="AZ731" i="1"/>
  <c r="AZ732" i="1"/>
  <c r="AZ733" i="1"/>
  <c r="AZ734" i="1"/>
  <c r="AZ735" i="1"/>
  <c r="AZ736" i="1"/>
  <c r="AZ737" i="1"/>
  <c r="AZ738" i="1"/>
  <c r="AZ739" i="1"/>
  <c r="AZ740" i="1"/>
  <c r="AZ741" i="1"/>
  <c r="AZ742" i="1"/>
  <c r="AZ743" i="1"/>
  <c r="AZ744" i="1"/>
  <c r="AZ745" i="1"/>
  <c r="AZ746" i="1"/>
  <c r="AZ747" i="1"/>
  <c r="AZ748" i="1"/>
  <c r="AZ749" i="1"/>
  <c r="AZ750" i="1"/>
  <c r="AZ751" i="1"/>
  <c r="AZ752" i="1"/>
  <c r="AZ753" i="1"/>
  <c r="AZ754" i="1"/>
  <c r="AZ755" i="1"/>
  <c r="AZ756" i="1"/>
  <c r="AZ757" i="1"/>
  <c r="AZ758" i="1"/>
  <c r="AZ759" i="1"/>
  <c r="AZ760" i="1"/>
  <c r="AZ761" i="1"/>
  <c r="AZ762" i="1"/>
  <c r="AZ763" i="1"/>
  <c r="AZ764" i="1"/>
  <c r="AZ765" i="1"/>
  <c r="AZ766" i="1"/>
  <c r="AZ767" i="1"/>
  <c r="AZ768" i="1"/>
  <c r="AZ769" i="1"/>
  <c r="AZ770" i="1"/>
  <c r="AZ771" i="1"/>
  <c r="AZ772" i="1"/>
  <c r="AZ773" i="1"/>
  <c r="AZ774" i="1"/>
  <c r="AZ775" i="1"/>
  <c r="AZ776" i="1"/>
  <c r="AZ777" i="1"/>
  <c r="AZ778" i="1"/>
  <c r="AZ779" i="1"/>
  <c r="AZ780" i="1"/>
  <c r="AZ781" i="1"/>
  <c r="AZ782" i="1"/>
  <c r="AZ783" i="1"/>
  <c r="AZ784" i="1"/>
  <c r="AZ785" i="1"/>
  <c r="AZ786" i="1"/>
  <c r="AZ787" i="1"/>
  <c r="AZ788" i="1"/>
  <c r="AZ789" i="1"/>
  <c r="AZ790" i="1"/>
  <c r="AZ791" i="1"/>
  <c r="AZ792" i="1"/>
  <c r="AZ793" i="1"/>
  <c r="AZ794" i="1"/>
  <c r="AZ795" i="1"/>
  <c r="AZ796" i="1"/>
  <c r="AZ797" i="1"/>
  <c r="AZ798" i="1"/>
  <c r="AZ799" i="1"/>
  <c r="AZ800" i="1"/>
  <c r="AZ801" i="1"/>
  <c r="AZ802" i="1"/>
  <c r="AZ803" i="1"/>
  <c r="AZ804" i="1"/>
  <c r="AZ805" i="1"/>
  <c r="AZ806" i="1"/>
  <c r="AZ807" i="1"/>
  <c r="AZ808" i="1"/>
  <c r="AZ809" i="1"/>
  <c r="AZ810" i="1"/>
  <c r="AZ811" i="1"/>
  <c r="AZ812" i="1"/>
  <c r="AZ813" i="1"/>
  <c r="AZ814" i="1"/>
  <c r="AZ815" i="1"/>
  <c r="AZ816" i="1"/>
  <c r="AZ817" i="1"/>
  <c r="AZ818" i="1"/>
  <c r="AZ819" i="1"/>
  <c r="AZ820" i="1"/>
  <c r="AZ821" i="1"/>
  <c r="AZ822" i="1"/>
  <c r="AZ823" i="1"/>
  <c r="AZ824" i="1"/>
  <c r="AZ825" i="1"/>
  <c r="AZ826" i="1"/>
  <c r="AZ827" i="1"/>
  <c r="AZ828" i="1"/>
  <c r="AZ829" i="1"/>
  <c r="AZ830" i="1"/>
  <c r="AZ831" i="1"/>
  <c r="AZ832" i="1"/>
  <c r="AZ833" i="1"/>
  <c r="AZ834" i="1"/>
  <c r="AZ835" i="1"/>
  <c r="AZ836" i="1"/>
  <c r="AZ837" i="1"/>
  <c r="AZ838" i="1"/>
  <c r="AZ839" i="1"/>
  <c r="AZ840" i="1"/>
  <c r="AZ841" i="1"/>
  <c r="AZ842" i="1"/>
  <c r="AZ843" i="1"/>
  <c r="AZ844" i="1"/>
  <c r="AZ845" i="1"/>
  <c r="AZ846" i="1"/>
  <c r="AZ847" i="1"/>
  <c r="AZ848" i="1"/>
  <c r="AZ849" i="1"/>
  <c r="AZ850" i="1"/>
  <c r="AZ851" i="1"/>
  <c r="AZ852" i="1"/>
  <c r="AZ853" i="1"/>
  <c r="AZ854" i="1"/>
  <c r="AZ855" i="1"/>
  <c r="AZ856" i="1"/>
  <c r="AZ857" i="1"/>
  <c r="AZ858" i="1"/>
  <c r="AZ859" i="1"/>
  <c r="AZ860" i="1"/>
  <c r="AZ861" i="1"/>
  <c r="AZ862" i="1"/>
  <c r="AZ863" i="1"/>
  <c r="AZ864" i="1"/>
  <c r="AZ865" i="1"/>
  <c r="AZ866" i="1"/>
  <c r="AZ867" i="1"/>
  <c r="AZ868" i="1"/>
  <c r="AZ869" i="1"/>
  <c r="AZ870" i="1"/>
  <c r="AZ871" i="1"/>
  <c r="AZ872" i="1"/>
  <c r="AZ873" i="1"/>
  <c r="AZ874" i="1"/>
  <c r="AZ875" i="1"/>
  <c r="AZ876" i="1"/>
  <c r="AZ877" i="1"/>
  <c r="AZ878" i="1"/>
  <c r="AZ879" i="1"/>
  <c r="AZ880" i="1"/>
  <c r="AZ881" i="1"/>
  <c r="AZ882" i="1"/>
  <c r="AZ883" i="1"/>
  <c r="AZ884" i="1"/>
  <c r="AZ885" i="1"/>
  <c r="AZ886" i="1"/>
  <c r="AZ887" i="1"/>
  <c r="AZ888" i="1"/>
  <c r="AZ889" i="1"/>
  <c r="AZ890" i="1"/>
  <c r="AZ891" i="1"/>
  <c r="AZ892" i="1"/>
  <c r="AZ893" i="1"/>
  <c r="AZ894" i="1"/>
  <c r="AZ895" i="1"/>
  <c r="AZ896" i="1"/>
  <c r="AZ897" i="1"/>
  <c r="AZ898" i="1"/>
  <c r="AZ899" i="1"/>
  <c r="AZ900" i="1"/>
  <c r="AZ901" i="1"/>
  <c r="AZ902" i="1"/>
  <c r="AZ903" i="1"/>
  <c r="AZ904" i="1"/>
  <c r="AZ905" i="1"/>
  <c r="AZ906" i="1"/>
  <c r="AZ907" i="1"/>
  <c r="AZ908" i="1"/>
  <c r="AZ909" i="1"/>
  <c r="AZ910" i="1"/>
  <c r="AZ911" i="1"/>
  <c r="AZ912" i="1"/>
  <c r="AZ913" i="1"/>
  <c r="AZ914" i="1"/>
  <c r="AZ915" i="1"/>
  <c r="AZ916" i="1"/>
  <c r="AZ917" i="1"/>
  <c r="AZ918" i="1"/>
  <c r="AZ919" i="1"/>
  <c r="AZ920" i="1"/>
  <c r="AZ921" i="1"/>
  <c r="AZ922" i="1"/>
  <c r="AZ923" i="1"/>
  <c r="AZ924" i="1"/>
  <c r="AZ925" i="1"/>
  <c r="AZ926" i="1"/>
  <c r="AZ927" i="1"/>
  <c r="AZ928" i="1"/>
  <c r="AZ929" i="1"/>
  <c r="AZ930" i="1"/>
  <c r="AZ931" i="1"/>
  <c r="AZ932" i="1"/>
  <c r="AZ933" i="1"/>
  <c r="AZ934" i="1"/>
  <c r="AZ935" i="1"/>
  <c r="AZ936" i="1"/>
  <c r="AZ937" i="1"/>
  <c r="AZ938" i="1"/>
  <c r="AZ939" i="1"/>
  <c r="AZ940" i="1"/>
  <c r="AZ941" i="1"/>
  <c r="AZ942" i="1"/>
  <c r="AZ943" i="1"/>
  <c r="AZ944" i="1"/>
  <c r="AZ945" i="1"/>
  <c r="AZ946" i="1"/>
  <c r="AZ947" i="1"/>
  <c r="AZ948" i="1"/>
  <c r="AZ949" i="1"/>
  <c r="AZ950" i="1"/>
  <c r="AZ951" i="1"/>
  <c r="AZ952" i="1"/>
  <c r="AZ953" i="1"/>
  <c r="AZ954" i="1"/>
  <c r="AZ955" i="1"/>
  <c r="AZ956" i="1"/>
  <c r="AZ957" i="1"/>
  <c r="AZ958" i="1"/>
  <c r="AZ959" i="1"/>
  <c r="AZ960" i="1"/>
  <c r="AZ961" i="1"/>
  <c r="AZ962" i="1"/>
  <c r="AZ963" i="1"/>
  <c r="AZ964" i="1"/>
  <c r="AZ965" i="1"/>
  <c r="AZ966" i="1"/>
  <c r="AZ967" i="1"/>
  <c r="AZ968" i="1"/>
  <c r="AZ969" i="1"/>
  <c r="AZ970" i="1"/>
  <c r="AZ971" i="1"/>
  <c r="AZ972" i="1"/>
  <c r="AZ973" i="1"/>
  <c r="AZ974" i="1"/>
  <c r="AZ975" i="1"/>
  <c r="AZ976" i="1"/>
  <c r="AZ977" i="1"/>
  <c r="AZ978" i="1"/>
  <c r="AZ979" i="1"/>
  <c r="AZ980" i="1"/>
  <c r="AZ981" i="1"/>
  <c r="AZ982" i="1"/>
  <c r="AZ983" i="1"/>
  <c r="AZ984" i="1"/>
  <c r="AZ985" i="1"/>
  <c r="AZ986" i="1"/>
  <c r="AZ987" i="1"/>
  <c r="AZ988" i="1"/>
  <c r="AZ989" i="1"/>
  <c r="AZ990" i="1"/>
  <c r="AZ991" i="1"/>
  <c r="AZ992" i="1"/>
  <c r="AZ993" i="1"/>
  <c r="AZ994" i="1"/>
  <c r="AZ995" i="1"/>
  <c r="AZ996" i="1"/>
  <c r="AZ997" i="1"/>
  <c r="AZ998" i="1"/>
  <c r="AZ999" i="1"/>
  <c r="AZ1000" i="1"/>
  <c r="AZ1001" i="1"/>
  <c r="AZ1002" i="1"/>
  <c r="AZ1003" i="1"/>
  <c r="AZ1004" i="1"/>
  <c r="AZ1005" i="1"/>
  <c r="AZ1006" i="1"/>
  <c r="AZ1007" i="1"/>
  <c r="AZ1008" i="1"/>
  <c r="AZ1009" i="1"/>
  <c r="AZ1010" i="1"/>
  <c r="AZ1011" i="1"/>
  <c r="AZ1012" i="1"/>
  <c r="AZ1013" i="1"/>
  <c r="AZ1014" i="1"/>
  <c r="AZ1015" i="1"/>
  <c r="AZ1016" i="1"/>
  <c r="AZ1017" i="1"/>
  <c r="AZ1018" i="1"/>
  <c r="AZ1019" i="1"/>
  <c r="AZ1020" i="1"/>
  <c r="AZ1021" i="1"/>
  <c r="AZ1022" i="1"/>
  <c r="AZ1023" i="1"/>
  <c r="AZ1024" i="1"/>
  <c r="AZ1025" i="1"/>
  <c r="AZ1026" i="1"/>
  <c r="AZ1027" i="1"/>
  <c r="AZ1028" i="1"/>
  <c r="AZ1029" i="1"/>
  <c r="AZ1030" i="1"/>
  <c r="AZ1031" i="1"/>
  <c r="AZ1032" i="1"/>
  <c r="AZ1033" i="1"/>
  <c r="AZ1034" i="1"/>
  <c r="AZ1035" i="1"/>
  <c r="AZ1036" i="1"/>
  <c r="AZ1037" i="1"/>
  <c r="AZ1038" i="1"/>
  <c r="AZ1039" i="1"/>
  <c r="AZ1040" i="1"/>
  <c r="AZ1041" i="1"/>
  <c r="AZ1042" i="1"/>
  <c r="AZ1043" i="1"/>
  <c r="AZ1044" i="1"/>
  <c r="AZ1045" i="1"/>
  <c r="AZ1046" i="1"/>
  <c r="AZ1047" i="1"/>
  <c r="AZ1048" i="1"/>
  <c r="AZ1049" i="1"/>
  <c r="AZ1050" i="1"/>
  <c r="AZ1051" i="1"/>
  <c r="AZ1052" i="1"/>
  <c r="AZ1053" i="1"/>
  <c r="AZ1054" i="1"/>
  <c r="AZ1055" i="1"/>
  <c r="AZ1056" i="1"/>
  <c r="AZ1057" i="1"/>
  <c r="AZ1058" i="1"/>
  <c r="AZ1059" i="1"/>
  <c r="AZ1060" i="1"/>
  <c r="AZ1061" i="1"/>
  <c r="AZ1062" i="1"/>
  <c r="AZ1063" i="1"/>
  <c r="AZ1064" i="1"/>
  <c r="AZ1065" i="1"/>
  <c r="AZ1066" i="1"/>
  <c r="AZ1067" i="1"/>
  <c r="AZ1068" i="1"/>
  <c r="AZ1069" i="1"/>
  <c r="AZ1070" i="1"/>
  <c r="AZ1071" i="1"/>
  <c r="AZ1072" i="1"/>
  <c r="AZ1073" i="1"/>
  <c r="AZ1074" i="1"/>
  <c r="AZ1075" i="1"/>
  <c r="AZ1076" i="1"/>
  <c r="AZ1077" i="1"/>
  <c r="AZ1078" i="1"/>
  <c r="AZ1079" i="1"/>
  <c r="AZ1080" i="1"/>
  <c r="AZ1081" i="1"/>
  <c r="AZ1082" i="1"/>
  <c r="AZ1083" i="1"/>
  <c r="AZ1084" i="1"/>
  <c r="AZ1085" i="1"/>
  <c r="AZ1086" i="1"/>
  <c r="AZ1087" i="1"/>
  <c r="AZ1088" i="1"/>
  <c r="AZ1089" i="1"/>
  <c r="AZ1090" i="1"/>
  <c r="AZ1091" i="1"/>
  <c r="AZ1092" i="1"/>
  <c r="AZ1093" i="1"/>
  <c r="AZ1094" i="1"/>
  <c r="AZ1095" i="1"/>
  <c r="AZ1096" i="1"/>
  <c r="AZ1097" i="1"/>
  <c r="AZ1098" i="1"/>
  <c r="AZ1099" i="1"/>
  <c r="AZ1100" i="1"/>
  <c r="AZ1101" i="1"/>
  <c r="AZ1102" i="1"/>
  <c r="AZ1103" i="1"/>
  <c r="AZ1104" i="1"/>
  <c r="AZ1105" i="1"/>
  <c r="AZ1106" i="1"/>
  <c r="AZ1107" i="1"/>
  <c r="AZ1108" i="1"/>
  <c r="AZ1109" i="1"/>
  <c r="AZ1110" i="1"/>
  <c r="AZ1111" i="1"/>
  <c r="AZ1112" i="1"/>
  <c r="AZ1113" i="1"/>
  <c r="AZ1114" i="1"/>
  <c r="AZ1115" i="1"/>
  <c r="AZ1116" i="1"/>
  <c r="AZ1117" i="1"/>
  <c r="AZ1118" i="1"/>
  <c r="AZ1119" i="1"/>
  <c r="AZ1120" i="1"/>
  <c r="AZ1121" i="1"/>
  <c r="AZ1122" i="1"/>
  <c r="AZ1123" i="1"/>
  <c r="AZ1124" i="1"/>
  <c r="AZ1125" i="1"/>
  <c r="AZ1126" i="1"/>
  <c r="AZ1127" i="1"/>
  <c r="AZ1128" i="1"/>
  <c r="AZ1129" i="1"/>
  <c r="AZ1130" i="1"/>
  <c r="AZ1131" i="1"/>
  <c r="AZ1132" i="1"/>
  <c r="AZ1133" i="1"/>
  <c r="AZ1134" i="1"/>
  <c r="AZ1135" i="1"/>
  <c r="AZ1136" i="1"/>
  <c r="AZ1137" i="1"/>
  <c r="AZ1138" i="1"/>
  <c r="AZ1139" i="1"/>
  <c r="AZ1140" i="1"/>
  <c r="AZ1141" i="1"/>
  <c r="AZ1142" i="1"/>
  <c r="AZ1143" i="1"/>
  <c r="AZ1144" i="1"/>
  <c r="AZ1145" i="1"/>
  <c r="AZ1146" i="1"/>
  <c r="AZ1147" i="1"/>
  <c r="AZ1148" i="1"/>
  <c r="AZ1149" i="1"/>
  <c r="AZ1150" i="1"/>
  <c r="AZ1151" i="1"/>
  <c r="AZ1152" i="1"/>
  <c r="AZ1153" i="1"/>
  <c r="AZ1154" i="1"/>
  <c r="AZ1155" i="1"/>
  <c r="AZ1156" i="1"/>
  <c r="AZ1157" i="1"/>
  <c r="AZ1158" i="1"/>
  <c r="AZ1159" i="1"/>
  <c r="AZ1160" i="1"/>
  <c r="AZ1161" i="1"/>
  <c r="AZ1162" i="1"/>
  <c r="AZ1163" i="1"/>
  <c r="AZ1164" i="1"/>
  <c r="AZ1165" i="1"/>
  <c r="AZ1166" i="1"/>
  <c r="AZ1167" i="1"/>
  <c r="AZ1168" i="1"/>
  <c r="AZ1169" i="1"/>
  <c r="AZ1170" i="1"/>
  <c r="AZ1171" i="1"/>
  <c r="AZ1172" i="1"/>
  <c r="AZ1173" i="1"/>
  <c r="AZ1174" i="1"/>
  <c r="AZ1175" i="1"/>
  <c r="AZ1176" i="1"/>
  <c r="AZ1177" i="1"/>
  <c r="AZ1178" i="1"/>
  <c r="AZ1179" i="1"/>
  <c r="AZ1180" i="1"/>
  <c r="AZ1181" i="1"/>
  <c r="AZ1182" i="1"/>
  <c r="AZ1183" i="1"/>
  <c r="AZ1184" i="1"/>
  <c r="AZ1185" i="1"/>
  <c r="AZ1186" i="1"/>
  <c r="AZ1187" i="1"/>
  <c r="AZ1188" i="1"/>
  <c r="AZ1189" i="1"/>
  <c r="AZ1190" i="1"/>
  <c r="AZ1191" i="1"/>
  <c r="AZ1192" i="1"/>
  <c r="AZ1193" i="1"/>
  <c r="AZ1194" i="1"/>
  <c r="AZ1195" i="1"/>
  <c r="AZ1196" i="1"/>
  <c r="AZ1197" i="1"/>
  <c r="AZ1198" i="1"/>
  <c r="AZ1199" i="1"/>
  <c r="AZ1200" i="1"/>
  <c r="AZ1201" i="1"/>
  <c r="AZ1202" i="1"/>
  <c r="AZ1203" i="1"/>
  <c r="AZ1204" i="1"/>
  <c r="AZ1205" i="1"/>
  <c r="AZ1206" i="1"/>
  <c r="AZ1207" i="1"/>
  <c r="AZ1208" i="1"/>
  <c r="AZ1209" i="1"/>
  <c r="AZ1210" i="1"/>
  <c r="AZ1211" i="1"/>
  <c r="AZ1212" i="1"/>
  <c r="AZ1213" i="1"/>
  <c r="AZ1214" i="1"/>
  <c r="AZ1215" i="1"/>
  <c r="AZ1216" i="1"/>
  <c r="AZ1217" i="1"/>
  <c r="AZ1218" i="1"/>
  <c r="AZ1219" i="1"/>
  <c r="AZ1220" i="1"/>
  <c r="AZ1221" i="1"/>
  <c r="AZ1222" i="1"/>
  <c r="AZ1223" i="1"/>
  <c r="AZ1224" i="1"/>
  <c r="AZ1225" i="1"/>
  <c r="AZ1226" i="1"/>
  <c r="AZ1227" i="1"/>
  <c r="AZ1228" i="1"/>
  <c r="AZ1229" i="1"/>
  <c r="AZ1230" i="1"/>
  <c r="AZ1231" i="1"/>
  <c r="AZ1232" i="1"/>
  <c r="AZ1233" i="1"/>
  <c r="AZ1234" i="1"/>
  <c r="AZ1235" i="1"/>
  <c r="AZ1236" i="1"/>
  <c r="AZ1237" i="1"/>
  <c r="AZ1238" i="1"/>
  <c r="AZ1239" i="1"/>
  <c r="AZ1240" i="1"/>
  <c r="AZ1241" i="1"/>
  <c r="AZ1242" i="1"/>
  <c r="AZ1243" i="1"/>
  <c r="AZ1244" i="1"/>
  <c r="AZ1245" i="1"/>
  <c r="AZ1246" i="1"/>
  <c r="AZ1247" i="1"/>
  <c r="AZ1248" i="1"/>
  <c r="AZ1249" i="1"/>
  <c r="AZ1250" i="1"/>
  <c r="AZ1251" i="1"/>
  <c r="AZ1252" i="1"/>
  <c r="AZ1253" i="1"/>
  <c r="AZ1254" i="1"/>
  <c r="AZ1255" i="1"/>
  <c r="AZ1256" i="1"/>
  <c r="AZ1257" i="1"/>
  <c r="AZ1258" i="1"/>
  <c r="AZ1259" i="1"/>
  <c r="AZ1260" i="1"/>
  <c r="AZ1261" i="1"/>
  <c r="AZ1262" i="1"/>
  <c r="AZ1263" i="1"/>
  <c r="AZ1264" i="1"/>
  <c r="AZ1265" i="1"/>
  <c r="AZ1266" i="1"/>
  <c r="AZ1267" i="1"/>
  <c r="AZ1268" i="1"/>
  <c r="AZ1269" i="1"/>
  <c r="AZ1270" i="1"/>
  <c r="AZ1271" i="1"/>
  <c r="AZ1272" i="1"/>
  <c r="AZ1273" i="1"/>
  <c r="AZ1274" i="1"/>
  <c r="AZ1275" i="1"/>
  <c r="AZ1276" i="1"/>
  <c r="AZ1277" i="1"/>
  <c r="AZ1278" i="1"/>
  <c r="AZ1279" i="1"/>
  <c r="AZ1280" i="1"/>
  <c r="AZ1281" i="1"/>
  <c r="AZ1282" i="1"/>
  <c r="AZ1283" i="1"/>
  <c r="AZ1284" i="1"/>
  <c r="AZ1285" i="1"/>
  <c r="AZ1286" i="1"/>
  <c r="AZ1287" i="1"/>
  <c r="AZ1288" i="1"/>
  <c r="AZ1289" i="1"/>
  <c r="AZ1290" i="1"/>
  <c r="AZ1291" i="1"/>
  <c r="AZ1292" i="1"/>
  <c r="AZ1293" i="1"/>
  <c r="AZ1294" i="1"/>
  <c r="AZ1295" i="1"/>
  <c r="AZ1296" i="1"/>
  <c r="AZ1297" i="1"/>
  <c r="AZ1298" i="1"/>
  <c r="AZ1299" i="1"/>
  <c r="AZ1300" i="1"/>
  <c r="AZ1301" i="1"/>
  <c r="AZ1302" i="1"/>
  <c r="AZ1303" i="1"/>
  <c r="AZ1304" i="1"/>
  <c r="AZ1305" i="1"/>
  <c r="AZ1306" i="1"/>
  <c r="AZ1307" i="1"/>
  <c r="AZ1308" i="1"/>
  <c r="AZ1309" i="1"/>
  <c r="AZ1310" i="1"/>
  <c r="AZ1311" i="1"/>
  <c r="AZ1312" i="1"/>
  <c r="AZ1313" i="1"/>
  <c r="AZ1314" i="1"/>
  <c r="AZ1315" i="1"/>
  <c r="AZ1316" i="1"/>
  <c r="AZ1317" i="1"/>
  <c r="AZ1318" i="1"/>
  <c r="AZ1319" i="1"/>
  <c r="AZ1320" i="1"/>
  <c r="AZ1321" i="1"/>
  <c r="AZ1322" i="1"/>
  <c r="AZ1323" i="1"/>
  <c r="AZ1324" i="1"/>
  <c r="AZ1325" i="1"/>
  <c r="AZ1326" i="1"/>
  <c r="AZ1327" i="1"/>
  <c r="AZ1328" i="1"/>
  <c r="AZ1329" i="1"/>
  <c r="AZ1330" i="1"/>
  <c r="AZ1331" i="1"/>
  <c r="AZ1332" i="1"/>
  <c r="AZ1333" i="1"/>
  <c r="AZ1334" i="1"/>
  <c r="AZ1335" i="1"/>
  <c r="AZ1336" i="1"/>
  <c r="AZ1337" i="1"/>
  <c r="AZ1338" i="1"/>
  <c r="AZ1339" i="1"/>
  <c r="AZ1340" i="1"/>
  <c r="AZ1341" i="1"/>
  <c r="AZ1342" i="1"/>
  <c r="AZ1343" i="1"/>
  <c r="AZ1344" i="1"/>
  <c r="AZ1345" i="1"/>
  <c r="AZ1346" i="1"/>
  <c r="AZ1347" i="1"/>
  <c r="AZ1348" i="1"/>
  <c r="AZ1349" i="1"/>
  <c r="AZ1350" i="1"/>
  <c r="AZ1351" i="1"/>
  <c r="AZ1352" i="1"/>
  <c r="AZ1353" i="1"/>
  <c r="AZ1354" i="1"/>
  <c r="AZ1355" i="1"/>
  <c r="AZ1356" i="1"/>
  <c r="AZ1357" i="1"/>
  <c r="AZ1358" i="1"/>
  <c r="AZ1359" i="1"/>
  <c r="AZ1360" i="1"/>
  <c r="AZ1361" i="1"/>
  <c r="AZ1362" i="1"/>
  <c r="AZ1363" i="1"/>
  <c r="AZ1364" i="1"/>
  <c r="AZ1365" i="1"/>
  <c r="AZ1366" i="1"/>
  <c r="AZ1367" i="1"/>
  <c r="AZ1368" i="1"/>
  <c r="AZ1369" i="1"/>
  <c r="AZ1370" i="1"/>
  <c r="AZ1371" i="1"/>
  <c r="AZ1372" i="1"/>
  <c r="AZ1373" i="1"/>
  <c r="AZ1374" i="1"/>
  <c r="AZ1375" i="1"/>
  <c r="AZ1376" i="1"/>
  <c r="AZ1377" i="1"/>
  <c r="AZ1378" i="1"/>
  <c r="AZ1379" i="1"/>
  <c r="AZ1380" i="1"/>
  <c r="AZ1381" i="1"/>
  <c r="AZ1382" i="1"/>
  <c r="AZ1383" i="1"/>
  <c r="AZ1384" i="1"/>
  <c r="AZ1385" i="1"/>
  <c r="AZ1386" i="1"/>
  <c r="AZ1387" i="1"/>
  <c r="AZ1388" i="1"/>
  <c r="AZ1389" i="1"/>
  <c r="AZ1390" i="1"/>
  <c r="AZ1391" i="1"/>
  <c r="AZ1392" i="1"/>
  <c r="AZ1393" i="1"/>
  <c r="AZ1394" i="1"/>
  <c r="AZ1395" i="1"/>
  <c r="AZ1396" i="1"/>
  <c r="AZ1397" i="1"/>
  <c r="AZ1398" i="1"/>
  <c r="AZ1399" i="1"/>
  <c r="AZ1400" i="1"/>
  <c r="AZ1401" i="1"/>
  <c r="AZ1402" i="1"/>
  <c r="AZ1403" i="1"/>
  <c r="AZ1404" i="1"/>
  <c r="AZ1405" i="1"/>
  <c r="AZ1406" i="1"/>
  <c r="AZ1407" i="1"/>
  <c r="AZ1408" i="1"/>
  <c r="AZ1409" i="1"/>
  <c r="AZ1410" i="1"/>
  <c r="AZ1411" i="1"/>
  <c r="AZ1412" i="1"/>
  <c r="AZ1413" i="1"/>
  <c r="AZ1414" i="1"/>
  <c r="AZ1415" i="1"/>
  <c r="AZ1416" i="1"/>
  <c r="AZ1417" i="1"/>
  <c r="AZ1418" i="1"/>
  <c r="AZ1419" i="1"/>
  <c r="AZ1420" i="1"/>
  <c r="AZ1421" i="1"/>
  <c r="AZ1422" i="1"/>
  <c r="AZ1423" i="1"/>
  <c r="AZ1424" i="1"/>
  <c r="AZ1425" i="1"/>
  <c r="AZ1426" i="1"/>
  <c r="AZ1427" i="1"/>
  <c r="AZ1428" i="1"/>
  <c r="AZ1429" i="1"/>
  <c r="AZ1430" i="1"/>
  <c r="AZ1431" i="1"/>
  <c r="AZ1432" i="1"/>
  <c r="AZ1433" i="1"/>
  <c r="AZ1434" i="1"/>
  <c r="AZ1435" i="1"/>
  <c r="AZ1436" i="1"/>
  <c r="AZ1437" i="1"/>
  <c r="AZ1438" i="1"/>
  <c r="AZ1439" i="1"/>
  <c r="AZ1440" i="1"/>
  <c r="AZ1441" i="1"/>
  <c r="AZ1442" i="1"/>
  <c r="AZ1443" i="1"/>
  <c r="AZ1444" i="1"/>
  <c r="AZ1445" i="1"/>
  <c r="AZ1446" i="1"/>
  <c r="AZ1447" i="1"/>
  <c r="AZ1448" i="1"/>
  <c r="AZ1449" i="1"/>
  <c r="AZ1450" i="1"/>
  <c r="AZ1451" i="1"/>
  <c r="AZ1452" i="1"/>
  <c r="AZ1453" i="1"/>
  <c r="AZ1454" i="1"/>
  <c r="AZ1455" i="1"/>
  <c r="AZ1456" i="1"/>
  <c r="AZ1457" i="1"/>
  <c r="AZ1458" i="1"/>
  <c r="AZ1459" i="1"/>
  <c r="AZ1460" i="1"/>
  <c r="AZ1461" i="1"/>
  <c r="AZ1462" i="1"/>
  <c r="AZ1463" i="1"/>
  <c r="AZ1464" i="1"/>
  <c r="AZ1465" i="1"/>
  <c r="AZ1466" i="1"/>
  <c r="AZ1467" i="1"/>
  <c r="AZ1468" i="1"/>
  <c r="AZ1469" i="1"/>
  <c r="AZ1470" i="1"/>
  <c r="AZ1471" i="1"/>
  <c r="AZ1472" i="1"/>
  <c r="AZ1473" i="1"/>
  <c r="AZ1474" i="1"/>
  <c r="AZ1475" i="1"/>
  <c r="AZ1476" i="1"/>
  <c r="AZ1477" i="1"/>
  <c r="AZ1478" i="1"/>
  <c r="AZ1479" i="1"/>
  <c r="AZ1480" i="1"/>
  <c r="AZ1481" i="1"/>
  <c r="AZ1482" i="1"/>
  <c r="AZ1483" i="1"/>
  <c r="AZ1484" i="1"/>
  <c r="AZ1485" i="1"/>
  <c r="AZ1486" i="1"/>
  <c r="AZ1487" i="1"/>
  <c r="AZ1488" i="1"/>
  <c r="AZ1489" i="1"/>
  <c r="AZ1490" i="1"/>
  <c r="AZ1491" i="1"/>
  <c r="AZ1492" i="1"/>
  <c r="AZ1493" i="1"/>
  <c r="AZ1494" i="1"/>
  <c r="AZ1495" i="1"/>
  <c r="AZ1496" i="1"/>
  <c r="AZ1497" i="1"/>
  <c r="AZ1498" i="1"/>
  <c r="AZ1499" i="1"/>
  <c r="AZ1500" i="1"/>
  <c r="AZ1501" i="1"/>
  <c r="AZ1502" i="1"/>
  <c r="AZ1503" i="1"/>
  <c r="AZ1504" i="1"/>
  <c r="AZ1505" i="1"/>
  <c r="AZ1506" i="1"/>
  <c r="AZ1507" i="1"/>
  <c r="AZ1508" i="1"/>
  <c r="AZ1509" i="1"/>
  <c r="AZ1510" i="1"/>
  <c r="AZ1511" i="1"/>
  <c r="AZ1512" i="1"/>
  <c r="AZ1513" i="1"/>
  <c r="AZ1514" i="1"/>
  <c r="AZ1515" i="1"/>
  <c r="AZ1516" i="1"/>
  <c r="AZ1517" i="1"/>
  <c r="AZ1518" i="1"/>
  <c r="AZ1519" i="1"/>
  <c r="AZ1520" i="1"/>
  <c r="AZ1521" i="1"/>
  <c r="AZ1522" i="1"/>
  <c r="AZ1523" i="1"/>
  <c r="AZ1524" i="1"/>
  <c r="AZ1525" i="1"/>
  <c r="AZ1526" i="1"/>
  <c r="AZ1527" i="1"/>
  <c r="AZ1528" i="1"/>
  <c r="AZ1529" i="1"/>
  <c r="AZ1530" i="1"/>
  <c r="AZ1531" i="1"/>
  <c r="AZ1532" i="1"/>
  <c r="AZ1533" i="1"/>
  <c r="AZ1534" i="1"/>
  <c r="AZ1535" i="1"/>
  <c r="AZ1536" i="1"/>
  <c r="AZ1537" i="1"/>
  <c r="AZ1538" i="1"/>
  <c r="AZ1539" i="1"/>
  <c r="AZ1540" i="1"/>
  <c r="AZ1541" i="1"/>
  <c r="AZ1542" i="1"/>
  <c r="AZ1543" i="1"/>
  <c r="AZ1544" i="1"/>
  <c r="AZ1545" i="1"/>
  <c r="AZ1546" i="1"/>
  <c r="AZ1547" i="1"/>
  <c r="AZ1548" i="1"/>
  <c r="AZ1549" i="1"/>
  <c r="AZ1550" i="1"/>
  <c r="AZ1551" i="1"/>
  <c r="AZ1552" i="1"/>
  <c r="AZ1553" i="1"/>
  <c r="AZ1554" i="1"/>
  <c r="AZ1555" i="1"/>
  <c r="AZ1556" i="1"/>
  <c r="AZ1557" i="1"/>
  <c r="AZ1558" i="1"/>
  <c r="AZ1559" i="1"/>
  <c r="AZ1560" i="1"/>
  <c r="AZ1561" i="1"/>
  <c r="AZ1562" i="1"/>
  <c r="AZ1563" i="1"/>
  <c r="AZ1564" i="1"/>
  <c r="AZ1565" i="1"/>
  <c r="AZ1566" i="1"/>
  <c r="AZ1567" i="1"/>
  <c r="AZ1568" i="1"/>
  <c r="AZ1569" i="1"/>
  <c r="AZ1570" i="1"/>
  <c r="AZ1571" i="1"/>
  <c r="AZ1572" i="1"/>
  <c r="AZ1573" i="1"/>
  <c r="AZ1574" i="1"/>
  <c r="AZ1575" i="1"/>
  <c r="AZ1576" i="1"/>
  <c r="AZ1577" i="1"/>
  <c r="AZ1578" i="1"/>
  <c r="AZ1579" i="1"/>
  <c r="AZ1580" i="1"/>
  <c r="AZ1581" i="1"/>
  <c r="AZ1582" i="1"/>
  <c r="AZ1583" i="1"/>
  <c r="AZ1584" i="1"/>
  <c r="AZ1585" i="1"/>
  <c r="AZ1586" i="1"/>
  <c r="AZ1587" i="1"/>
  <c r="AZ1588" i="1"/>
  <c r="AZ1589" i="1"/>
  <c r="AZ1590" i="1"/>
  <c r="AZ1591" i="1"/>
  <c r="AZ1592" i="1"/>
  <c r="AZ1593" i="1"/>
  <c r="AZ1594" i="1"/>
  <c r="AZ1595" i="1"/>
  <c r="AZ1596" i="1"/>
  <c r="AZ1597" i="1"/>
  <c r="AZ1598" i="1"/>
  <c r="AZ1599" i="1"/>
  <c r="AZ1600" i="1"/>
  <c r="AZ1601" i="1"/>
  <c r="AZ1602" i="1"/>
  <c r="AZ1603" i="1"/>
  <c r="AZ1604" i="1"/>
  <c r="AZ1605" i="1"/>
  <c r="AZ1606" i="1"/>
  <c r="AZ1607" i="1"/>
  <c r="AZ1608" i="1"/>
  <c r="AZ1609" i="1"/>
  <c r="AZ1610" i="1"/>
  <c r="AZ1611" i="1"/>
  <c r="AZ1612" i="1"/>
  <c r="AZ1613" i="1"/>
  <c r="AZ1614" i="1"/>
  <c r="AZ1615" i="1"/>
  <c r="AZ1616" i="1"/>
  <c r="AZ1617" i="1"/>
  <c r="AZ1618" i="1"/>
  <c r="AZ1619" i="1"/>
  <c r="AZ1620" i="1"/>
  <c r="AZ1621" i="1"/>
  <c r="AZ1622" i="1"/>
  <c r="AZ1623" i="1"/>
  <c r="AZ1624" i="1"/>
  <c r="AZ1625" i="1"/>
  <c r="AZ1626" i="1"/>
  <c r="AZ1627" i="1"/>
  <c r="AZ1628" i="1"/>
  <c r="AZ1629" i="1"/>
  <c r="AZ1630" i="1"/>
  <c r="AZ1631" i="1"/>
  <c r="AZ1632" i="1"/>
  <c r="AZ1633" i="1"/>
  <c r="AZ1634" i="1"/>
  <c r="AZ1635" i="1"/>
  <c r="AZ1636" i="1"/>
  <c r="AZ1637" i="1"/>
  <c r="AZ1638" i="1"/>
  <c r="AZ1639" i="1"/>
  <c r="AZ1640" i="1"/>
  <c r="AZ1641" i="1"/>
  <c r="AZ1642" i="1"/>
  <c r="AZ1643" i="1"/>
  <c r="AZ1644" i="1"/>
  <c r="AZ1645" i="1"/>
  <c r="AZ1646" i="1"/>
  <c r="AZ1647" i="1"/>
  <c r="AZ1648" i="1"/>
  <c r="AZ1649" i="1"/>
  <c r="AZ1650" i="1"/>
  <c r="AZ1651" i="1"/>
  <c r="AZ1652" i="1"/>
  <c r="AZ1653" i="1"/>
  <c r="AZ1654" i="1"/>
  <c r="AZ1655" i="1"/>
  <c r="AZ1656" i="1"/>
  <c r="AZ1657" i="1"/>
  <c r="AZ1658" i="1"/>
  <c r="AZ1659" i="1"/>
  <c r="AZ1660" i="1"/>
  <c r="AZ1661" i="1"/>
  <c r="AZ1662" i="1"/>
  <c r="AZ1663" i="1"/>
  <c r="AZ1664" i="1"/>
  <c r="AZ1665" i="1"/>
  <c r="AZ1666" i="1"/>
  <c r="AZ1667" i="1"/>
  <c r="AZ1668" i="1"/>
  <c r="AZ1669" i="1"/>
  <c r="AZ1670" i="1"/>
  <c r="AZ1671" i="1"/>
  <c r="AZ1672" i="1"/>
  <c r="AZ1673" i="1"/>
  <c r="AZ1674" i="1"/>
  <c r="AZ1675" i="1"/>
  <c r="AZ1676" i="1"/>
  <c r="AZ1677" i="1"/>
  <c r="AZ1678" i="1"/>
  <c r="AZ1679" i="1"/>
  <c r="AZ1680" i="1"/>
  <c r="AZ1681" i="1"/>
  <c r="AZ1682" i="1"/>
  <c r="AZ1683" i="1"/>
  <c r="AZ1684" i="1"/>
  <c r="AZ1685" i="1"/>
  <c r="AZ1686" i="1"/>
  <c r="AZ1687" i="1"/>
  <c r="AZ1688" i="1"/>
  <c r="AZ1689" i="1"/>
  <c r="AZ1690" i="1"/>
  <c r="AZ1691" i="1"/>
  <c r="AZ1692" i="1"/>
  <c r="AZ1693" i="1"/>
  <c r="AZ1694" i="1"/>
  <c r="AZ1695" i="1"/>
  <c r="AZ1696" i="1"/>
  <c r="AZ1697" i="1"/>
  <c r="AZ1698" i="1"/>
  <c r="AZ1699" i="1"/>
  <c r="AZ1700" i="1"/>
  <c r="AZ1701" i="1"/>
  <c r="AZ1702" i="1"/>
  <c r="AZ1703" i="1"/>
  <c r="AZ1704" i="1"/>
  <c r="AZ1705" i="1"/>
  <c r="AZ1706" i="1"/>
  <c r="AZ1707" i="1"/>
  <c r="AZ1708" i="1"/>
  <c r="AZ1709" i="1"/>
  <c r="AZ1710" i="1"/>
  <c r="AZ1711" i="1"/>
  <c r="AZ1712" i="1"/>
  <c r="AZ1713" i="1"/>
  <c r="AZ1714" i="1"/>
  <c r="AZ1715" i="1"/>
  <c r="AZ1716" i="1"/>
  <c r="AZ1717" i="1"/>
  <c r="AZ1718" i="1"/>
  <c r="AZ1719" i="1"/>
  <c r="AZ1720" i="1"/>
  <c r="AZ1721" i="1"/>
  <c r="AZ1722" i="1"/>
  <c r="AZ1723" i="1"/>
  <c r="AZ1724" i="1"/>
  <c r="AZ1725" i="1"/>
  <c r="AZ1726" i="1"/>
  <c r="AZ1727" i="1"/>
  <c r="AZ1728" i="1"/>
  <c r="AZ1729" i="1"/>
  <c r="AZ1730" i="1"/>
  <c r="AZ1731" i="1"/>
  <c r="AZ1732" i="1"/>
  <c r="AZ1733" i="1"/>
  <c r="AZ1734" i="1"/>
  <c r="AZ1735" i="1"/>
  <c r="AZ1736" i="1"/>
  <c r="AZ1737" i="1"/>
  <c r="AZ1738" i="1"/>
  <c r="AZ1739" i="1"/>
  <c r="AZ1740" i="1"/>
  <c r="AZ1741" i="1"/>
  <c r="AZ1742" i="1"/>
  <c r="AZ1743" i="1"/>
  <c r="AZ1744" i="1"/>
  <c r="AZ1745" i="1"/>
  <c r="AZ1746" i="1"/>
  <c r="AZ1747" i="1"/>
  <c r="AZ1748" i="1"/>
  <c r="AZ1749" i="1"/>
  <c r="AZ1750" i="1"/>
  <c r="AZ1751" i="1"/>
  <c r="AZ1752" i="1"/>
  <c r="AZ1753" i="1"/>
  <c r="AZ1754" i="1"/>
  <c r="AZ1755" i="1"/>
  <c r="AZ1756" i="1"/>
  <c r="AZ1757" i="1"/>
  <c r="AZ1758" i="1"/>
  <c r="AZ1759" i="1"/>
  <c r="AZ1760" i="1"/>
  <c r="AZ1761" i="1"/>
  <c r="AZ1762" i="1"/>
  <c r="AZ1763" i="1"/>
  <c r="AZ1764" i="1"/>
  <c r="AZ1765" i="1"/>
  <c r="AZ1766" i="1"/>
  <c r="AZ1767" i="1"/>
  <c r="AZ1768" i="1"/>
  <c r="AZ1769" i="1"/>
  <c r="AZ1770" i="1"/>
  <c r="AZ1771" i="1"/>
  <c r="AZ1772" i="1"/>
  <c r="AZ1773" i="1"/>
  <c r="AZ1774" i="1"/>
  <c r="AZ1775" i="1"/>
  <c r="AZ1776" i="1"/>
  <c r="AZ1777" i="1"/>
  <c r="AZ1778" i="1"/>
  <c r="AZ1779" i="1"/>
  <c r="AZ1780" i="1"/>
  <c r="AZ1781" i="1"/>
  <c r="AZ1782" i="1"/>
  <c r="AZ1783" i="1"/>
  <c r="AZ1784" i="1"/>
  <c r="AZ1785" i="1"/>
  <c r="AZ1786" i="1"/>
  <c r="AZ1787" i="1"/>
  <c r="AZ1788" i="1"/>
  <c r="AZ1789" i="1"/>
  <c r="AZ1790" i="1"/>
  <c r="AZ1791" i="1"/>
  <c r="AZ1792" i="1"/>
  <c r="AZ1793" i="1"/>
  <c r="AZ1794" i="1"/>
  <c r="AZ1795" i="1"/>
  <c r="AZ1796" i="1"/>
  <c r="AZ1797" i="1"/>
  <c r="AZ1798" i="1"/>
  <c r="AZ1799" i="1"/>
  <c r="AZ1800" i="1"/>
  <c r="AZ1801" i="1"/>
  <c r="AZ1802" i="1"/>
  <c r="AZ1803" i="1"/>
  <c r="AZ1804" i="1"/>
  <c r="AZ1805" i="1"/>
  <c r="AZ1806" i="1"/>
  <c r="AZ1807" i="1"/>
  <c r="AZ1808" i="1"/>
  <c r="AZ1809" i="1"/>
  <c r="AZ1810" i="1"/>
  <c r="AZ1811" i="1"/>
  <c r="AZ1812" i="1"/>
  <c r="AZ1813" i="1"/>
  <c r="AZ1814" i="1"/>
  <c r="AZ1815" i="1"/>
  <c r="AZ1816" i="1"/>
  <c r="AZ1817" i="1"/>
  <c r="AZ1818" i="1"/>
  <c r="AZ1819" i="1"/>
  <c r="AZ1820" i="1"/>
  <c r="AZ1821" i="1"/>
  <c r="AZ1822" i="1"/>
  <c r="AZ1823" i="1"/>
  <c r="AZ1824" i="1"/>
  <c r="AZ1825" i="1"/>
  <c r="AZ1826" i="1"/>
  <c r="AZ1827" i="1"/>
  <c r="AZ1828" i="1"/>
  <c r="AZ1829" i="1"/>
  <c r="AZ1830" i="1"/>
  <c r="AZ1831" i="1"/>
  <c r="AZ1832" i="1"/>
  <c r="AZ1833" i="1"/>
  <c r="AZ1834" i="1"/>
  <c r="AZ1835" i="1"/>
  <c r="AZ1836" i="1"/>
  <c r="AZ1837" i="1"/>
  <c r="AZ1838" i="1"/>
  <c r="AZ1839" i="1"/>
  <c r="AZ1840" i="1"/>
  <c r="AZ1841" i="1"/>
  <c r="AZ1842" i="1"/>
  <c r="AZ1843" i="1"/>
  <c r="AZ1844" i="1"/>
  <c r="AZ1845" i="1"/>
  <c r="AZ1846" i="1"/>
  <c r="AZ1847" i="1"/>
  <c r="AZ1848" i="1"/>
  <c r="AZ1849" i="1"/>
  <c r="AZ1850" i="1"/>
  <c r="AZ1851" i="1"/>
  <c r="AZ1852" i="1"/>
  <c r="AZ1853" i="1"/>
  <c r="AZ1854" i="1"/>
  <c r="AZ1855" i="1"/>
  <c r="AZ1856" i="1"/>
  <c r="AZ1857" i="1"/>
  <c r="AZ1858" i="1"/>
  <c r="AZ1859" i="1"/>
  <c r="AZ1860" i="1"/>
  <c r="AZ1861" i="1"/>
  <c r="AZ1862" i="1"/>
  <c r="AZ1863" i="1"/>
  <c r="AZ1864" i="1"/>
  <c r="AZ1865" i="1"/>
  <c r="AZ1866" i="1"/>
  <c r="AZ1867" i="1"/>
  <c r="AZ1868" i="1"/>
  <c r="AZ1869" i="1"/>
  <c r="AZ1870" i="1"/>
  <c r="AZ1871" i="1"/>
  <c r="AZ1872" i="1"/>
  <c r="AZ1873" i="1"/>
  <c r="AZ1874" i="1"/>
  <c r="AZ1875" i="1"/>
  <c r="AZ1876" i="1"/>
  <c r="AZ1877" i="1"/>
  <c r="AZ1878" i="1"/>
  <c r="AZ1879" i="1"/>
  <c r="AZ1880" i="1"/>
  <c r="AZ1881" i="1"/>
  <c r="AZ1882" i="1"/>
  <c r="AZ1883" i="1"/>
  <c r="AZ1884" i="1"/>
  <c r="AZ1885" i="1"/>
  <c r="AZ1886" i="1"/>
  <c r="AZ1887" i="1"/>
  <c r="AZ1888" i="1"/>
  <c r="AZ1889" i="1"/>
  <c r="AZ1890" i="1"/>
  <c r="AZ1891" i="1"/>
  <c r="AZ1892" i="1"/>
  <c r="AZ1893" i="1"/>
  <c r="AZ1894" i="1"/>
  <c r="AZ1895" i="1"/>
  <c r="AZ1896" i="1"/>
  <c r="AZ1897" i="1"/>
  <c r="AZ1898" i="1"/>
  <c r="AZ1899" i="1"/>
  <c r="AZ1900" i="1"/>
  <c r="AZ1901" i="1"/>
  <c r="AZ1902" i="1"/>
  <c r="AZ1903" i="1"/>
  <c r="AZ1904" i="1"/>
  <c r="AZ1905" i="1"/>
  <c r="AZ1906" i="1"/>
  <c r="AZ1907" i="1"/>
  <c r="AZ1908" i="1"/>
  <c r="AZ1909" i="1"/>
  <c r="AZ1910" i="1"/>
  <c r="AZ1911" i="1"/>
  <c r="AZ1912" i="1"/>
  <c r="AZ1913" i="1"/>
  <c r="AZ1914" i="1"/>
  <c r="AZ1915" i="1"/>
  <c r="AZ1916" i="1"/>
  <c r="AZ1917" i="1"/>
  <c r="AZ1918" i="1"/>
  <c r="AZ1919" i="1"/>
  <c r="AZ1920" i="1"/>
  <c r="AZ1921" i="1"/>
  <c r="AZ1922" i="1"/>
  <c r="AZ1923" i="1"/>
  <c r="AZ1924" i="1"/>
  <c r="AZ1925" i="1"/>
  <c r="AZ1926" i="1"/>
  <c r="AZ1927" i="1"/>
  <c r="AZ1928" i="1"/>
  <c r="AZ1929" i="1"/>
  <c r="AZ1930" i="1"/>
  <c r="AZ1931" i="1"/>
  <c r="AZ1932" i="1"/>
  <c r="AZ1933" i="1"/>
  <c r="AZ1934" i="1"/>
  <c r="AZ1935" i="1"/>
  <c r="AZ1936" i="1"/>
  <c r="AZ1937" i="1"/>
  <c r="AZ1938" i="1"/>
  <c r="AZ1939" i="1"/>
  <c r="AZ1940" i="1"/>
  <c r="AZ1941" i="1"/>
  <c r="AZ1942" i="1"/>
  <c r="AZ1943" i="1"/>
  <c r="AZ1944" i="1"/>
  <c r="AZ1945" i="1"/>
  <c r="AZ1946" i="1"/>
  <c r="AZ1947" i="1"/>
  <c r="AZ1948" i="1"/>
  <c r="AZ1949" i="1"/>
  <c r="AZ1950" i="1"/>
  <c r="AZ1951" i="1"/>
  <c r="AZ1952" i="1"/>
  <c r="AZ1953" i="1"/>
  <c r="AZ1954" i="1"/>
  <c r="AZ1955" i="1"/>
  <c r="AZ1956" i="1"/>
  <c r="AZ1957" i="1"/>
  <c r="AZ1958" i="1"/>
  <c r="AZ1959" i="1"/>
  <c r="AZ1960" i="1"/>
  <c r="AZ1961" i="1"/>
  <c r="AZ1962" i="1"/>
  <c r="AZ1963" i="1"/>
  <c r="AZ1964" i="1"/>
  <c r="AZ1965" i="1"/>
  <c r="AZ1966" i="1"/>
  <c r="AZ1967" i="1"/>
  <c r="AZ1968" i="1"/>
  <c r="AZ1969" i="1"/>
  <c r="AZ1970" i="1"/>
  <c r="AZ1971" i="1"/>
  <c r="AZ1972" i="1"/>
  <c r="AZ1973" i="1"/>
  <c r="AZ1974" i="1"/>
  <c r="AZ1975" i="1"/>
  <c r="AZ1976" i="1"/>
  <c r="AZ1977" i="1"/>
  <c r="AZ1978" i="1"/>
  <c r="AZ1979" i="1"/>
  <c r="AZ1980" i="1"/>
  <c r="AZ1981" i="1"/>
  <c r="AZ1982" i="1"/>
  <c r="AZ1983" i="1"/>
  <c r="AZ1984" i="1"/>
  <c r="AZ1985" i="1"/>
  <c r="AZ1986" i="1"/>
  <c r="AZ1987" i="1"/>
  <c r="AZ1988" i="1"/>
  <c r="AZ1989" i="1"/>
  <c r="AZ1990" i="1"/>
  <c r="AZ1991" i="1"/>
  <c r="AZ1992" i="1"/>
  <c r="AZ1993" i="1"/>
  <c r="AZ1994" i="1"/>
  <c r="AZ1995" i="1"/>
  <c r="AZ1996" i="1"/>
  <c r="AZ1997" i="1"/>
  <c r="AZ1998" i="1"/>
  <c r="AZ1999" i="1"/>
  <c r="AZ2000" i="1"/>
  <c r="AZ2001" i="1"/>
  <c r="AZ2002" i="1"/>
  <c r="AZ2003" i="1"/>
  <c r="AZ2004" i="1"/>
  <c r="AZ2005" i="1"/>
  <c r="AZ2006" i="1"/>
  <c r="AZ2007" i="1"/>
  <c r="AZ2008" i="1"/>
  <c r="AZ2009" i="1"/>
  <c r="AZ2010" i="1"/>
  <c r="AZ2011" i="1"/>
  <c r="AZ2012" i="1"/>
  <c r="AZ2013" i="1"/>
  <c r="AZ2014" i="1"/>
  <c r="AZ2015" i="1"/>
  <c r="AZ2016" i="1"/>
  <c r="AZ2017" i="1"/>
  <c r="AZ2018" i="1"/>
  <c r="AZ2019" i="1"/>
  <c r="AZ2020" i="1"/>
  <c r="AZ2021" i="1"/>
  <c r="AZ2022" i="1"/>
  <c r="AZ2023" i="1"/>
  <c r="AZ2024" i="1"/>
  <c r="AZ2025" i="1"/>
  <c r="AZ2026" i="1"/>
  <c r="AZ2027" i="1"/>
  <c r="AZ2028" i="1"/>
  <c r="AZ2029" i="1"/>
  <c r="AZ2030" i="1"/>
  <c r="AZ2031" i="1"/>
  <c r="AZ2032" i="1"/>
  <c r="AZ2033" i="1"/>
  <c r="AZ2034" i="1"/>
  <c r="AZ2035" i="1"/>
  <c r="AZ2036" i="1"/>
  <c r="AZ2037" i="1"/>
  <c r="AZ2038" i="1"/>
  <c r="AZ2039" i="1"/>
  <c r="AZ2040" i="1"/>
  <c r="AZ2041" i="1"/>
  <c r="AZ2042" i="1"/>
  <c r="AZ2043" i="1"/>
  <c r="AZ2044" i="1"/>
  <c r="AZ2045" i="1"/>
  <c r="AZ2046" i="1"/>
  <c r="AZ2047" i="1"/>
  <c r="AZ2048" i="1"/>
  <c r="AZ2049" i="1"/>
  <c r="AZ2050" i="1"/>
  <c r="AZ2051" i="1"/>
  <c r="AZ2052" i="1"/>
  <c r="AZ2053" i="1"/>
  <c r="AZ2054" i="1"/>
  <c r="AZ2055" i="1"/>
  <c r="AZ2056" i="1"/>
  <c r="AZ2057" i="1"/>
  <c r="AZ2058" i="1"/>
  <c r="AZ2059" i="1"/>
  <c r="AZ2060" i="1"/>
  <c r="AZ2061" i="1"/>
  <c r="AZ2062" i="1"/>
  <c r="AZ2063" i="1"/>
  <c r="AZ2064" i="1"/>
  <c r="AZ2065" i="1"/>
  <c r="AZ2066" i="1"/>
  <c r="AZ2067" i="1"/>
  <c r="AZ2068" i="1"/>
  <c r="AZ2069" i="1"/>
  <c r="AZ2070" i="1"/>
  <c r="AZ2071" i="1"/>
  <c r="AZ2072" i="1"/>
  <c r="AZ2073" i="1"/>
  <c r="AZ2074" i="1"/>
  <c r="AZ2075" i="1"/>
  <c r="AZ2076" i="1"/>
  <c r="AZ2077" i="1"/>
  <c r="AZ2078" i="1"/>
  <c r="AZ2079" i="1"/>
  <c r="AZ2080" i="1"/>
  <c r="AZ2081" i="1"/>
  <c r="AZ2082" i="1"/>
  <c r="AZ2083" i="1"/>
  <c r="AZ2084" i="1"/>
  <c r="AZ2085" i="1"/>
  <c r="AZ2086" i="1"/>
  <c r="AZ2087" i="1"/>
  <c r="AZ2088" i="1"/>
  <c r="AZ2089" i="1"/>
  <c r="AZ2090" i="1"/>
  <c r="AZ2091" i="1"/>
  <c r="AZ2092" i="1"/>
  <c r="AZ2093" i="1"/>
  <c r="AZ2094" i="1"/>
  <c r="AZ2095" i="1"/>
  <c r="AZ2096" i="1"/>
  <c r="AZ2097" i="1"/>
  <c r="AZ2098" i="1"/>
  <c r="AZ2099" i="1"/>
  <c r="AZ2100" i="1"/>
  <c r="AZ2101" i="1"/>
  <c r="AZ2102" i="1"/>
  <c r="AZ2103" i="1"/>
  <c r="AZ2104" i="1"/>
  <c r="AZ2105" i="1"/>
  <c r="AZ2106" i="1"/>
  <c r="AZ2107" i="1"/>
  <c r="AZ2108" i="1"/>
  <c r="AZ2109" i="1"/>
  <c r="AZ2110" i="1"/>
  <c r="AZ2111" i="1"/>
  <c r="AZ2112" i="1"/>
  <c r="AZ2113" i="1"/>
  <c r="AZ2114" i="1"/>
  <c r="AZ2115" i="1"/>
  <c r="AZ2116" i="1"/>
  <c r="AZ2117" i="1"/>
  <c r="AZ2118" i="1"/>
  <c r="AZ2119" i="1"/>
  <c r="AZ2120" i="1"/>
  <c r="AZ2121" i="1"/>
  <c r="AZ2122" i="1"/>
  <c r="AZ2123" i="1"/>
  <c r="AZ2124" i="1"/>
  <c r="AZ2125" i="1"/>
  <c r="AZ2126" i="1"/>
  <c r="AZ2127" i="1"/>
  <c r="AZ2128" i="1"/>
  <c r="AZ2129" i="1"/>
  <c r="AZ2130" i="1"/>
  <c r="AZ2131" i="1"/>
  <c r="AZ2132" i="1"/>
  <c r="AZ2133" i="1"/>
  <c r="AZ2134" i="1"/>
  <c r="AZ2135" i="1"/>
  <c r="AZ2136" i="1"/>
  <c r="AZ2137" i="1"/>
  <c r="AZ2138" i="1"/>
  <c r="AZ2139" i="1"/>
  <c r="AZ2140" i="1"/>
  <c r="AZ2141" i="1"/>
  <c r="AZ2142" i="1"/>
  <c r="AZ2143" i="1"/>
  <c r="AZ2144" i="1"/>
  <c r="AZ2145" i="1"/>
  <c r="AZ2146" i="1"/>
  <c r="AZ2147" i="1"/>
  <c r="AZ2148" i="1"/>
  <c r="AZ2149" i="1"/>
  <c r="AZ2150" i="1"/>
  <c r="AZ2151" i="1"/>
  <c r="AZ2152" i="1"/>
  <c r="AZ2153" i="1"/>
  <c r="AZ2154" i="1"/>
  <c r="AZ2155" i="1"/>
  <c r="AZ2156" i="1"/>
  <c r="AZ2157" i="1"/>
  <c r="AZ2158" i="1"/>
  <c r="AZ2159" i="1"/>
  <c r="AZ2160" i="1"/>
  <c r="AZ2161" i="1"/>
  <c r="AZ2162" i="1"/>
  <c r="AZ2163" i="1"/>
  <c r="AZ2164" i="1"/>
  <c r="AZ2165" i="1"/>
  <c r="AZ2166" i="1"/>
  <c r="AZ2167" i="1"/>
  <c r="AZ2168" i="1"/>
  <c r="AZ2169" i="1"/>
  <c r="AZ2170" i="1"/>
  <c r="AZ2171" i="1"/>
  <c r="AZ2172" i="1"/>
  <c r="AZ2173" i="1"/>
  <c r="AZ2174" i="1"/>
  <c r="AZ2175" i="1"/>
  <c r="AZ2176" i="1"/>
  <c r="AZ2177" i="1"/>
  <c r="AZ2178" i="1"/>
  <c r="AZ2179" i="1"/>
  <c r="AZ2180" i="1"/>
  <c r="AZ2181" i="1"/>
  <c r="AZ2182" i="1"/>
  <c r="AZ2183" i="1"/>
  <c r="AZ2184" i="1"/>
  <c r="AZ2185" i="1"/>
  <c r="AZ2186" i="1"/>
  <c r="AZ2187" i="1"/>
  <c r="AZ2188" i="1"/>
  <c r="AZ2189" i="1"/>
  <c r="AZ2190" i="1"/>
  <c r="AZ2191" i="1"/>
  <c r="AZ2192" i="1"/>
  <c r="AZ2193" i="1"/>
  <c r="AZ2194" i="1"/>
  <c r="AZ2195" i="1"/>
  <c r="AZ2196" i="1"/>
  <c r="AZ2197" i="1"/>
  <c r="AZ2198" i="1"/>
  <c r="AZ2199" i="1"/>
  <c r="AZ2200" i="1"/>
  <c r="AZ2201" i="1"/>
  <c r="AZ2202" i="1"/>
  <c r="AZ2203" i="1"/>
  <c r="AZ2204" i="1"/>
  <c r="AZ2205" i="1"/>
  <c r="AZ2206" i="1"/>
  <c r="AZ2207" i="1"/>
  <c r="AZ2208" i="1"/>
  <c r="AZ2209" i="1"/>
  <c r="AZ2210" i="1"/>
  <c r="AZ2211" i="1"/>
  <c r="AZ2212" i="1"/>
  <c r="AZ2213" i="1"/>
  <c r="AZ2214" i="1"/>
  <c r="AZ2215" i="1"/>
  <c r="AZ2216" i="1"/>
  <c r="AZ2217" i="1"/>
  <c r="AZ2218" i="1"/>
  <c r="AZ2219" i="1"/>
  <c r="AZ2220" i="1"/>
  <c r="AZ2221" i="1"/>
  <c r="AZ2222" i="1"/>
  <c r="AZ2223" i="1"/>
  <c r="AZ2224" i="1"/>
  <c r="AZ2225" i="1"/>
  <c r="AZ2226" i="1"/>
  <c r="AZ2227" i="1"/>
  <c r="AZ2228" i="1"/>
  <c r="AZ2229" i="1"/>
  <c r="AZ2230" i="1"/>
  <c r="AZ2231" i="1"/>
  <c r="AZ2232" i="1"/>
  <c r="AZ2233" i="1"/>
  <c r="AZ2234" i="1"/>
  <c r="AZ2235" i="1"/>
  <c r="AZ2236" i="1"/>
  <c r="AZ2237" i="1"/>
  <c r="AZ2238" i="1"/>
  <c r="AZ2239" i="1"/>
  <c r="AZ2240" i="1"/>
  <c r="AZ2241" i="1"/>
  <c r="AZ2242" i="1"/>
  <c r="AZ2243" i="1"/>
  <c r="AZ2244" i="1"/>
  <c r="AZ2245" i="1"/>
  <c r="AZ2246" i="1"/>
  <c r="AZ2247" i="1"/>
  <c r="AZ2248" i="1"/>
  <c r="AZ2249" i="1"/>
  <c r="AZ2250" i="1"/>
  <c r="AZ2251" i="1"/>
  <c r="AZ2252" i="1"/>
  <c r="AZ2253" i="1"/>
  <c r="AZ2254" i="1"/>
  <c r="AZ2255" i="1"/>
  <c r="AZ2256" i="1"/>
  <c r="AZ2257" i="1"/>
  <c r="AZ2258" i="1"/>
  <c r="AZ2259" i="1"/>
  <c r="AZ2260" i="1"/>
  <c r="AZ2261" i="1"/>
  <c r="AZ2262" i="1"/>
  <c r="AZ2263" i="1"/>
  <c r="AZ2264" i="1"/>
  <c r="AZ2265" i="1"/>
  <c r="AZ2266" i="1"/>
  <c r="AZ2267" i="1"/>
  <c r="AZ2268" i="1"/>
  <c r="AZ2269" i="1"/>
  <c r="AZ2270" i="1"/>
  <c r="AZ2271" i="1"/>
  <c r="AZ2272" i="1"/>
  <c r="AZ2273" i="1"/>
  <c r="AZ2274" i="1"/>
  <c r="AZ2275" i="1"/>
  <c r="AZ2276" i="1"/>
  <c r="AZ2277" i="1"/>
  <c r="AZ2278" i="1"/>
  <c r="AZ2279" i="1"/>
  <c r="AZ2280" i="1"/>
  <c r="AZ2281" i="1"/>
  <c r="AZ2282" i="1"/>
  <c r="AZ2283" i="1"/>
  <c r="AZ2284" i="1"/>
  <c r="AZ2285" i="1"/>
  <c r="AZ2286" i="1"/>
  <c r="AZ2287" i="1"/>
  <c r="AZ2288" i="1"/>
  <c r="AZ2289" i="1"/>
  <c r="AZ2290" i="1"/>
  <c r="AZ2291" i="1"/>
  <c r="AZ2292" i="1"/>
  <c r="AZ2293" i="1"/>
  <c r="AZ2294" i="1"/>
  <c r="AZ2295" i="1"/>
  <c r="AZ2296" i="1"/>
  <c r="AZ2297" i="1"/>
  <c r="AZ2298" i="1"/>
  <c r="AZ2299" i="1"/>
  <c r="AZ2300" i="1"/>
  <c r="AZ2301" i="1"/>
  <c r="AZ2302" i="1"/>
  <c r="AZ2303" i="1"/>
  <c r="AZ2304" i="1"/>
  <c r="AZ2305" i="1"/>
  <c r="AZ2306" i="1"/>
  <c r="AZ2307" i="1"/>
  <c r="AZ2308" i="1"/>
  <c r="AZ2309" i="1"/>
  <c r="AZ2310" i="1"/>
  <c r="AZ2311" i="1"/>
  <c r="AZ2312" i="1"/>
  <c r="AZ2313" i="1"/>
  <c r="AZ2314" i="1"/>
  <c r="AZ2315" i="1"/>
  <c r="AZ2316" i="1"/>
  <c r="AZ2317" i="1"/>
  <c r="AZ2318" i="1"/>
  <c r="AZ2319" i="1"/>
  <c r="AZ2320" i="1"/>
  <c r="AZ2321" i="1"/>
  <c r="AZ2322" i="1"/>
  <c r="AZ2323" i="1"/>
  <c r="AZ2324" i="1"/>
  <c r="AZ2325" i="1"/>
  <c r="AZ2326" i="1"/>
  <c r="AZ2327" i="1"/>
  <c r="AZ2328" i="1"/>
  <c r="AZ2329" i="1"/>
  <c r="AZ2330" i="1"/>
  <c r="AZ2331" i="1"/>
  <c r="AZ2332" i="1"/>
  <c r="AZ2333" i="1"/>
  <c r="AZ2334" i="1"/>
  <c r="AZ2335" i="1"/>
  <c r="AZ2336" i="1"/>
  <c r="AZ2337" i="1"/>
  <c r="AZ2338" i="1"/>
  <c r="AZ2339" i="1"/>
  <c r="AZ2340" i="1"/>
  <c r="AZ2341" i="1"/>
  <c r="AZ2342" i="1"/>
  <c r="AZ2343" i="1"/>
  <c r="AZ2344" i="1"/>
  <c r="AZ2345" i="1"/>
  <c r="AZ2346" i="1"/>
  <c r="AZ2347" i="1"/>
  <c r="AZ2348" i="1"/>
  <c r="AZ2349" i="1"/>
  <c r="AZ2350" i="1"/>
  <c r="AZ2351" i="1"/>
  <c r="AZ2352" i="1"/>
  <c r="AZ2353" i="1"/>
  <c r="AZ2354" i="1"/>
  <c r="AZ2355" i="1"/>
  <c r="AZ2356" i="1"/>
  <c r="AZ2357" i="1"/>
  <c r="AZ2358" i="1"/>
  <c r="AZ2359" i="1"/>
  <c r="AZ2360" i="1"/>
  <c r="AZ2361" i="1"/>
  <c r="AZ2362" i="1"/>
  <c r="AZ2363" i="1"/>
  <c r="AZ2364" i="1"/>
  <c r="AZ2365" i="1"/>
  <c r="AZ2366" i="1"/>
  <c r="AZ2367" i="1"/>
  <c r="AZ2368" i="1"/>
  <c r="AZ2369" i="1"/>
  <c r="AZ2370" i="1"/>
  <c r="AZ2371" i="1"/>
  <c r="AZ2372" i="1"/>
  <c r="AZ2373" i="1"/>
  <c r="AZ2374" i="1"/>
  <c r="AZ2375" i="1"/>
  <c r="AZ2376" i="1"/>
  <c r="AZ2377" i="1"/>
  <c r="AZ2378" i="1"/>
  <c r="AZ2379" i="1"/>
  <c r="AZ2380" i="1"/>
  <c r="AZ2381" i="1"/>
  <c r="AZ2382" i="1"/>
  <c r="AZ2383" i="1"/>
  <c r="AZ2384" i="1"/>
  <c r="AZ2385" i="1"/>
  <c r="AZ2386" i="1"/>
  <c r="AZ2387" i="1"/>
  <c r="AZ2388" i="1"/>
  <c r="AZ2389" i="1"/>
  <c r="AZ2390" i="1"/>
  <c r="AZ2391" i="1"/>
  <c r="AZ2392" i="1"/>
  <c r="AZ2393" i="1"/>
  <c r="AZ2394" i="1"/>
  <c r="AZ2395" i="1"/>
  <c r="AZ2396" i="1"/>
  <c r="AZ2397" i="1"/>
  <c r="AZ2398" i="1"/>
  <c r="AZ2399" i="1"/>
  <c r="AZ2400" i="1"/>
  <c r="AZ2401" i="1"/>
  <c r="AZ2402" i="1"/>
  <c r="AZ2403" i="1"/>
  <c r="AZ2404" i="1"/>
  <c r="AZ2405" i="1"/>
  <c r="AZ2406" i="1"/>
  <c r="AZ2407" i="1"/>
  <c r="AZ2408" i="1"/>
  <c r="AZ2409" i="1"/>
  <c r="AZ2410" i="1"/>
  <c r="AZ2411" i="1"/>
  <c r="AZ2412" i="1"/>
  <c r="AZ2413" i="1"/>
  <c r="AZ2414" i="1"/>
  <c r="AZ2415" i="1"/>
  <c r="AZ2416" i="1"/>
  <c r="AZ2417" i="1"/>
  <c r="AZ2418" i="1"/>
  <c r="AZ2419" i="1"/>
  <c r="AZ2420" i="1"/>
  <c r="AZ2421" i="1"/>
  <c r="AZ2422" i="1"/>
  <c r="AZ2423" i="1"/>
  <c r="AZ2424" i="1"/>
  <c r="AZ2425" i="1"/>
  <c r="AZ2426" i="1"/>
  <c r="AZ2427" i="1"/>
  <c r="AZ2428" i="1"/>
  <c r="AZ2429" i="1"/>
  <c r="AZ2430" i="1"/>
  <c r="AZ2431" i="1"/>
  <c r="AZ2432" i="1"/>
  <c r="AZ2433" i="1"/>
  <c r="AZ2434" i="1"/>
  <c r="AZ2435" i="1"/>
  <c r="AZ2436" i="1"/>
  <c r="AZ2437" i="1"/>
  <c r="AZ2438" i="1"/>
  <c r="AZ2439" i="1"/>
  <c r="AZ2440" i="1"/>
  <c r="AZ2441" i="1"/>
  <c r="AZ2442" i="1"/>
  <c r="AZ2443" i="1"/>
  <c r="AZ2444" i="1"/>
  <c r="AZ2445" i="1"/>
  <c r="AZ2446" i="1"/>
  <c r="AZ2447" i="1"/>
  <c r="AZ2448" i="1"/>
  <c r="AZ2449" i="1"/>
  <c r="AZ2450" i="1"/>
  <c r="AZ2451" i="1"/>
  <c r="AZ2452" i="1"/>
  <c r="AZ2453" i="1"/>
  <c r="AZ2454" i="1"/>
  <c r="AZ2455" i="1"/>
  <c r="AZ2456" i="1"/>
  <c r="AZ2457" i="1"/>
  <c r="AZ2458" i="1"/>
  <c r="AZ2459" i="1"/>
  <c r="AZ2460" i="1"/>
  <c r="AZ2461" i="1"/>
  <c r="AZ2462" i="1"/>
  <c r="AZ2463" i="1"/>
  <c r="AZ2464" i="1"/>
  <c r="AZ2465" i="1"/>
  <c r="AZ2466" i="1"/>
  <c r="AZ2467" i="1"/>
  <c r="AZ2468" i="1"/>
  <c r="AZ2469" i="1"/>
  <c r="AZ2470" i="1"/>
  <c r="AZ2471" i="1"/>
  <c r="AZ2472" i="1"/>
  <c r="AZ2473" i="1"/>
  <c r="AZ2474" i="1"/>
  <c r="AZ2475" i="1"/>
  <c r="AZ2476" i="1"/>
  <c r="AZ2477" i="1"/>
  <c r="AZ2478" i="1"/>
  <c r="AZ2479" i="1"/>
  <c r="AZ2480" i="1"/>
  <c r="AZ2481" i="1"/>
  <c r="AZ2482" i="1"/>
  <c r="AZ2483" i="1"/>
  <c r="AZ2484" i="1"/>
  <c r="AZ2485" i="1"/>
  <c r="AZ2486" i="1"/>
  <c r="AZ2487" i="1"/>
  <c r="AZ2488" i="1"/>
  <c r="AZ2489" i="1"/>
  <c r="AZ2490" i="1"/>
  <c r="AZ2491" i="1"/>
  <c r="AZ2492" i="1"/>
  <c r="AZ2493" i="1"/>
  <c r="AZ2494" i="1"/>
  <c r="AZ2495" i="1"/>
  <c r="AZ2496" i="1"/>
  <c r="AZ2497" i="1"/>
  <c r="AZ2498" i="1"/>
  <c r="AZ2499" i="1"/>
  <c r="AZ2500" i="1"/>
  <c r="AZ2501" i="1"/>
  <c r="AZ2502" i="1"/>
  <c r="AZ2503" i="1"/>
  <c r="AZ2504" i="1"/>
  <c r="AZ2505" i="1"/>
  <c r="AZ2506" i="1"/>
  <c r="AZ2507" i="1"/>
  <c r="AZ2508" i="1"/>
  <c r="AZ2509" i="1"/>
  <c r="AZ2510" i="1"/>
  <c r="AZ2511" i="1"/>
  <c r="AZ2512" i="1"/>
  <c r="AZ2513" i="1"/>
  <c r="AZ2514" i="1"/>
  <c r="AZ2515" i="1"/>
  <c r="AZ2516" i="1"/>
  <c r="AZ2517" i="1"/>
  <c r="AZ2518" i="1"/>
  <c r="AZ2519" i="1"/>
  <c r="AZ2520" i="1"/>
  <c r="AZ2521" i="1"/>
  <c r="AZ2522" i="1"/>
  <c r="AZ2523" i="1"/>
  <c r="AZ2524" i="1"/>
  <c r="AZ2525" i="1"/>
  <c r="AZ2526" i="1"/>
  <c r="AZ2527" i="1"/>
  <c r="AZ2528" i="1"/>
  <c r="AZ2529" i="1"/>
  <c r="AZ2530" i="1"/>
  <c r="AZ2531" i="1"/>
  <c r="AZ2532" i="1"/>
  <c r="AZ2533" i="1"/>
  <c r="AZ2534" i="1"/>
  <c r="AZ2535" i="1"/>
  <c r="AZ2536" i="1"/>
  <c r="AZ2537" i="1"/>
  <c r="AZ2538" i="1"/>
  <c r="AZ2539" i="1"/>
  <c r="AZ2540" i="1"/>
  <c r="AZ2541" i="1"/>
  <c r="AZ2542" i="1"/>
  <c r="AZ2543" i="1"/>
  <c r="AZ2544" i="1"/>
  <c r="AZ2545" i="1"/>
  <c r="AZ2546" i="1"/>
  <c r="AZ2547" i="1"/>
  <c r="AZ2548" i="1"/>
  <c r="AZ2549" i="1"/>
  <c r="AZ2550" i="1"/>
  <c r="AZ2551" i="1"/>
  <c r="AZ2552" i="1"/>
  <c r="AZ2553" i="1"/>
  <c r="AZ2554" i="1"/>
  <c r="AZ2555" i="1"/>
  <c r="AZ2556" i="1"/>
  <c r="AZ2557" i="1"/>
  <c r="AZ2558" i="1"/>
  <c r="AZ2559" i="1"/>
  <c r="AZ2560" i="1"/>
  <c r="AZ2561" i="1"/>
  <c r="AZ2562" i="1"/>
  <c r="AZ2563" i="1"/>
  <c r="AZ2564" i="1"/>
  <c r="AZ2565" i="1"/>
  <c r="AZ2566" i="1"/>
  <c r="AZ2567" i="1"/>
  <c r="AZ2568" i="1"/>
  <c r="AZ2569" i="1"/>
  <c r="AZ2570" i="1"/>
  <c r="AZ2571" i="1"/>
  <c r="AZ2572" i="1"/>
  <c r="AZ2573" i="1"/>
  <c r="AZ2574" i="1"/>
  <c r="AZ2575" i="1"/>
  <c r="AZ2576" i="1"/>
  <c r="AZ2577" i="1"/>
  <c r="AZ2578" i="1"/>
  <c r="AZ2579" i="1"/>
  <c r="AZ2580" i="1"/>
  <c r="AZ2581" i="1"/>
  <c r="AZ2582" i="1"/>
  <c r="AZ2583" i="1"/>
  <c r="AZ2584" i="1"/>
  <c r="AZ2585" i="1"/>
  <c r="AZ2586" i="1"/>
  <c r="AZ2587" i="1"/>
  <c r="AZ2588" i="1"/>
  <c r="AZ2589" i="1"/>
  <c r="AZ2590" i="1"/>
  <c r="AZ2591" i="1"/>
  <c r="AZ2592" i="1"/>
  <c r="AZ2593" i="1"/>
  <c r="AZ2594" i="1"/>
  <c r="AZ2595" i="1"/>
  <c r="AZ2596" i="1"/>
  <c r="AZ2597" i="1"/>
  <c r="AZ2598" i="1"/>
  <c r="AZ2599" i="1"/>
  <c r="AZ2600" i="1"/>
  <c r="AZ2601" i="1"/>
  <c r="AZ2602" i="1"/>
  <c r="AZ2603" i="1"/>
  <c r="AZ2604" i="1"/>
  <c r="AZ2605" i="1"/>
  <c r="AZ2606" i="1"/>
  <c r="AZ2607" i="1"/>
  <c r="AZ2608" i="1"/>
  <c r="AZ2609" i="1"/>
  <c r="AZ2610" i="1"/>
  <c r="AZ2611" i="1"/>
  <c r="AZ2612" i="1"/>
  <c r="AZ2613" i="1"/>
  <c r="AZ2614" i="1"/>
  <c r="AZ2615" i="1"/>
  <c r="AZ2616" i="1"/>
  <c r="AZ2617" i="1"/>
  <c r="AZ2618" i="1"/>
  <c r="AZ2619" i="1"/>
  <c r="AZ2620" i="1"/>
  <c r="AZ2621" i="1"/>
  <c r="AZ2622" i="1"/>
  <c r="AZ2623" i="1"/>
  <c r="AZ2624" i="1"/>
  <c r="AZ2625" i="1"/>
  <c r="AZ2626" i="1"/>
  <c r="AZ2627" i="1"/>
  <c r="AZ2628" i="1"/>
  <c r="AZ2629" i="1"/>
  <c r="AZ2630" i="1"/>
  <c r="AZ2631" i="1"/>
  <c r="AZ2632" i="1"/>
  <c r="AZ2633" i="1"/>
  <c r="AZ2634" i="1"/>
  <c r="AZ2635" i="1"/>
  <c r="AZ2636" i="1"/>
  <c r="AZ2637" i="1"/>
  <c r="AZ2638" i="1"/>
  <c r="AZ2639" i="1"/>
  <c r="AZ2640" i="1"/>
  <c r="AZ2641" i="1"/>
  <c r="AZ2642" i="1"/>
  <c r="AZ2643" i="1"/>
  <c r="AZ2644" i="1"/>
  <c r="AZ2645" i="1"/>
  <c r="AZ2646" i="1"/>
  <c r="AZ2647" i="1"/>
  <c r="AZ2648" i="1"/>
  <c r="AZ2649" i="1"/>
  <c r="AZ2650" i="1"/>
  <c r="AZ2651" i="1"/>
  <c r="AZ2652" i="1"/>
  <c r="AZ2653" i="1"/>
  <c r="AZ2654" i="1"/>
  <c r="AZ2655" i="1"/>
  <c r="AZ2656" i="1"/>
  <c r="AZ2657" i="1"/>
  <c r="AZ2658" i="1"/>
  <c r="AZ2659" i="1"/>
  <c r="AZ2660" i="1"/>
  <c r="AZ2661" i="1"/>
  <c r="AZ2662" i="1"/>
  <c r="AZ2663" i="1"/>
  <c r="AZ2664" i="1"/>
  <c r="AZ2665" i="1"/>
  <c r="AZ2666" i="1"/>
  <c r="AZ2667" i="1"/>
  <c r="AZ2668" i="1"/>
  <c r="AZ2669" i="1"/>
  <c r="AZ2670" i="1"/>
  <c r="AZ2671" i="1"/>
  <c r="AZ2672" i="1"/>
  <c r="AZ2673" i="1"/>
  <c r="AZ2674" i="1"/>
  <c r="AZ2675" i="1"/>
  <c r="AZ2676" i="1"/>
  <c r="AZ2677" i="1"/>
  <c r="AZ2678" i="1"/>
  <c r="AZ2679" i="1"/>
  <c r="AZ2680" i="1"/>
  <c r="AZ2681" i="1"/>
  <c r="AZ2682" i="1"/>
  <c r="AZ2683" i="1"/>
  <c r="AZ2684" i="1"/>
  <c r="AZ2685" i="1"/>
  <c r="AZ2686" i="1"/>
  <c r="AZ2687" i="1"/>
  <c r="AZ2688" i="1"/>
  <c r="AZ2689" i="1"/>
  <c r="AZ2690" i="1"/>
  <c r="AZ2691" i="1"/>
  <c r="AZ2692" i="1"/>
  <c r="AZ2693" i="1"/>
  <c r="AZ2694" i="1"/>
  <c r="AZ2695" i="1"/>
  <c r="AZ2696" i="1"/>
  <c r="AZ2697" i="1"/>
  <c r="AZ2698" i="1"/>
  <c r="AZ2699" i="1"/>
  <c r="AZ2700" i="1"/>
  <c r="AZ2701" i="1"/>
  <c r="AZ2702" i="1"/>
  <c r="AZ2703" i="1"/>
  <c r="AZ2704" i="1"/>
  <c r="AZ2705" i="1"/>
  <c r="AZ2706" i="1"/>
  <c r="AZ2707" i="1"/>
  <c r="AZ2708" i="1"/>
  <c r="AZ2709" i="1"/>
  <c r="AZ2710" i="1"/>
  <c r="AZ2711" i="1"/>
  <c r="AZ2712" i="1"/>
  <c r="AZ2713" i="1"/>
  <c r="AZ2714" i="1"/>
  <c r="AZ2715" i="1"/>
  <c r="AZ2716" i="1"/>
  <c r="AZ2717" i="1"/>
  <c r="AZ2718" i="1"/>
  <c r="AZ2719" i="1"/>
  <c r="AZ2720" i="1"/>
  <c r="AZ2721" i="1"/>
  <c r="AZ2722" i="1"/>
  <c r="AZ2723" i="1"/>
  <c r="AZ2724" i="1"/>
  <c r="AZ2725" i="1"/>
  <c r="AZ2726" i="1"/>
  <c r="AZ2727" i="1"/>
  <c r="AZ2728" i="1"/>
  <c r="AZ2729" i="1"/>
  <c r="AZ2730" i="1"/>
  <c r="AZ2731" i="1"/>
  <c r="AZ2732" i="1"/>
  <c r="AZ2733" i="1"/>
  <c r="AZ2734" i="1"/>
  <c r="AZ2735" i="1"/>
  <c r="AZ2736" i="1"/>
  <c r="AZ2737" i="1"/>
  <c r="AZ2738" i="1"/>
  <c r="AZ2739" i="1"/>
  <c r="AZ2740" i="1"/>
  <c r="AZ2741" i="1"/>
  <c r="AZ2742" i="1"/>
  <c r="AZ2743" i="1"/>
  <c r="AZ2744" i="1"/>
  <c r="AZ2745" i="1"/>
  <c r="AZ2746" i="1"/>
  <c r="AZ2747" i="1"/>
  <c r="AZ2748" i="1"/>
  <c r="AZ2749" i="1"/>
  <c r="AZ2750" i="1"/>
  <c r="AZ2751" i="1"/>
  <c r="AZ2752" i="1"/>
  <c r="AZ2753" i="1"/>
  <c r="AZ2754" i="1"/>
  <c r="AZ2755" i="1"/>
  <c r="AZ2756" i="1"/>
  <c r="AZ2757" i="1"/>
  <c r="AZ2758" i="1"/>
  <c r="AZ2759" i="1"/>
  <c r="AZ2760" i="1"/>
  <c r="AZ2761" i="1"/>
  <c r="AZ2762" i="1"/>
  <c r="AZ2763" i="1"/>
  <c r="AZ2764" i="1"/>
  <c r="AZ2765" i="1"/>
  <c r="AZ2766" i="1"/>
  <c r="AZ2767" i="1"/>
  <c r="AZ2768" i="1"/>
  <c r="AZ2769" i="1"/>
  <c r="AZ2770" i="1"/>
  <c r="AZ2771" i="1"/>
  <c r="AZ2772" i="1"/>
  <c r="AZ2773" i="1"/>
  <c r="AZ2774" i="1"/>
  <c r="AZ2775" i="1"/>
  <c r="AZ2776" i="1"/>
  <c r="AZ2777" i="1"/>
  <c r="AZ2778" i="1"/>
  <c r="AZ2779" i="1"/>
  <c r="AZ2780" i="1"/>
  <c r="AZ2781" i="1"/>
  <c r="AZ2782" i="1"/>
  <c r="AZ2783" i="1"/>
  <c r="AZ2784" i="1"/>
  <c r="AZ2785" i="1"/>
  <c r="AZ2786" i="1"/>
  <c r="AZ2787" i="1"/>
  <c r="AZ2788" i="1"/>
  <c r="AZ2789" i="1"/>
  <c r="AZ2790" i="1"/>
  <c r="AZ2791" i="1"/>
  <c r="AZ2792" i="1"/>
  <c r="AZ2793" i="1"/>
  <c r="AZ2794" i="1"/>
  <c r="AZ2795" i="1"/>
  <c r="AZ2796" i="1"/>
  <c r="AZ2797" i="1"/>
  <c r="AZ2798" i="1"/>
  <c r="AZ2799" i="1"/>
  <c r="AZ2800" i="1"/>
  <c r="AZ2801" i="1"/>
  <c r="AZ2802" i="1"/>
  <c r="AZ2803" i="1"/>
  <c r="AZ2804" i="1"/>
  <c r="AZ2805" i="1"/>
  <c r="AZ2806" i="1"/>
  <c r="AZ2807" i="1"/>
  <c r="AZ2808" i="1"/>
  <c r="AZ2809" i="1"/>
  <c r="AZ2810" i="1"/>
  <c r="AZ2811" i="1"/>
  <c r="AZ2812" i="1"/>
  <c r="AZ2813" i="1"/>
  <c r="AZ2814" i="1"/>
  <c r="AZ2815" i="1"/>
  <c r="AZ2816" i="1"/>
  <c r="AZ2817" i="1"/>
  <c r="AZ2818" i="1"/>
  <c r="AZ2819" i="1"/>
  <c r="AZ2820" i="1"/>
  <c r="AZ2821" i="1"/>
  <c r="AZ2822" i="1"/>
  <c r="AZ2823" i="1"/>
  <c r="AZ2824" i="1"/>
  <c r="AZ2825" i="1"/>
  <c r="AZ2826" i="1"/>
  <c r="AZ2827" i="1"/>
  <c r="AZ2828" i="1"/>
  <c r="AZ2829" i="1"/>
  <c r="AZ2830" i="1"/>
  <c r="AZ2831" i="1"/>
  <c r="AZ2832" i="1"/>
  <c r="AZ2833" i="1"/>
  <c r="AZ2834" i="1"/>
  <c r="AZ2835" i="1"/>
  <c r="AZ2836" i="1"/>
  <c r="AZ2837" i="1"/>
  <c r="AZ2838" i="1"/>
  <c r="AZ2839" i="1"/>
  <c r="AZ2840" i="1"/>
  <c r="AZ2841" i="1"/>
  <c r="AZ2842" i="1"/>
  <c r="AZ2843" i="1"/>
  <c r="AZ2844" i="1"/>
  <c r="AZ2845" i="1"/>
  <c r="AZ2846" i="1"/>
  <c r="AZ2847" i="1"/>
  <c r="AZ2848" i="1"/>
  <c r="AZ2849" i="1"/>
  <c r="AZ2850" i="1"/>
  <c r="AZ2851" i="1"/>
  <c r="AZ2852" i="1"/>
  <c r="AZ2853" i="1"/>
  <c r="AZ2854" i="1"/>
  <c r="AZ2855" i="1"/>
  <c r="AZ2856" i="1"/>
  <c r="AZ2857" i="1"/>
  <c r="AZ2858" i="1"/>
  <c r="AZ2859" i="1"/>
  <c r="AZ2860" i="1"/>
  <c r="AZ2861" i="1"/>
  <c r="AZ2862" i="1"/>
  <c r="AZ2863" i="1"/>
  <c r="AZ2864" i="1"/>
  <c r="AZ2865" i="1"/>
  <c r="AZ2866" i="1"/>
  <c r="AZ2867" i="1"/>
  <c r="AZ2868" i="1"/>
  <c r="AZ2869" i="1"/>
  <c r="AZ2870" i="1"/>
  <c r="AZ2871" i="1"/>
  <c r="AZ2872" i="1"/>
  <c r="AZ2873" i="1"/>
  <c r="AZ2874" i="1"/>
  <c r="AZ2875" i="1"/>
  <c r="AZ2876" i="1"/>
  <c r="AZ2877" i="1"/>
  <c r="AZ2878" i="1"/>
  <c r="AZ2879" i="1"/>
  <c r="AZ2880" i="1"/>
  <c r="AZ2881" i="1"/>
  <c r="AZ2882" i="1"/>
  <c r="AZ2883" i="1"/>
  <c r="AZ2884" i="1"/>
  <c r="AZ2885" i="1"/>
  <c r="AZ2886" i="1"/>
  <c r="AZ2887" i="1"/>
  <c r="AZ2888" i="1"/>
  <c r="AZ2889" i="1"/>
  <c r="AZ2890" i="1"/>
  <c r="AZ2891" i="1"/>
  <c r="AZ2892" i="1"/>
  <c r="AZ2893" i="1"/>
  <c r="AZ2894" i="1"/>
  <c r="AZ2895" i="1"/>
  <c r="AZ2896" i="1"/>
  <c r="AZ2897" i="1"/>
  <c r="AZ2898" i="1"/>
  <c r="AZ2899" i="1"/>
  <c r="AZ2900" i="1"/>
  <c r="AZ2901" i="1"/>
  <c r="AZ2902" i="1"/>
  <c r="AZ2903" i="1"/>
  <c r="AZ2904" i="1"/>
  <c r="AZ2905" i="1"/>
  <c r="AZ2906" i="1"/>
  <c r="AZ2907" i="1"/>
  <c r="AZ2908" i="1"/>
  <c r="AZ2909" i="1"/>
  <c r="AZ2910" i="1"/>
  <c r="AZ2911" i="1"/>
  <c r="AZ2912" i="1"/>
  <c r="AZ2913" i="1"/>
  <c r="AZ2914" i="1"/>
  <c r="AZ2915" i="1"/>
  <c r="AZ2916" i="1"/>
  <c r="AZ2917" i="1"/>
  <c r="AZ2918" i="1"/>
  <c r="AZ2919" i="1"/>
  <c r="AZ2920" i="1"/>
  <c r="AZ2921" i="1"/>
  <c r="AZ2922" i="1"/>
  <c r="AZ2923" i="1"/>
  <c r="AZ2924" i="1"/>
  <c r="AZ2925" i="1"/>
  <c r="AZ2926" i="1"/>
  <c r="AZ2927" i="1"/>
  <c r="AZ2928" i="1"/>
  <c r="AZ2929" i="1"/>
  <c r="AZ2930" i="1"/>
  <c r="AZ2931" i="1"/>
  <c r="AZ2932" i="1"/>
  <c r="AZ2933" i="1"/>
  <c r="AZ2934" i="1"/>
  <c r="AZ2935" i="1"/>
  <c r="AZ2936" i="1"/>
  <c r="AZ2937" i="1"/>
  <c r="AZ2938" i="1"/>
  <c r="AZ2939" i="1"/>
  <c r="AZ2940" i="1"/>
  <c r="AZ2941" i="1"/>
  <c r="AZ2942" i="1"/>
  <c r="AZ2943" i="1"/>
  <c r="AZ2944" i="1"/>
  <c r="AZ2945" i="1"/>
  <c r="AZ2946" i="1"/>
  <c r="AZ2947" i="1"/>
  <c r="AZ2948" i="1"/>
  <c r="AZ2949" i="1"/>
  <c r="AZ2950" i="1"/>
  <c r="AZ2951" i="1"/>
  <c r="AZ2952" i="1"/>
  <c r="AZ2953" i="1"/>
  <c r="AZ2954" i="1"/>
  <c r="AZ2955" i="1"/>
  <c r="AZ2956" i="1"/>
  <c r="AZ2957" i="1"/>
  <c r="AZ2958" i="1"/>
  <c r="AZ2959" i="1"/>
  <c r="AZ2960" i="1"/>
  <c r="AZ2961" i="1"/>
  <c r="AZ2962" i="1"/>
  <c r="AZ2963" i="1"/>
  <c r="AZ2964" i="1"/>
  <c r="AZ2965" i="1"/>
  <c r="AZ2966" i="1"/>
  <c r="AZ2967" i="1"/>
  <c r="AZ2968" i="1"/>
  <c r="AZ2969" i="1"/>
  <c r="AZ2970" i="1"/>
  <c r="AZ2971" i="1"/>
  <c r="AZ2972" i="1"/>
  <c r="AZ2973" i="1"/>
  <c r="AZ2974" i="1"/>
  <c r="AZ2975" i="1"/>
  <c r="AZ2976" i="1"/>
  <c r="AZ2977" i="1"/>
  <c r="AZ2978" i="1"/>
  <c r="AZ2979" i="1"/>
  <c r="AZ2980" i="1"/>
  <c r="AZ2981" i="1"/>
  <c r="AZ2982" i="1"/>
  <c r="AZ2983" i="1"/>
  <c r="AZ2984" i="1"/>
  <c r="AZ2985" i="1"/>
  <c r="AZ2986" i="1"/>
  <c r="AZ2987" i="1"/>
  <c r="AZ2988" i="1"/>
  <c r="AZ2989" i="1"/>
  <c r="AZ2990" i="1"/>
  <c r="AZ2991" i="1"/>
  <c r="AZ2992" i="1"/>
  <c r="AZ2993" i="1"/>
  <c r="AZ2994" i="1"/>
  <c r="AZ2995" i="1"/>
  <c r="AZ2996" i="1"/>
  <c r="AZ2997" i="1"/>
  <c r="AZ2998" i="1"/>
  <c r="AZ2999" i="1"/>
  <c r="AZ3000" i="1"/>
  <c r="AZ3001" i="1"/>
  <c r="AZ3002" i="1"/>
  <c r="AZ3003" i="1"/>
  <c r="AZ3004" i="1"/>
  <c r="AZ3005" i="1"/>
  <c r="AZ3006" i="1"/>
  <c r="AZ3007" i="1"/>
  <c r="AZ3008" i="1"/>
  <c r="AZ3009" i="1"/>
  <c r="AZ3010" i="1"/>
  <c r="AZ3011" i="1"/>
  <c r="AZ3012" i="1"/>
  <c r="AZ3013" i="1"/>
  <c r="AZ3014" i="1"/>
  <c r="AZ3015" i="1"/>
  <c r="AZ3016" i="1"/>
  <c r="AZ3017" i="1"/>
  <c r="AZ3018" i="1"/>
  <c r="AZ3019" i="1"/>
  <c r="AZ3020" i="1"/>
  <c r="AZ3021" i="1"/>
  <c r="AZ3022" i="1"/>
  <c r="AZ3023" i="1"/>
  <c r="AZ3024" i="1"/>
  <c r="AZ3025" i="1"/>
  <c r="AZ3026" i="1"/>
  <c r="AZ3027" i="1"/>
  <c r="AZ3028" i="1"/>
  <c r="AZ3029" i="1"/>
  <c r="AZ3030" i="1"/>
  <c r="AZ3031" i="1"/>
  <c r="AZ3032" i="1"/>
  <c r="AZ3033" i="1"/>
  <c r="AZ3034" i="1"/>
  <c r="AZ3035" i="1"/>
  <c r="AZ3036" i="1"/>
  <c r="AZ3037" i="1"/>
  <c r="AZ3038" i="1"/>
  <c r="AZ3039" i="1"/>
  <c r="AZ3040" i="1"/>
  <c r="AZ3041" i="1"/>
  <c r="AZ3042" i="1"/>
  <c r="AZ3043" i="1"/>
  <c r="AZ3044" i="1"/>
  <c r="AZ3045" i="1"/>
  <c r="AZ3046" i="1"/>
  <c r="AZ3047" i="1"/>
  <c r="AZ3048" i="1"/>
  <c r="AZ3049" i="1"/>
  <c r="AZ3050" i="1"/>
  <c r="AZ3051" i="1"/>
  <c r="AZ3052" i="1"/>
  <c r="AZ3053" i="1"/>
  <c r="AZ3054" i="1"/>
  <c r="AZ3055" i="1"/>
  <c r="AZ3056" i="1"/>
  <c r="AZ3057" i="1"/>
  <c r="AZ3058" i="1"/>
  <c r="AZ3059" i="1"/>
  <c r="AZ3060" i="1"/>
  <c r="AZ3061" i="1"/>
  <c r="AZ3062" i="1"/>
  <c r="AZ3063" i="1"/>
  <c r="AZ3064" i="1"/>
  <c r="AZ3065" i="1"/>
  <c r="AZ3066" i="1"/>
  <c r="AZ3067" i="1"/>
  <c r="AZ3068" i="1"/>
  <c r="AZ3069" i="1"/>
  <c r="AZ3070" i="1"/>
  <c r="AZ3071" i="1"/>
  <c r="AZ3072" i="1"/>
  <c r="AZ3073" i="1"/>
  <c r="AZ3074" i="1"/>
  <c r="AZ3075" i="1"/>
  <c r="AZ3076" i="1"/>
  <c r="AZ3077" i="1"/>
  <c r="AZ3078" i="1"/>
  <c r="AZ3079" i="1"/>
  <c r="AZ3080" i="1"/>
  <c r="AZ3081" i="1"/>
  <c r="AZ3082" i="1"/>
  <c r="AZ3083" i="1"/>
  <c r="AZ3084" i="1"/>
  <c r="AZ3085" i="1"/>
  <c r="AZ3086" i="1"/>
  <c r="AZ3087" i="1"/>
  <c r="AZ3088" i="1"/>
  <c r="AZ3089" i="1"/>
  <c r="AZ3090" i="1"/>
  <c r="AZ3091" i="1"/>
  <c r="AZ3092" i="1"/>
  <c r="AZ3093" i="1"/>
  <c r="AZ3094" i="1"/>
  <c r="AZ3095" i="1"/>
  <c r="AZ3096" i="1"/>
  <c r="AZ3097" i="1"/>
  <c r="AZ3098" i="1"/>
  <c r="AZ3099" i="1"/>
  <c r="AZ3100" i="1"/>
  <c r="AZ3101" i="1"/>
  <c r="AZ3102" i="1"/>
  <c r="AZ3103" i="1"/>
  <c r="AZ3104" i="1"/>
  <c r="AZ3105" i="1"/>
  <c r="AZ3106" i="1"/>
  <c r="AZ3107" i="1"/>
  <c r="AZ3108" i="1"/>
  <c r="AZ3109" i="1"/>
  <c r="AZ3110" i="1"/>
  <c r="AZ3111" i="1"/>
  <c r="AZ3112" i="1"/>
  <c r="AZ3113" i="1"/>
  <c r="AZ3114" i="1"/>
  <c r="AZ3115" i="1"/>
  <c r="AZ3116" i="1"/>
  <c r="AZ3117" i="1"/>
  <c r="AZ3118" i="1"/>
  <c r="AZ3119" i="1"/>
  <c r="AZ3120" i="1"/>
  <c r="AZ3121" i="1"/>
  <c r="AZ3122" i="1"/>
  <c r="AZ3123" i="1"/>
  <c r="AZ3124" i="1"/>
  <c r="AZ3125" i="1"/>
  <c r="AZ3126" i="1"/>
  <c r="AZ3127" i="1"/>
  <c r="AZ3128" i="1"/>
  <c r="AZ3129" i="1"/>
  <c r="AZ3130" i="1"/>
  <c r="AZ3131" i="1"/>
  <c r="AZ3132" i="1"/>
  <c r="AZ3133" i="1"/>
  <c r="AZ3134" i="1"/>
  <c r="AZ3135" i="1"/>
  <c r="AZ3136" i="1"/>
  <c r="AZ3137" i="1"/>
  <c r="AZ3138" i="1"/>
  <c r="AZ3139" i="1"/>
  <c r="AZ3140" i="1"/>
  <c r="AZ3141" i="1"/>
  <c r="AZ3142" i="1"/>
  <c r="AZ3143" i="1"/>
  <c r="AZ3144" i="1"/>
  <c r="AZ3145" i="1"/>
  <c r="AZ3146" i="1"/>
  <c r="AZ3147" i="1"/>
  <c r="AZ3148" i="1"/>
  <c r="AZ3149" i="1"/>
  <c r="AZ3150" i="1"/>
  <c r="AZ3151" i="1"/>
  <c r="AZ3152" i="1"/>
  <c r="AZ3153" i="1"/>
  <c r="AZ3154" i="1"/>
  <c r="AZ3155" i="1"/>
  <c r="AZ3156" i="1"/>
  <c r="AZ3157" i="1"/>
  <c r="AZ3158" i="1"/>
  <c r="AZ3159" i="1"/>
  <c r="AZ3160" i="1"/>
  <c r="AZ3161" i="1"/>
  <c r="AZ3162" i="1"/>
  <c r="AZ3163" i="1"/>
  <c r="AZ3164" i="1"/>
  <c r="AZ3165" i="1"/>
  <c r="AZ3166" i="1"/>
  <c r="AZ3167" i="1"/>
  <c r="AZ3168" i="1"/>
  <c r="AZ3169" i="1"/>
  <c r="AZ3170" i="1"/>
  <c r="AZ3171" i="1"/>
  <c r="AZ3172" i="1"/>
  <c r="AZ3173" i="1"/>
  <c r="AZ3174" i="1"/>
  <c r="AZ3175" i="1"/>
  <c r="AZ3176" i="1"/>
  <c r="AZ3177" i="1"/>
  <c r="AZ3178" i="1"/>
  <c r="AZ3179" i="1"/>
  <c r="AZ3180" i="1"/>
  <c r="AZ3181" i="1"/>
  <c r="AZ3182" i="1"/>
  <c r="AZ3183" i="1"/>
  <c r="AZ3184" i="1"/>
  <c r="AZ3185" i="1"/>
  <c r="AZ3186" i="1"/>
  <c r="AZ3187" i="1"/>
  <c r="AZ3188" i="1"/>
  <c r="AZ3189" i="1"/>
  <c r="AZ3190" i="1"/>
  <c r="AZ3191" i="1"/>
  <c r="AZ3192" i="1"/>
  <c r="AZ3193" i="1"/>
  <c r="AZ3194" i="1"/>
  <c r="AZ3195" i="1"/>
  <c r="AZ3196" i="1"/>
  <c r="AZ3197" i="1"/>
  <c r="AZ3198" i="1"/>
  <c r="AZ3199" i="1"/>
  <c r="AZ3200" i="1"/>
  <c r="AZ3201" i="1"/>
  <c r="AZ3202" i="1"/>
  <c r="AZ3203" i="1"/>
  <c r="AZ3204" i="1"/>
  <c r="AZ3205" i="1"/>
  <c r="AZ3206" i="1"/>
  <c r="AZ3207" i="1"/>
  <c r="AZ3208" i="1"/>
  <c r="AZ3209" i="1"/>
  <c r="AZ3210" i="1"/>
  <c r="AZ3211" i="1"/>
  <c r="AZ3212" i="1"/>
  <c r="AZ3213" i="1"/>
  <c r="AZ3214" i="1"/>
  <c r="AZ3215" i="1"/>
  <c r="AZ3216" i="1"/>
  <c r="AZ3217" i="1"/>
  <c r="AZ3218" i="1"/>
  <c r="AZ3219" i="1"/>
  <c r="AZ3220" i="1"/>
  <c r="AZ3221" i="1"/>
  <c r="AZ3222" i="1"/>
  <c r="AZ3223" i="1"/>
  <c r="AZ3224" i="1"/>
  <c r="AZ3225" i="1"/>
  <c r="AZ3226" i="1"/>
  <c r="AZ3227" i="1"/>
  <c r="AZ3228" i="1"/>
  <c r="AZ3229" i="1"/>
  <c r="AZ3230" i="1"/>
  <c r="AZ3231" i="1"/>
  <c r="AZ3232" i="1"/>
  <c r="AZ3233" i="1"/>
  <c r="AZ3234" i="1"/>
  <c r="AZ3235" i="1"/>
  <c r="AZ3236" i="1"/>
  <c r="AZ3237" i="1"/>
  <c r="AZ3238" i="1"/>
  <c r="AZ3239" i="1"/>
  <c r="AZ3240" i="1"/>
  <c r="AZ3241" i="1"/>
  <c r="AZ3242" i="1"/>
  <c r="AZ3243" i="1"/>
  <c r="AZ3244" i="1"/>
  <c r="AZ3245" i="1"/>
  <c r="AZ3246" i="1"/>
  <c r="AZ3247" i="1"/>
  <c r="AZ3248" i="1"/>
  <c r="AZ3249" i="1"/>
  <c r="AZ3250" i="1"/>
  <c r="AZ3251" i="1"/>
  <c r="AZ3252" i="1"/>
  <c r="AZ3253" i="1"/>
  <c r="AZ3254" i="1"/>
  <c r="AZ3255" i="1"/>
  <c r="AZ3256" i="1"/>
  <c r="AZ3257" i="1"/>
  <c r="AZ3258" i="1"/>
  <c r="AZ3259" i="1"/>
  <c r="AZ3260" i="1"/>
  <c r="AZ3261" i="1"/>
  <c r="AZ3262" i="1"/>
  <c r="AZ3263" i="1"/>
  <c r="AZ3264" i="1"/>
  <c r="AZ3265" i="1"/>
  <c r="AZ3266" i="1"/>
  <c r="AZ3267" i="1"/>
  <c r="AZ3268" i="1"/>
  <c r="AZ3269" i="1"/>
  <c r="AZ3270" i="1"/>
  <c r="AZ3271" i="1"/>
  <c r="AZ3272" i="1"/>
  <c r="AZ3273" i="1"/>
  <c r="AZ3274" i="1"/>
  <c r="AZ3275" i="1"/>
  <c r="AZ3276" i="1"/>
  <c r="AZ3277" i="1"/>
  <c r="AZ3278" i="1"/>
  <c r="AZ3279" i="1"/>
  <c r="AZ3280" i="1"/>
  <c r="AZ3281" i="1"/>
  <c r="AZ3282" i="1"/>
  <c r="AZ3283" i="1"/>
  <c r="AZ3284" i="1"/>
  <c r="AZ3285" i="1"/>
  <c r="AZ3286" i="1"/>
  <c r="AZ3287" i="1"/>
  <c r="AZ3288" i="1"/>
  <c r="AZ3289" i="1"/>
  <c r="AZ3290" i="1"/>
  <c r="AZ3291" i="1"/>
  <c r="AZ3292" i="1"/>
  <c r="AZ3293" i="1"/>
  <c r="AZ3294" i="1"/>
  <c r="AZ3295" i="1"/>
  <c r="AZ3296" i="1"/>
  <c r="AZ3297" i="1"/>
  <c r="AZ3298" i="1"/>
  <c r="AZ3299" i="1"/>
  <c r="AZ3300" i="1"/>
  <c r="AZ3301" i="1"/>
  <c r="AZ3302" i="1"/>
  <c r="AZ3303" i="1"/>
  <c r="AZ3304" i="1"/>
  <c r="AZ3305" i="1"/>
  <c r="AZ3306" i="1"/>
  <c r="AZ3307" i="1"/>
  <c r="AZ3308" i="1"/>
  <c r="AZ3309" i="1"/>
  <c r="AZ3310" i="1"/>
  <c r="AZ3311" i="1"/>
  <c r="AZ3312" i="1"/>
  <c r="AZ3313" i="1"/>
  <c r="AZ3314" i="1"/>
  <c r="AZ3315" i="1"/>
  <c r="AZ3316" i="1"/>
  <c r="AZ3317" i="1"/>
  <c r="AZ3318" i="1"/>
  <c r="AZ3319" i="1"/>
  <c r="AZ3320" i="1"/>
  <c r="AZ3321" i="1"/>
  <c r="AZ3322" i="1"/>
  <c r="AZ3323" i="1"/>
  <c r="AZ3324" i="1"/>
  <c r="AZ3325" i="1"/>
  <c r="AZ3326" i="1"/>
  <c r="AZ3327" i="1"/>
  <c r="AZ3328" i="1"/>
  <c r="AZ3329" i="1"/>
  <c r="AZ3330" i="1"/>
  <c r="AZ3331" i="1"/>
  <c r="AZ3332" i="1"/>
  <c r="AZ3333" i="1"/>
  <c r="AZ3334" i="1"/>
  <c r="AZ3335" i="1"/>
  <c r="AZ3336" i="1"/>
  <c r="AZ3337" i="1"/>
  <c r="AZ3338" i="1"/>
  <c r="AZ3339" i="1"/>
  <c r="AZ3340" i="1"/>
  <c r="AZ3341" i="1"/>
  <c r="AZ3342" i="1"/>
  <c r="AZ3343" i="1"/>
  <c r="AZ3344" i="1"/>
  <c r="AZ3345" i="1"/>
  <c r="AZ3346" i="1"/>
  <c r="AZ3347" i="1"/>
  <c r="AZ3348" i="1"/>
  <c r="AZ3349" i="1"/>
  <c r="AZ3350" i="1"/>
  <c r="AZ3351" i="1"/>
  <c r="AZ3352" i="1"/>
  <c r="AZ3353" i="1"/>
  <c r="AZ3354" i="1"/>
  <c r="AZ3355" i="1"/>
  <c r="AZ3356" i="1"/>
  <c r="AZ3357" i="1"/>
  <c r="AZ3358" i="1"/>
  <c r="AZ3359" i="1"/>
  <c r="AZ3360" i="1"/>
  <c r="AZ3361" i="1"/>
  <c r="AZ3362" i="1"/>
  <c r="AZ3363" i="1"/>
  <c r="AZ3364" i="1"/>
  <c r="AZ3365" i="1"/>
  <c r="AZ3366" i="1"/>
  <c r="AZ3367" i="1"/>
  <c r="AZ3368" i="1"/>
  <c r="AZ3369" i="1"/>
  <c r="AZ3370" i="1"/>
  <c r="AZ3371" i="1"/>
  <c r="AZ3372" i="1"/>
  <c r="AZ3373" i="1"/>
  <c r="AZ3374" i="1"/>
  <c r="AZ3375" i="1"/>
  <c r="AZ3376" i="1"/>
  <c r="AZ3377" i="1"/>
  <c r="AZ3378" i="1"/>
  <c r="AZ3379" i="1"/>
  <c r="AZ3380" i="1"/>
  <c r="AZ3381" i="1"/>
  <c r="AZ3382" i="1"/>
  <c r="AZ3383" i="1"/>
  <c r="AZ3384" i="1"/>
  <c r="AZ3385" i="1"/>
  <c r="AZ3386" i="1"/>
  <c r="AZ3387" i="1"/>
  <c r="AZ3388" i="1"/>
  <c r="AZ3389" i="1"/>
  <c r="AZ3390" i="1"/>
  <c r="AZ3391" i="1"/>
  <c r="AZ3392" i="1"/>
  <c r="AZ3393" i="1"/>
  <c r="AZ3394" i="1"/>
  <c r="AZ3395" i="1"/>
  <c r="AZ3396" i="1"/>
  <c r="AZ3397" i="1"/>
  <c r="AZ3398" i="1"/>
  <c r="AZ3399" i="1"/>
  <c r="AZ3400" i="1"/>
  <c r="AZ3401" i="1"/>
  <c r="AZ3402" i="1"/>
  <c r="AZ3403" i="1"/>
  <c r="AZ3404" i="1"/>
  <c r="AZ3405" i="1"/>
  <c r="AZ3406" i="1"/>
  <c r="AZ3407" i="1"/>
  <c r="AZ3408" i="1"/>
  <c r="AZ3409" i="1"/>
  <c r="AZ3410" i="1"/>
  <c r="AZ3411" i="1"/>
  <c r="AZ3412" i="1"/>
  <c r="AZ3413" i="1"/>
  <c r="AZ3414" i="1"/>
  <c r="AZ3415" i="1"/>
  <c r="AZ3416" i="1"/>
  <c r="AZ3417" i="1"/>
  <c r="AZ3418" i="1"/>
  <c r="AZ3419" i="1"/>
  <c r="AZ3420" i="1"/>
  <c r="AZ3421" i="1"/>
  <c r="AZ3422" i="1"/>
  <c r="AZ3423" i="1"/>
  <c r="AZ3424" i="1"/>
  <c r="AZ3425" i="1"/>
  <c r="AZ3426" i="1"/>
  <c r="AZ3427" i="1"/>
  <c r="AZ3428" i="1"/>
  <c r="AZ3429" i="1"/>
  <c r="AZ3430" i="1"/>
  <c r="AZ3431" i="1"/>
  <c r="AZ3432" i="1"/>
  <c r="AZ3433" i="1"/>
  <c r="AZ3434" i="1"/>
  <c r="AZ3435" i="1"/>
  <c r="AZ3436" i="1"/>
  <c r="AZ3437" i="1"/>
  <c r="AZ3438" i="1"/>
  <c r="AZ3439" i="1"/>
  <c r="AZ3440" i="1"/>
  <c r="AZ3441" i="1"/>
  <c r="AZ3442" i="1"/>
  <c r="AZ3443" i="1"/>
  <c r="AZ3444" i="1"/>
  <c r="AZ3445" i="1"/>
  <c r="AZ3446" i="1"/>
  <c r="AZ3447" i="1"/>
  <c r="AZ3448" i="1"/>
  <c r="AZ3449" i="1"/>
  <c r="AZ3450" i="1"/>
  <c r="AZ3451" i="1"/>
  <c r="AZ3452" i="1"/>
  <c r="AZ3453" i="1"/>
  <c r="AZ3454" i="1"/>
  <c r="AZ3455" i="1"/>
  <c r="AZ3456" i="1"/>
  <c r="AZ3457" i="1"/>
  <c r="AZ3458" i="1"/>
  <c r="AZ3459" i="1"/>
  <c r="AZ3460" i="1"/>
  <c r="AZ3461" i="1"/>
  <c r="AZ3462" i="1"/>
  <c r="AZ3463" i="1"/>
  <c r="AZ3464" i="1"/>
  <c r="AZ3465" i="1"/>
  <c r="AZ3466" i="1"/>
  <c r="AZ3467" i="1"/>
  <c r="AZ3468" i="1"/>
  <c r="AZ3469" i="1"/>
  <c r="AZ3470" i="1"/>
  <c r="AZ3471" i="1"/>
  <c r="AZ3472" i="1"/>
  <c r="AZ3473" i="1"/>
  <c r="AZ3474" i="1"/>
  <c r="AZ3475" i="1"/>
  <c r="AZ3476" i="1"/>
  <c r="AZ3477" i="1"/>
  <c r="AZ3478" i="1"/>
  <c r="AZ3479" i="1"/>
  <c r="AZ3480" i="1"/>
  <c r="AZ3481" i="1"/>
  <c r="AZ3482" i="1"/>
  <c r="AZ3483" i="1"/>
  <c r="AZ3484" i="1"/>
  <c r="AZ3485" i="1"/>
  <c r="AZ3486" i="1"/>
  <c r="AZ3487" i="1"/>
  <c r="AZ3488" i="1"/>
  <c r="AZ3489" i="1"/>
  <c r="AZ3490" i="1"/>
  <c r="AZ3491" i="1"/>
  <c r="AZ3492" i="1"/>
  <c r="AZ3493" i="1"/>
  <c r="AZ3494" i="1"/>
  <c r="AZ3495" i="1"/>
  <c r="AZ3496" i="1"/>
  <c r="AZ3497" i="1"/>
  <c r="AZ3498" i="1"/>
  <c r="AZ3499" i="1"/>
  <c r="AZ3500" i="1"/>
  <c r="AZ3501" i="1"/>
  <c r="AZ3502" i="1"/>
  <c r="AZ3503" i="1"/>
  <c r="AZ3504" i="1"/>
  <c r="AZ3505" i="1"/>
  <c r="AZ3506" i="1"/>
  <c r="AZ3507" i="1"/>
  <c r="AZ3508" i="1"/>
  <c r="AZ3509" i="1"/>
  <c r="AZ3510" i="1"/>
  <c r="AZ3511" i="1"/>
  <c r="AZ3512" i="1"/>
  <c r="AZ3513" i="1"/>
  <c r="AZ3514" i="1"/>
  <c r="AZ3515" i="1"/>
  <c r="AZ3516" i="1"/>
  <c r="AZ3517" i="1"/>
  <c r="AZ3518" i="1"/>
  <c r="AZ3519" i="1"/>
  <c r="AZ3520" i="1"/>
  <c r="AZ3521" i="1"/>
  <c r="AZ3522" i="1"/>
  <c r="AZ3523" i="1"/>
  <c r="AZ3524" i="1"/>
  <c r="AZ3525" i="1"/>
  <c r="AZ3526" i="1"/>
  <c r="AZ3527" i="1"/>
  <c r="AZ3528" i="1"/>
  <c r="AZ3529" i="1"/>
  <c r="AZ3530" i="1"/>
  <c r="AZ3531" i="1"/>
  <c r="AZ3532" i="1"/>
  <c r="AZ3533" i="1"/>
  <c r="AZ3534" i="1"/>
  <c r="AZ3535" i="1"/>
  <c r="AZ3536" i="1"/>
  <c r="AZ3537" i="1"/>
  <c r="AZ3538" i="1"/>
  <c r="AZ3539" i="1"/>
  <c r="AZ3540" i="1"/>
  <c r="AZ3541" i="1"/>
  <c r="AZ3542" i="1"/>
  <c r="AZ3543" i="1"/>
  <c r="AZ3544" i="1"/>
  <c r="AZ3545" i="1"/>
  <c r="AZ3546" i="1"/>
  <c r="AZ3547" i="1"/>
  <c r="AZ3548" i="1"/>
  <c r="AZ3549" i="1"/>
  <c r="AZ3550" i="1"/>
  <c r="AZ3551" i="1"/>
  <c r="AZ3552" i="1"/>
  <c r="AZ3553" i="1"/>
  <c r="AZ3554" i="1"/>
  <c r="AZ3555" i="1"/>
  <c r="AZ3556" i="1"/>
  <c r="AZ3557" i="1"/>
  <c r="AZ3558" i="1"/>
  <c r="AZ3559" i="1"/>
  <c r="AZ3560" i="1"/>
  <c r="AZ3561" i="1"/>
  <c r="AZ3562" i="1"/>
  <c r="AZ3563" i="1"/>
  <c r="AZ3564" i="1"/>
  <c r="AZ3565" i="1"/>
  <c r="AZ3566" i="1"/>
  <c r="AZ3567" i="1"/>
  <c r="AZ3568" i="1"/>
  <c r="AZ3569" i="1"/>
  <c r="AZ3570" i="1"/>
  <c r="AZ3571" i="1"/>
  <c r="AZ3572" i="1"/>
  <c r="AZ3573" i="1"/>
  <c r="AZ3574" i="1"/>
  <c r="AZ3575" i="1"/>
  <c r="AZ3576" i="1"/>
  <c r="AZ3577" i="1"/>
  <c r="AZ3578" i="1"/>
  <c r="AZ3579" i="1"/>
  <c r="AZ3580" i="1"/>
  <c r="AZ3581" i="1"/>
  <c r="AZ3582" i="1"/>
  <c r="AZ3583" i="1"/>
  <c r="AZ3584" i="1"/>
  <c r="AZ3585" i="1"/>
  <c r="AZ3586" i="1"/>
  <c r="AZ3587" i="1"/>
  <c r="AZ3588" i="1"/>
  <c r="AZ3589" i="1"/>
  <c r="AZ3590" i="1"/>
  <c r="AZ3591" i="1"/>
  <c r="AZ3592" i="1"/>
  <c r="AZ3593" i="1"/>
  <c r="AZ3594" i="1"/>
  <c r="AZ3595" i="1"/>
  <c r="AZ3596" i="1"/>
  <c r="AZ3597" i="1"/>
  <c r="AZ3598" i="1"/>
  <c r="AZ3599" i="1"/>
  <c r="AZ3600" i="1"/>
  <c r="AZ3601" i="1"/>
  <c r="AZ3602" i="1"/>
  <c r="AZ3603" i="1"/>
  <c r="AZ3604" i="1"/>
  <c r="AZ3605" i="1"/>
  <c r="AZ3606" i="1"/>
  <c r="AZ3607" i="1"/>
  <c r="AZ3608" i="1"/>
  <c r="AZ3609" i="1"/>
  <c r="AZ3610" i="1"/>
  <c r="AZ3611" i="1"/>
  <c r="AZ3612" i="1"/>
  <c r="AZ3613" i="1"/>
  <c r="AZ3614" i="1"/>
  <c r="AZ3615" i="1"/>
  <c r="AZ3616" i="1"/>
  <c r="AZ3617" i="1"/>
  <c r="AZ3618" i="1"/>
  <c r="AZ3619" i="1"/>
  <c r="AZ3620" i="1"/>
  <c r="AZ3621" i="1"/>
  <c r="AZ3622" i="1"/>
  <c r="AZ3623" i="1"/>
  <c r="AZ3624" i="1"/>
  <c r="AZ3625" i="1"/>
  <c r="AZ3626" i="1"/>
  <c r="AZ3627" i="1"/>
  <c r="AZ3628" i="1"/>
  <c r="AZ3629" i="1"/>
  <c r="AZ3630" i="1"/>
  <c r="AZ3631" i="1"/>
  <c r="AZ3632" i="1"/>
  <c r="AZ3633" i="1"/>
  <c r="AZ3634" i="1"/>
  <c r="AZ3635" i="1"/>
  <c r="AZ3636" i="1"/>
  <c r="AZ3637" i="1"/>
  <c r="AZ3638" i="1"/>
  <c r="AZ3639" i="1"/>
  <c r="AZ3640" i="1"/>
  <c r="AZ3641" i="1"/>
  <c r="AZ3642" i="1"/>
  <c r="AZ3643" i="1"/>
  <c r="AZ3644" i="1"/>
  <c r="AZ3645" i="1"/>
  <c r="AZ3646" i="1"/>
  <c r="AZ3647" i="1"/>
  <c r="AZ3648" i="1"/>
  <c r="AZ3649" i="1"/>
  <c r="AZ3650" i="1"/>
  <c r="AZ3651" i="1"/>
  <c r="AZ3652" i="1"/>
  <c r="AZ3653" i="1"/>
  <c r="AZ3654" i="1"/>
  <c r="AZ3655" i="1"/>
  <c r="AZ3656" i="1"/>
  <c r="AZ3657" i="1"/>
  <c r="AZ3658" i="1"/>
  <c r="AZ3659" i="1"/>
  <c r="AZ3660" i="1"/>
  <c r="AZ3661" i="1"/>
  <c r="AZ3662" i="1"/>
  <c r="AZ3663" i="1"/>
  <c r="AZ3664" i="1"/>
  <c r="AZ3665" i="1"/>
  <c r="AZ3666" i="1"/>
  <c r="AZ3667" i="1"/>
  <c r="AZ3668" i="1"/>
  <c r="AZ3669" i="1"/>
  <c r="AZ3670" i="1"/>
  <c r="AZ3671" i="1"/>
  <c r="AZ3672" i="1"/>
  <c r="AZ3673" i="1"/>
  <c r="AZ3674" i="1"/>
  <c r="AZ3675" i="1"/>
  <c r="AZ3676" i="1"/>
  <c r="AZ3677" i="1"/>
  <c r="AZ3678" i="1"/>
  <c r="AZ3679" i="1"/>
  <c r="AZ3680" i="1"/>
  <c r="AZ3681" i="1"/>
  <c r="AZ3682" i="1"/>
  <c r="AZ3683" i="1"/>
  <c r="AZ3684" i="1"/>
  <c r="AZ3685" i="1"/>
  <c r="AZ3686" i="1"/>
  <c r="AZ3687" i="1"/>
  <c r="AZ3688" i="1"/>
  <c r="AZ3689" i="1"/>
  <c r="AZ3690" i="1"/>
  <c r="AZ3691" i="1"/>
  <c r="AZ3692" i="1"/>
  <c r="AZ3693" i="1"/>
  <c r="AZ3694" i="1"/>
  <c r="AZ3695" i="1"/>
  <c r="AZ3696" i="1"/>
  <c r="AZ3697" i="1"/>
  <c r="AZ3698" i="1"/>
  <c r="AZ3699" i="1"/>
  <c r="AZ3700" i="1"/>
  <c r="AZ3701" i="1"/>
  <c r="AZ3702" i="1"/>
  <c r="AZ3703" i="1"/>
  <c r="AZ3704" i="1"/>
  <c r="AZ3705" i="1"/>
  <c r="AZ3706" i="1"/>
  <c r="AZ3707" i="1"/>
  <c r="AZ3708" i="1"/>
  <c r="AZ3709" i="1"/>
  <c r="AZ3710" i="1"/>
  <c r="AZ3711" i="1"/>
  <c r="AZ3712" i="1"/>
  <c r="AZ3713" i="1"/>
  <c r="AZ3714" i="1"/>
  <c r="AZ3715" i="1"/>
  <c r="AZ3716" i="1"/>
  <c r="AZ3717" i="1"/>
  <c r="AZ3718" i="1"/>
  <c r="AZ3719" i="1"/>
  <c r="AZ3720" i="1"/>
  <c r="AZ3721" i="1"/>
  <c r="AZ3722" i="1"/>
  <c r="AZ3723" i="1"/>
  <c r="AZ3724" i="1"/>
  <c r="AZ3725" i="1"/>
  <c r="AZ3726" i="1"/>
  <c r="AZ3727" i="1"/>
  <c r="AZ3728" i="1"/>
  <c r="AZ3729" i="1"/>
  <c r="AZ3730" i="1"/>
  <c r="AZ3731" i="1"/>
  <c r="AZ3732" i="1"/>
  <c r="AZ3733" i="1"/>
  <c r="AZ3734" i="1"/>
  <c r="AZ3735" i="1"/>
  <c r="AZ3736" i="1"/>
  <c r="AZ3737" i="1"/>
  <c r="AZ3738" i="1"/>
  <c r="AZ3739" i="1"/>
  <c r="AZ3740" i="1"/>
  <c r="AZ3741" i="1"/>
  <c r="AZ3742" i="1"/>
  <c r="AZ3743" i="1"/>
  <c r="AZ3744" i="1"/>
  <c r="AZ3745" i="1"/>
  <c r="AZ3746" i="1"/>
  <c r="AZ3747" i="1"/>
  <c r="AZ3748" i="1"/>
  <c r="AZ3749" i="1"/>
  <c r="AZ3750" i="1"/>
  <c r="AZ3751" i="1"/>
  <c r="AZ3752" i="1"/>
  <c r="AZ3753" i="1"/>
  <c r="AZ3754" i="1"/>
  <c r="AZ3755" i="1"/>
  <c r="AZ3756" i="1"/>
  <c r="AZ3757" i="1"/>
  <c r="AZ3758" i="1"/>
  <c r="AZ3759" i="1"/>
  <c r="AZ3760" i="1"/>
  <c r="AZ3761" i="1"/>
  <c r="AZ3762" i="1"/>
  <c r="AZ3763" i="1"/>
  <c r="AZ3764" i="1"/>
  <c r="AZ3765" i="1"/>
  <c r="AZ3766" i="1"/>
  <c r="AZ3767" i="1"/>
  <c r="AZ3768" i="1"/>
  <c r="AZ3769" i="1"/>
  <c r="AZ3770" i="1"/>
  <c r="AZ3771" i="1"/>
  <c r="AZ3772" i="1"/>
  <c r="AZ3773" i="1"/>
  <c r="AZ3774" i="1"/>
  <c r="AZ3775" i="1"/>
  <c r="AZ3776" i="1"/>
  <c r="AZ3777" i="1"/>
  <c r="AZ3778" i="1"/>
  <c r="AZ3779" i="1"/>
  <c r="AZ3780" i="1"/>
  <c r="AZ3781" i="1"/>
  <c r="AZ3782" i="1"/>
  <c r="AZ3783" i="1"/>
  <c r="AZ3784" i="1"/>
  <c r="AZ3785" i="1"/>
  <c r="AZ3786" i="1"/>
  <c r="AZ3787" i="1"/>
  <c r="AZ3788" i="1"/>
  <c r="AZ3789" i="1"/>
  <c r="AZ3790" i="1"/>
  <c r="AZ3791" i="1"/>
  <c r="AZ3792" i="1"/>
  <c r="AZ3793" i="1"/>
  <c r="AZ3794" i="1"/>
  <c r="AZ3795" i="1"/>
  <c r="AZ3796" i="1"/>
  <c r="AZ3797" i="1"/>
  <c r="AZ3798" i="1"/>
  <c r="AZ3799" i="1"/>
  <c r="AZ3800" i="1"/>
  <c r="AZ3801" i="1"/>
  <c r="AZ3802" i="1"/>
  <c r="AZ3803" i="1"/>
  <c r="AZ3804" i="1"/>
  <c r="AZ3805" i="1"/>
  <c r="AZ3806" i="1"/>
  <c r="AZ3807" i="1"/>
  <c r="AZ3808" i="1"/>
  <c r="AZ3809" i="1"/>
  <c r="AZ3810" i="1"/>
  <c r="AZ3811" i="1"/>
  <c r="AZ3812" i="1"/>
  <c r="AZ3813" i="1"/>
  <c r="AZ3814" i="1"/>
  <c r="AZ3815" i="1"/>
  <c r="AZ3816" i="1"/>
  <c r="AZ3817" i="1"/>
  <c r="AZ3818" i="1"/>
  <c r="AZ3819" i="1"/>
  <c r="AZ3820" i="1"/>
  <c r="AZ3821" i="1"/>
  <c r="AZ3822" i="1"/>
  <c r="AZ3823" i="1"/>
  <c r="AZ3824" i="1"/>
  <c r="AZ3825" i="1"/>
  <c r="AZ3826" i="1"/>
  <c r="AZ3827" i="1"/>
  <c r="AZ3828" i="1"/>
  <c r="AZ3829" i="1"/>
  <c r="AZ3830" i="1"/>
  <c r="AZ3831" i="1"/>
  <c r="AZ3832" i="1"/>
  <c r="AZ3833" i="1"/>
  <c r="AZ3834" i="1"/>
  <c r="AZ3835" i="1"/>
  <c r="AZ3836" i="1"/>
  <c r="AZ3837" i="1"/>
  <c r="AZ3838" i="1"/>
  <c r="AZ3839" i="1"/>
  <c r="AZ3840" i="1"/>
  <c r="AZ3841" i="1"/>
  <c r="AZ3842" i="1"/>
  <c r="AZ3843" i="1"/>
  <c r="AZ3844" i="1"/>
  <c r="AZ3845" i="1"/>
  <c r="AZ3846" i="1"/>
  <c r="AZ3847" i="1"/>
  <c r="AZ3848" i="1"/>
  <c r="AZ3849" i="1"/>
  <c r="AZ3850" i="1"/>
  <c r="AZ3851" i="1"/>
  <c r="AZ3852" i="1"/>
  <c r="AZ3853" i="1"/>
  <c r="AZ3854" i="1"/>
  <c r="AZ3855" i="1"/>
  <c r="AZ3856" i="1"/>
  <c r="AZ3857" i="1"/>
  <c r="AZ3858" i="1"/>
  <c r="AZ3859" i="1"/>
  <c r="AZ3860" i="1"/>
  <c r="AZ3861" i="1"/>
  <c r="AZ3862" i="1"/>
  <c r="AZ3863" i="1"/>
  <c r="AZ3864" i="1"/>
  <c r="AZ3865" i="1"/>
  <c r="AZ3866" i="1"/>
  <c r="AZ3867" i="1"/>
  <c r="AZ3868" i="1"/>
  <c r="AZ3869" i="1"/>
  <c r="AZ3870" i="1"/>
  <c r="AZ3871" i="1"/>
  <c r="AZ3872" i="1"/>
  <c r="AZ3873" i="1"/>
  <c r="AZ3874" i="1"/>
  <c r="AZ3875" i="1"/>
  <c r="AZ3876" i="1"/>
  <c r="AZ3877" i="1"/>
  <c r="AZ3878" i="1"/>
  <c r="AZ3879" i="1"/>
  <c r="AZ3880" i="1"/>
  <c r="AZ3881" i="1"/>
  <c r="AZ3882" i="1"/>
  <c r="AZ3883" i="1"/>
  <c r="AZ3884" i="1"/>
  <c r="AZ3885" i="1"/>
  <c r="AZ3886" i="1"/>
  <c r="AZ3887" i="1"/>
  <c r="AZ3888" i="1"/>
  <c r="AZ3889" i="1"/>
  <c r="AZ3890" i="1"/>
  <c r="AZ3891" i="1"/>
  <c r="AZ3892" i="1"/>
  <c r="AZ3893" i="1"/>
  <c r="AZ3894" i="1"/>
  <c r="AZ3895" i="1"/>
  <c r="AZ3896" i="1"/>
  <c r="AZ3897" i="1"/>
  <c r="AZ3898" i="1"/>
  <c r="AZ3899" i="1"/>
  <c r="AZ3900" i="1"/>
  <c r="AZ3901" i="1"/>
  <c r="AZ3902" i="1"/>
  <c r="AZ3903" i="1"/>
  <c r="AZ3904" i="1"/>
  <c r="AZ3905" i="1"/>
  <c r="AZ3906" i="1"/>
  <c r="AZ3907" i="1"/>
  <c r="AZ3908" i="1"/>
  <c r="AZ3909" i="1"/>
  <c r="AZ3910" i="1"/>
  <c r="AZ3911" i="1"/>
  <c r="AZ3912" i="1"/>
  <c r="AZ3913" i="1"/>
  <c r="AZ3914" i="1"/>
  <c r="AZ3915" i="1"/>
  <c r="AZ3916" i="1"/>
  <c r="AZ3917" i="1"/>
  <c r="AZ3918" i="1"/>
  <c r="AZ3919" i="1"/>
  <c r="AZ3920" i="1"/>
  <c r="AZ3921" i="1"/>
  <c r="AZ3922" i="1"/>
  <c r="AZ3923" i="1"/>
  <c r="AZ3924" i="1"/>
  <c r="AZ3925" i="1"/>
  <c r="AZ3926" i="1"/>
  <c r="AZ3927" i="1"/>
  <c r="AZ3928" i="1"/>
  <c r="AZ3929" i="1"/>
  <c r="AZ3930" i="1"/>
  <c r="AZ3931" i="1"/>
  <c r="AZ3932" i="1"/>
  <c r="AZ3933" i="1"/>
  <c r="AZ3934" i="1"/>
  <c r="AZ3935" i="1"/>
  <c r="AZ3936" i="1"/>
  <c r="AZ3937" i="1"/>
  <c r="AZ3938" i="1"/>
  <c r="AZ3939" i="1"/>
  <c r="AZ3940" i="1"/>
  <c r="AZ3941" i="1"/>
  <c r="AZ3942" i="1"/>
  <c r="AZ3943" i="1"/>
  <c r="AZ3944" i="1"/>
  <c r="AZ3945" i="1"/>
  <c r="AZ3946" i="1"/>
  <c r="AZ3947" i="1"/>
  <c r="AZ3948" i="1"/>
  <c r="AZ3949" i="1"/>
  <c r="AZ3950" i="1"/>
  <c r="AZ3951" i="1"/>
  <c r="AZ3952" i="1"/>
  <c r="AZ3953" i="1"/>
  <c r="AZ3954" i="1"/>
  <c r="AZ3955" i="1"/>
  <c r="AZ3956" i="1"/>
  <c r="AZ3957" i="1"/>
  <c r="AZ3958" i="1"/>
  <c r="AZ3959" i="1"/>
  <c r="AZ3960" i="1"/>
  <c r="AZ3961" i="1"/>
  <c r="AZ3962" i="1"/>
  <c r="AZ3963" i="1"/>
  <c r="AZ3964" i="1"/>
  <c r="AZ3965" i="1"/>
  <c r="AZ3966" i="1"/>
  <c r="AZ3967" i="1"/>
  <c r="AZ3968" i="1"/>
  <c r="AZ3969" i="1"/>
  <c r="AZ3970" i="1"/>
  <c r="AZ3971" i="1"/>
  <c r="AZ3972" i="1"/>
  <c r="AZ3973" i="1"/>
  <c r="AZ3974" i="1"/>
  <c r="AZ3975" i="1"/>
  <c r="AZ3976" i="1"/>
  <c r="AZ3977" i="1"/>
  <c r="AZ3978" i="1"/>
  <c r="AZ3979" i="1"/>
  <c r="AZ3980" i="1"/>
  <c r="AZ3981" i="1"/>
  <c r="AZ3982" i="1"/>
  <c r="AZ3983" i="1"/>
  <c r="AZ3984" i="1"/>
  <c r="AZ3985" i="1"/>
  <c r="AZ3986" i="1"/>
  <c r="AZ3987" i="1"/>
  <c r="AZ3988" i="1"/>
  <c r="AZ3989" i="1"/>
  <c r="AZ3990" i="1"/>
  <c r="AZ3991" i="1"/>
  <c r="AZ3992" i="1"/>
  <c r="AZ3993" i="1"/>
  <c r="AZ3994" i="1"/>
  <c r="AZ3995" i="1"/>
  <c r="AZ3996" i="1"/>
  <c r="AZ3997" i="1"/>
  <c r="AZ3998" i="1"/>
  <c r="AZ3999" i="1"/>
  <c r="AZ4000" i="1"/>
  <c r="AZ4001" i="1"/>
  <c r="AZ4002" i="1"/>
  <c r="AZ4003" i="1"/>
  <c r="AZ4004" i="1"/>
  <c r="AZ4005" i="1"/>
  <c r="AZ4006" i="1"/>
  <c r="AZ4007" i="1"/>
  <c r="AZ4008" i="1"/>
  <c r="AZ4009" i="1"/>
  <c r="AZ4010" i="1"/>
  <c r="AZ4011" i="1"/>
  <c r="AZ4012" i="1"/>
  <c r="AZ4013" i="1"/>
  <c r="AZ4014" i="1"/>
  <c r="AZ4015" i="1"/>
  <c r="AZ4016" i="1"/>
  <c r="AZ4017" i="1"/>
  <c r="AZ4018" i="1"/>
  <c r="AZ4019" i="1"/>
  <c r="AZ4020" i="1"/>
  <c r="AZ4021" i="1"/>
  <c r="AZ4022" i="1"/>
  <c r="AZ4023" i="1"/>
  <c r="AZ4024" i="1"/>
  <c r="AZ4025" i="1"/>
  <c r="AZ4026" i="1"/>
  <c r="AZ4027" i="1"/>
  <c r="AZ4028" i="1"/>
  <c r="AZ4029" i="1"/>
  <c r="AZ4030" i="1"/>
  <c r="AZ4031" i="1"/>
  <c r="AZ4032" i="1"/>
  <c r="AZ4033" i="1"/>
  <c r="AZ4034" i="1"/>
  <c r="AZ4035" i="1"/>
  <c r="AZ4036" i="1"/>
  <c r="AZ4037" i="1"/>
  <c r="AZ4038" i="1"/>
  <c r="AZ4039" i="1"/>
  <c r="AZ4040" i="1"/>
  <c r="AZ4041" i="1"/>
  <c r="AZ4042" i="1"/>
  <c r="AZ4043" i="1"/>
  <c r="AZ4044" i="1"/>
  <c r="AZ4045" i="1"/>
  <c r="AZ4046" i="1"/>
  <c r="AZ4047" i="1"/>
  <c r="AZ4048" i="1"/>
  <c r="AZ4049" i="1"/>
  <c r="AZ4050" i="1"/>
  <c r="AZ4051" i="1"/>
  <c r="AZ4052" i="1"/>
  <c r="AZ4053" i="1"/>
  <c r="AZ4054" i="1"/>
  <c r="AZ4055" i="1"/>
  <c r="AZ4056" i="1"/>
  <c r="AZ4057" i="1"/>
  <c r="AZ4058" i="1"/>
  <c r="AZ4059" i="1"/>
  <c r="AZ4060" i="1"/>
  <c r="AZ4061" i="1"/>
  <c r="AZ4062" i="1"/>
  <c r="AZ4063" i="1"/>
  <c r="AZ4064" i="1"/>
  <c r="AZ4065" i="1"/>
  <c r="AZ4066" i="1"/>
  <c r="AZ4067" i="1"/>
  <c r="AZ4068" i="1"/>
  <c r="AZ4069" i="1"/>
  <c r="AZ4070" i="1"/>
  <c r="AZ4071" i="1"/>
  <c r="AZ4072" i="1"/>
  <c r="AZ4073" i="1"/>
  <c r="AZ4074" i="1"/>
  <c r="AZ4075" i="1"/>
  <c r="AZ4076" i="1"/>
  <c r="AZ4077" i="1"/>
  <c r="AZ4078" i="1"/>
  <c r="AZ4079" i="1"/>
  <c r="AZ4080" i="1"/>
  <c r="AZ4081" i="1"/>
  <c r="AZ4082" i="1"/>
  <c r="AZ4083" i="1"/>
  <c r="AZ4084" i="1"/>
  <c r="AZ4085" i="1"/>
  <c r="AZ4086" i="1"/>
  <c r="AZ4087" i="1"/>
  <c r="AZ4088" i="1"/>
  <c r="AZ4089" i="1"/>
  <c r="AZ4090" i="1"/>
  <c r="AZ4091" i="1"/>
  <c r="AZ4092" i="1"/>
  <c r="AZ4093" i="1"/>
  <c r="AZ4094" i="1"/>
  <c r="AZ4095" i="1"/>
  <c r="AZ4096" i="1"/>
  <c r="AZ4097" i="1"/>
  <c r="AZ4098" i="1"/>
  <c r="AZ4099" i="1"/>
  <c r="AZ4100" i="1"/>
  <c r="AZ4101" i="1"/>
  <c r="AZ4102" i="1"/>
  <c r="AZ4103" i="1"/>
  <c r="AZ4104" i="1"/>
  <c r="AZ4105" i="1"/>
  <c r="AZ4106" i="1"/>
  <c r="AZ4107" i="1"/>
  <c r="AZ4108" i="1"/>
  <c r="AZ4109" i="1"/>
  <c r="AZ4110" i="1"/>
  <c r="AZ4111" i="1"/>
  <c r="AZ4112" i="1"/>
  <c r="AZ4113" i="1"/>
  <c r="AZ4114" i="1"/>
  <c r="AZ4115" i="1"/>
  <c r="AZ4116" i="1"/>
  <c r="AZ4117" i="1"/>
  <c r="AZ4118" i="1"/>
  <c r="AZ4119" i="1"/>
  <c r="AZ4120" i="1"/>
  <c r="AZ4121" i="1"/>
  <c r="AZ4122" i="1"/>
  <c r="AZ4123" i="1"/>
  <c r="AZ4124" i="1"/>
  <c r="AZ4125" i="1"/>
  <c r="AZ4126" i="1"/>
  <c r="AZ4127" i="1"/>
  <c r="AZ4128" i="1"/>
  <c r="AZ4129" i="1"/>
  <c r="AZ4130" i="1"/>
  <c r="AZ4131" i="1"/>
  <c r="AZ4132" i="1"/>
  <c r="AZ4133" i="1"/>
  <c r="AZ4134" i="1"/>
  <c r="AZ4135" i="1"/>
  <c r="AZ4136" i="1"/>
  <c r="AZ4137" i="1"/>
  <c r="AZ4138" i="1"/>
  <c r="AZ4139" i="1"/>
  <c r="AZ4140" i="1"/>
  <c r="AZ4141" i="1"/>
  <c r="AZ4142" i="1"/>
  <c r="AZ4143" i="1"/>
  <c r="AZ4144" i="1"/>
  <c r="AZ4145" i="1"/>
  <c r="AZ4146" i="1"/>
  <c r="AZ4147" i="1"/>
  <c r="AZ4148" i="1"/>
  <c r="AZ4149" i="1"/>
  <c r="AZ4150" i="1"/>
  <c r="AZ4151" i="1"/>
  <c r="AZ4152" i="1"/>
  <c r="AZ4153" i="1"/>
  <c r="AZ4154" i="1"/>
  <c r="AZ4155" i="1"/>
  <c r="AZ4156" i="1"/>
  <c r="AZ4157" i="1"/>
  <c r="AZ4158" i="1"/>
  <c r="AZ4159" i="1"/>
  <c r="AZ4160" i="1"/>
  <c r="AZ4161" i="1"/>
  <c r="AZ4162" i="1"/>
  <c r="AZ4163" i="1"/>
  <c r="AZ4164" i="1"/>
  <c r="AZ4165" i="1"/>
  <c r="AZ4166" i="1"/>
  <c r="AZ4167" i="1"/>
  <c r="AZ4168" i="1"/>
  <c r="AZ4169" i="1"/>
  <c r="AZ4170" i="1"/>
  <c r="AZ4171" i="1"/>
  <c r="AZ4172" i="1"/>
  <c r="AZ4173" i="1"/>
  <c r="AZ4174" i="1"/>
  <c r="AZ4175" i="1"/>
  <c r="AZ4176" i="1"/>
  <c r="AZ4177" i="1"/>
  <c r="AZ4178" i="1"/>
  <c r="AZ4179" i="1"/>
  <c r="AZ4180" i="1"/>
  <c r="AZ4181" i="1"/>
  <c r="AZ4182" i="1"/>
  <c r="AZ4183" i="1"/>
  <c r="AZ4184" i="1"/>
  <c r="AZ4185" i="1"/>
  <c r="AZ4186" i="1"/>
  <c r="AZ4187" i="1"/>
  <c r="AZ4188" i="1"/>
  <c r="AZ4189" i="1"/>
  <c r="AZ4190" i="1"/>
  <c r="AZ4191" i="1"/>
  <c r="AZ4192" i="1"/>
  <c r="AZ4193" i="1"/>
  <c r="AZ4194" i="1"/>
  <c r="AZ4195" i="1"/>
  <c r="AZ4196" i="1"/>
  <c r="AZ4197" i="1"/>
  <c r="AZ4198" i="1"/>
  <c r="AZ4199" i="1"/>
  <c r="AZ4200" i="1"/>
  <c r="AZ4201" i="1"/>
  <c r="AZ4202" i="1"/>
  <c r="AZ4203" i="1"/>
  <c r="AZ4204" i="1"/>
  <c r="AZ4205" i="1"/>
  <c r="AZ4206" i="1"/>
  <c r="AZ4207" i="1"/>
  <c r="AZ4208" i="1"/>
  <c r="AZ4209" i="1"/>
  <c r="AZ4210" i="1"/>
  <c r="AZ4211" i="1"/>
  <c r="AZ4212" i="1"/>
  <c r="AZ4213" i="1"/>
  <c r="AZ4214" i="1"/>
  <c r="AZ4215" i="1"/>
  <c r="AZ4216" i="1"/>
  <c r="AZ4217" i="1"/>
  <c r="AZ4218" i="1"/>
  <c r="AZ4219" i="1"/>
  <c r="AZ4220" i="1"/>
  <c r="AZ4221" i="1"/>
  <c r="AZ4222" i="1"/>
  <c r="AZ4223" i="1"/>
  <c r="AZ4224" i="1"/>
  <c r="AZ4225" i="1"/>
  <c r="AZ4226" i="1"/>
  <c r="AZ4227" i="1"/>
  <c r="AZ4228" i="1"/>
  <c r="AZ4229" i="1"/>
  <c r="AZ4230" i="1"/>
  <c r="AZ4231" i="1"/>
  <c r="AZ4232" i="1"/>
  <c r="AZ4233" i="1"/>
  <c r="AZ4234" i="1"/>
  <c r="AZ4235" i="1"/>
  <c r="AZ4236" i="1"/>
  <c r="AZ4237" i="1"/>
  <c r="AZ4238" i="1"/>
  <c r="AZ4239" i="1"/>
  <c r="AZ4240" i="1"/>
  <c r="AZ4241" i="1"/>
  <c r="AZ4242" i="1"/>
  <c r="AZ4243" i="1"/>
  <c r="AZ4244" i="1"/>
  <c r="AZ4245" i="1"/>
  <c r="AZ4246" i="1"/>
  <c r="AZ4247" i="1"/>
  <c r="AZ4248" i="1"/>
  <c r="AZ4249" i="1"/>
  <c r="AZ4250" i="1"/>
  <c r="AZ4251" i="1"/>
  <c r="AZ4252" i="1"/>
  <c r="AZ4253" i="1"/>
  <c r="AZ4254" i="1"/>
  <c r="AZ4255" i="1"/>
  <c r="AZ4256" i="1"/>
  <c r="AZ4257" i="1"/>
  <c r="AZ4258" i="1"/>
  <c r="AZ4259" i="1"/>
  <c r="AZ4260" i="1"/>
  <c r="AZ4261" i="1"/>
  <c r="AZ4262" i="1"/>
  <c r="AZ4263" i="1"/>
  <c r="AZ4264" i="1"/>
  <c r="AZ4265" i="1"/>
  <c r="AZ4266" i="1"/>
  <c r="AZ4267" i="1"/>
  <c r="AZ4268" i="1"/>
  <c r="AZ4269" i="1"/>
  <c r="AZ4270" i="1"/>
  <c r="AZ4271" i="1"/>
  <c r="AZ4272" i="1"/>
  <c r="AZ4273" i="1"/>
  <c r="AZ4274" i="1"/>
  <c r="AZ4275" i="1"/>
  <c r="AZ4276" i="1"/>
  <c r="AZ4277" i="1"/>
  <c r="AZ4278" i="1"/>
  <c r="AZ4279" i="1"/>
  <c r="AZ4280" i="1"/>
  <c r="AZ4281" i="1"/>
  <c r="AZ4282" i="1"/>
  <c r="AZ4283" i="1"/>
  <c r="AZ4284" i="1"/>
  <c r="AZ4285" i="1"/>
  <c r="AZ4286" i="1"/>
  <c r="AZ4287" i="1"/>
  <c r="AZ4288" i="1"/>
  <c r="AZ4289" i="1"/>
  <c r="AZ4290" i="1"/>
  <c r="AZ4291" i="1"/>
  <c r="AZ4292" i="1"/>
  <c r="AZ4293" i="1"/>
  <c r="AZ4294" i="1"/>
  <c r="AZ4295" i="1"/>
  <c r="AZ4296" i="1"/>
  <c r="AZ4297" i="1"/>
  <c r="AZ4298" i="1"/>
  <c r="AZ4299" i="1"/>
  <c r="AZ4300" i="1"/>
  <c r="AZ4301" i="1"/>
  <c r="AZ4302" i="1"/>
  <c r="AZ4303" i="1"/>
  <c r="AZ4304" i="1"/>
  <c r="AZ4305" i="1"/>
  <c r="AZ4306" i="1"/>
  <c r="AZ4307" i="1"/>
  <c r="AZ4308" i="1"/>
  <c r="AZ4309" i="1"/>
  <c r="AZ4310" i="1"/>
  <c r="AZ4311" i="1"/>
  <c r="AZ4312" i="1"/>
  <c r="AZ4313" i="1"/>
  <c r="AZ4314" i="1"/>
  <c r="AZ4315" i="1"/>
  <c r="AZ4316" i="1"/>
  <c r="AZ4317" i="1"/>
  <c r="AZ4318" i="1"/>
  <c r="AZ4319" i="1"/>
  <c r="AZ4320" i="1"/>
  <c r="AZ4321" i="1"/>
  <c r="AZ4322" i="1"/>
  <c r="AZ4323" i="1"/>
  <c r="AZ4324" i="1"/>
  <c r="AZ4325" i="1"/>
  <c r="AZ4326" i="1"/>
  <c r="AZ4327" i="1"/>
  <c r="AZ4328" i="1"/>
  <c r="AZ4329" i="1"/>
  <c r="AZ4330" i="1"/>
  <c r="AZ4331" i="1"/>
  <c r="AZ4332" i="1"/>
  <c r="AZ4333" i="1"/>
  <c r="AZ4334" i="1"/>
  <c r="AZ4335" i="1"/>
  <c r="AZ4336" i="1"/>
  <c r="AZ4337" i="1"/>
  <c r="AZ4338" i="1"/>
  <c r="AZ4339" i="1"/>
  <c r="AZ4340" i="1"/>
  <c r="AZ4341" i="1"/>
  <c r="AZ4342" i="1"/>
  <c r="AZ4343" i="1"/>
  <c r="AZ4344" i="1"/>
  <c r="AZ4345" i="1"/>
  <c r="AZ4346" i="1"/>
  <c r="AZ4347" i="1"/>
  <c r="AZ4348" i="1"/>
  <c r="AZ4349" i="1"/>
  <c r="AZ4350" i="1"/>
  <c r="AZ4351" i="1"/>
  <c r="AZ4352" i="1"/>
  <c r="AZ4353" i="1"/>
  <c r="AZ4354" i="1"/>
  <c r="AZ4355" i="1"/>
  <c r="AZ4356" i="1"/>
  <c r="AZ4357" i="1"/>
  <c r="AZ4358" i="1"/>
  <c r="AZ4359" i="1"/>
  <c r="AZ4360" i="1"/>
  <c r="AZ4361" i="1"/>
  <c r="AZ4362" i="1"/>
  <c r="AZ4363" i="1"/>
  <c r="AZ4364" i="1"/>
  <c r="AZ4365" i="1"/>
  <c r="AZ4366" i="1"/>
  <c r="AZ4367" i="1"/>
  <c r="AZ4368" i="1"/>
  <c r="AZ4369" i="1"/>
  <c r="AZ4370" i="1"/>
  <c r="AZ4371" i="1"/>
  <c r="AZ4372" i="1"/>
  <c r="AZ4373" i="1"/>
  <c r="AZ4374" i="1"/>
  <c r="AZ4375" i="1"/>
  <c r="AZ4376" i="1"/>
  <c r="AZ4377" i="1"/>
  <c r="AZ4378" i="1"/>
  <c r="AZ4379" i="1"/>
  <c r="AZ4380" i="1"/>
  <c r="AZ4381" i="1"/>
  <c r="AZ4382" i="1"/>
  <c r="AZ4383" i="1"/>
  <c r="AZ4384" i="1"/>
  <c r="AZ4385" i="1"/>
  <c r="AZ4386" i="1"/>
  <c r="AZ4387" i="1"/>
  <c r="AZ4388" i="1"/>
  <c r="AZ4389" i="1"/>
  <c r="AZ4390" i="1"/>
  <c r="AZ4391" i="1"/>
  <c r="AZ4392" i="1"/>
  <c r="AZ4393" i="1"/>
  <c r="AZ4394" i="1"/>
  <c r="AZ4395" i="1"/>
  <c r="AZ4396" i="1"/>
  <c r="AZ4397" i="1"/>
  <c r="AZ4398" i="1"/>
  <c r="AZ4399" i="1"/>
  <c r="AZ4400" i="1"/>
  <c r="AZ4401" i="1"/>
  <c r="AZ4402" i="1"/>
  <c r="AZ4403" i="1"/>
  <c r="AZ4404" i="1"/>
  <c r="AZ4405" i="1"/>
  <c r="AZ4406" i="1"/>
  <c r="AZ4407" i="1"/>
  <c r="AZ4408" i="1"/>
  <c r="AZ4409" i="1"/>
  <c r="AZ4410" i="1"/>
  <c r="AZ4411" i="1"/>
  <c r="AZ4412" i="1"/>
  <c r="AZ4413" i="1"/>
  <c r="AZ4414" i="1"/>
  <c r="AZ4415" i="1"/>
  <c r="AZ4416" i="1"/>
  <c r="AZ4417" i="1"/>
  <c r="AZ4418" i="1"/>
  <c r="AZ4419" i="1"/>
  <c r="AZ4420" i="1"/>
  <c r="AZ4421" i="1"/>
  <c r="AZ4422" i="1"/>
  <c r="AZ4423" i="1"/>
  <c r="AZ4424" i="1"/>
  <c r="AZ4425" i="1"/>
  <c r="AZ4426" i="1"/>
  <c r="AZ4427" i="1"/>
  <c r="AZ4428" i="1"/>
  <c r="AZ4429" i="1"/>
  <c r="AZ4430" i="1"/>
  <c r="AZ4431" i="1"/>
  <c r="AZ4432" i="1"/>
  <c r="AZ4433" i="1"/>
  <c r="AZ4434" i="1"/>
  <c r="AZ4435" i="1"/>
  <c r="AZ4436" i="1"/>
  <c r="AZ4437" i="1"/>
  <c r="AZ4438" i="1"/>
  <c r="AZ4439" i="1"/>
  <c r="AZ4440" i="1"/>
  <c r="AZ4441" i="1"/>
  <c r="AZ4442" i="1"/>
  <c r="AZ4443" i="1"/>
  <c r="AZ4444" i="1"/>
  <c r="AZ4445" i="1"/>
  <c r="AZ4446" i="1"/>
  <c r="AZ4447" i="1"/>
  <c r="AZ4448" i="1"/>
  <c r="AZ4449" i="1"/>
  <c r="AZ4450" i="1"/>
  <c r="AZ4451" i="1"/>
  <c r="AZ4452" i="1"/>
  <c r="AZ4453" i="1"/>
  <c r="AZ4454" i="1"/>
  <c r="AZ4455" i="1"/>
  <c r="AZ4456" i="1"/>
  <c r="AZ4457" i="1"/>
  <c r="AZ4458" i="1"/>
  <c r="AZ4459" i="1"/>
  <c r="AZ4460" i="1"/>
  <c r="AZ4461" i="1"/>
  <c r="AZ4462" i="1"/>
  <c r="AZ4463" i="1"/>
  <c r="AZ4464" i="1"/>
  <c r="AZ4465" i="1"/>
  <c r="AZ4466" i="1"/>
  <c r="AZ4467" i="1"/>
  <c r="AZ4468" i="1"/>
  <c r="AZ4469" i="1"/>
  <c r="AZ4470" i="1"/>
  <c r="AZ4471" i="1"/>
  <c r="AZ4472" i="1"/>
  <c r="AZ4473" i="1"/>
  <c r="AZ4474" i="1"/>
  <c r="AZ4475" i="1"/>
  <c r="AZ4476" i="1"/>
  <c r="AZ4477" i="1"/>
  <c r="AZ4478" i="1"/>
  <c r="AZ4479" i="1"/>
  <c r="AZ4480" i="1"/>
  <c r="AZ4481" i="1"/>
  <c r="AZ4482" i="1"/>
  <c r="AZ4483" i="1"/>
  <c r="AZ4484" i="1"/>
  <c r="AZ4485" i="1"/>
  <c r="AZ4486" i="1"/>
  <c r="AZ4487" i="1"/>
  <c r="AZ4488" i="1"/>
  <c r="AZ4489" i="1"/>
  <c r="AZ4490" i="1"/>
  <c r="AZ4491" i="1"/>
  <c r="AZ4492" i="1"/>
  <c r="AZ4493" i="1"/>
  <c r="AZ4494" i="1"/>
  <c r="AZ4495" i="1"/>
  <c r="AZ4496" i="1"/>
  <c r="AZ4497" i="1"/>
  <c r="AZ4498" i="1"/>
  <c r="AZ4499" i="1"/>
  <c r="AZ4500" i="1"/>
  <c r="AZ4501" i="1"/>
  <c r="AZ4502" i="1"/>
  <c r="AZ4503" i="1"/>
  <c r="AZ4504" i="1"/>
  <c r="AZ4505" i="1"/>
  <c r="AZ4506" i="1"/>
  <c r="AZ4507" i="1"/>
  <c r="AZ4508" i="1"/>
  <c r="AZ4509" i="1"/>
  <c r="AZ4510" i="1"/>
  <c r="AZ4511" i="1"/>
  <c r="AZ4512" i="1"/>
  <c r="AZ4513" i="1"/>
  <c r="AZ4514" i="1"/>
  <c r="AZ4515" i="1"/>
  <c r="AZ4516" i="1"/>
  <c r="AZ4517" i="1"/>
  <c r="AZ4518" i="1"/>
  <c r="AZ4519" i="1"/>
  <c r="AZ4520" i="1"/>
  <c r="AZ4521" i="1"/>
  <c r="AZ4522" i="1"/>
  <c r="AZ4523" i="1"/>
  <c r="AZ4524" i="1"/>
  <c r="AZ4525" i="1"/>
  <c r="AZ4526" i="1"/>
  <c r="AZ4527" i="1"/>
  <c r="AZ4528" i="1"/>
  <c r="AZ4529" i="1"/>
  <c r="AZ4530" i="1"/>
  <c r="AZ4531" i="1"/>
  <c r="AZ4532" i="1"/>
  <c r="AZ4533" i="1"/>
  <c r="AZ4534" i="1"/>
  <c r="AZ4535" i="1"/>
  <c r="AZ4536" i="1"/>
  <c r="AZ4537" i="1"/>
  <c r="AZ4538" i="1"/>
  <c r="AZ4539" i="1"/>
  <c r="AZ4540" i="1"/>
  <c r="AZ4541" i="1"/>
  <c r="AZ4542" i="1"/>
  <c r="AZ4543" i="1"/>
  <c r="AZ4544" i="1"/>
  <c r="AZ4545" i="1"/>
  <c r="AZ4546" i="1"/>
  <c r="AZ4547" i="1"/>
  <c r="AZ4548" i="1"/>
  <c r="AZ4549" i="1"/>
  <c r="AZ4550" i="1"/>
  <c r="AZ4551" i="1"/>
  <c r="AZ4552" i="1"/>
  <c r="AZ4553" i="1"/>
  <c r="AZ4554" i="1"/>
  <c r="AZ4555" i="1"/>
  <c r="AZ4556" i="1"/>
  <c r="AZ4557" i="1"/>
  <c r="AZ4558" i="1"/>
  <c r="AZ4559" i="1"/>
  <c r="AZ4560" i="1"/>
  <c r="AZ4561" i="1"/>
  <c r="AZ4562" i="1"/>
  <c r="AZ4563" i="1"/>
  <c r="AZ4564" i="1"/>
  <c r="AZ4565" i="1"/>
  <c r="AZ4566" i="1"/>
  <c r="AZ4567" i="1"/>
  <c r="AZ4568" i="1"/>
  <c r="AZ4569" i="1"/>
  <c r="AZ4570" i="1"/>
  <c r="AZ4571" i="1"/>
  <c r="AZ4572" i="1"/>
  <c r="AZ4573" i="1"/>
  <c r="AZ4574" i="1"/>
  <c r="AZ4575" i="1"/>
  <c r="AZ4576" i="1"/>
  <c r="AZ4577" i="1"/>
  <c r="AZ4578" i="1"/>
  <c r="AZ4579" i="1"/>
  <c r="AZ4580" i="1"/>
  <c r="AZ4581" i="1"/>
  <c r="AZ4582" i="1"/>
  <c r="AZ4583" i="1"/>
  <c r="AZ4584" i="1"/>
  <c r="AZ4585" i="1"/>
  <c r="AZ4586" i="1"/>
  <c r="AZ4587" i="1"/>
  <c r="AZ4588" i="1"/>
  <c r="AZ4589" i="1"/>
  <c r="AZ4590" i="1"/>
  <c r="AZ4591" i="1"/>
  <c r="AZ4592" i="1"/>
  <c r="AZ4593" i="1"/>
  <c r="AZ4594" i="1"/>
  <c r="AZ4595" i="1"/>
  <c r="AZ4596" i="1"/>
  <c r="AZ4597" i="1"/>
  <c r="AZ4598" i="1"/>
  <c r="AZ4599" i="1"/>
  <c r="AZ4600" i="1"/>
  <c r="AZ4601" i="1"/>
  <c r="AZ4602" i="1"/>
  <c r="AZ4603" i="1"/>
  <c r="AZ4604" i="1"/>
  <c r="AZ4605" i="1"/>
  <c r="AZ4606" i="1"/>
  <c r="AZ4607" i="1"/>
  <c r="AZ4608" i="1"/>
  <c r="AZ4609" i="1"/>
  <c r="AZ4610" i="1"/>
  <c r="AZ4611" i="1"/>
  <c r="AZ4612" i="1"/>
  <c r="AZ4613" i="1"/>
  <c r="AZ4614" i="1"/>
  <c r="AZ4615" i="1"/>
  <c r="AZ4616" i="1"/>
  <c r="AZ4617" i="1"/>
  <c r="AZ4618" i="1"/>
  <c r="AZ4619" i="1"/>
  <c r="AZ4620" i="1"/>
  <c r="AZ4621" i="1"/>
  <c r="AZ4622" i="1"/>
  <c r="AZ4623" i="1"/>
  <c r="AZ4624" i="1"/>
  <c r="AZ4625" i="1"/>
  <c r="AZ4626" i="1"/>
  <c r="AZ4627" i="1"/>
  <c r="AZ4628" i="1"/>
  <c r="AZ4629" i="1"/>
  <c r="AZ4630" i="1"/>
  <c r="AZ4631" i="1"/>
  <c r="AZ4632" i="1"/>
  <c r="AZ4633" i="1"/>
  <c r="AZ4634" i="1"/>
  <c r="AZ4635" i="1"/>
  <c r="AZ4636" i="1"/>
  <c r="AZ4637" i="1"/>
  <c r="AZ4638" i="1"/>
  <c r="AZ4639" i="1"/>
  <c r="AZ4640" i="1"/>
  <c r="AZ4641" i="1"/>
  <c r="AZ4642" i="1"/>
  <c r="AZ4643" i="1"/>
  <c r="AZ4644" i="1"/>
  <c r="AZ4645" i="1"/>
  <c r="AZ4646" i="1"/>
  <c r="AZ4647" i="1"/>
  <c r="AZ4648" i="1"/>
  <c r="AZ4649" i="1"/>
  <c r="AZ4650" i="1"/>
  <c r="AZ4651" i="1"/>
  <c r="AZ4652" i="1"/>
  <c r="AZ4653" i="1"/>
  <c r="AZ4654" i="1"/>
  <c r="AZ4655" i="1"/>
  <c r="AZ4656" i="1"/>
  <c r="AZ4657" i="1"/>
  <c r="AZ4658" i="1"/>
  <c r="AZ4659" i="1"/>
  <c r="AZ4660" i="1"/>
  <c r="AZ4661" i="1"/>
  <c r="AZ4662" i="1"/>
  <c r="AZ4663" i="1"/>
  <c r="AZ4664" i="1"/>
  <c r="AZ4665" i="1"/>
  <c r="AZ4666" i="1"/>
  <c r="AZ4667" i="1"/>
  <c r="AZ4668" i="1"/>
  <c r="AZ4669" i="1"/>
  <c r="AZ4670" i="1"/>
  <c r="AZ4671" i="1"/>
  <c r="AZ4672" i="1"/>
  <c r="AZ4673" i="1"/>
  <c r="AZ4674" i="1"/>
  <c r="AZ4675" i="1"/>
  <c r="AZ4676" i="1"/>
  <c r="AZ4677" i="1"/>
  <c r="AZ4678" i="1"/>
  <c r="AZ4679" i="1"/>
  <c r="AZ4680" i="1"/>
  <c r="AZ4681" i="1"/>
  <c r="AZ4682" i="1"/>
  <c r="AZ4683" i="1"/>
  <c r="AZ4684" i="1"/>
  <c r="AZ4685" i="1"/>
  <c r="AZ4686" i="1"/>
  <c r="AZ4687" i="1"/>
  <c r="AZ4688" i="1"/>
  <c r="AZ4689" i="1"/>
  <c r="AZ4690" i="1"/>
  <c r="AZ4691" i="1"/>
  <c r="AZ4692" i="1"/>
  <c r="AZ4693" i="1"/>
  <c r="AZ4694" i="1"/>
  <c r="AZ4695" i="1"/>
  <c r="AZ4696" i="1"/>
  <c r="AZ4697" i="1"/>
  <c r="AZ4698" i="1"/>
  <c r="AZ4699" i="1"/>
  <c r="AZ4700" i="1"/>
  <c r="AZ4701" i="1"/>
  <c r="AZ4702" i="1"/>
  <c r="AZ4703" i="1"/>
  <c r="AZ4704" i="1"/>
  <c r="AZ4705" i="1"/>
  <c r="AZ4706" i="1"/>
  <c r="AZ4707" i="1"/>
  <c r="AZ4708" i="1"/>
  <c r="AZ4709" i="1"/>
  <c r="AZ4710" i="1"/>
  <c r="AZ4711" i="1"/>
  <c r="AZ4712" i="1"/>
  <c r="AZ4713" i="1"/>
  <c r="AZ4714" i="1"/>
  <c r="AZ4715" i="1"/>
  <c r="AZ4716" i="1"/>
  <c r="AZ4717" i="1"/>
  <c r="AZ4718" i="1"/>
  <c r="AZ4719" i="1"/>
  <c r="AZ4720" i="1"/>
  <c r="AZ4721" i="1"/>
  <c r="AZ4722" i="1"/>
  <c r="AZ4723" i="1"/>
  <c r="AZ4724" i="1"/>
  <c r="AZ4725" i="1"/>
  <c r="AZ4726" i="1"/>
  <c r="AZ4727" i="1"/>
  <c r="AZ4728" i="1"/>
  <c r="AZ4729" i="1"/>
  <c r="AZ4730" i="1"/>
  <c r="AZ4731" i="1"/>
  <c r="AZ4732" i="1"/>
  <c r="AZ4733" i="1"/>
  <c r="AZ4734" i="1"/>
  <c r="AZ4735" i="1"/>
  <c r="AZ4736" i="1"/>
  <c r="AZ4737" i="1"/>
  <c r="AZ4738" i="1"/>
  <c r="AZ4739" i="1"/>
  <c r="AZ4740" i="1"/>
  <c r="AZ4741" i="1"/>
  <c r="AZ4742" i="1"/>
  <c r="AZ4743" i="1"/>
  <c r="AZ4744" i="1"/>
  <c r="AZ4745" i="1"/>
  <c r="AZ4746" i="1"/>
  <c r="AZ4747" i="1"/>
  <c r="AZ4748" i="1"/>
  <c r="AZ4749" i="1"/>
  <c r="AZ4750" i="1"/>
  <c r="AZ4751" i="1"/>
  <c r="AZ4752" i="1"/>
  <c r="AZ4753" i="1"/>
  <c r="AZ4754" i="1"/>
  <c r="AZ4755" i="1"/>
  <c r="AZ4756" i="1"/>
  <c r="AZ4757" i="1"/>
  <c r="AZ4758" i="1"/>
  <c r="AZ4759" i="1"/>
  <c r="AZ4760" i="1"/>
  <c r="AZ4761" i="1"/>
  <c r="AZ4762" i="1"/>
  <c r="AZ4763" i="1"/>
  <c r="AZ4764" i="1"/>
  <c r="AZ4765" i="1"/>
  <c r="AZ4766" i="1"/>
  <c r="AZ4767" i="1"/>
  <c r="AZ4768" i="1"/>
  <c r="AZ4769" i="1"/>
  <c r="AZ4770" i="1"/>
  <c r="AZ4771" i="1"/>
  <c r="AZ4772" i="1"/>
  <c r="AZ4773" i="1"/>
  <c r="AZ4774" i="1"/>
  <c r="AZ4775" i="1"/>
  <c r="AZ4776" i="1"/>
  <c r="AZ4777" i="1"/>
  <c r="AZ4778" i="1"/>
  <c r="AZ4779" i="1"/>
  <c r="AZ4780" i="1"/>
  <c r="AZ4781" i="1"/>
  <c r="AZ4782" i="1"/>
  <c r="AZ4783" i="1"/>
  <c r="AZ4784" i="1"/>
  <c r="AZ4785" i="1"/>
  <c r="AZ4786" i="1"/>
  <c r="AZ4787" i="1"/>
  <c r="AZ4788" i="1"/>
  <c r="AZ4789" i="1"/>
  <c r="AZ4790" i="1"/>
  <c r="AZ4791" i="1"/>
  <c r="AZ4792" i="1"/>
  <c r="AZ4793" i="1"/>
  <c r="AZ4794" i="1"/>
  <c r="AZ4795" i="1"/>
  <c r="AZ4796" i="1"/>
  <c r="AZ4797" i="1"/>
  <c r="AZ4798" i="1"/>
  <c r="AZ4799" i="1"/>
  <c r="AZ4800" i="1"/>
  <c r="AZ4801" i="1"/>
  <c r="AZ4802" i="1"/>
  <c r="AZ4803" i="1"/>
  <c r="AZ4804" i="1"/>
  <c r="AZ4805" i="1"/>
  <c r="AZ4806" i="1"/>
  <c r="AZ4807" i="1"/>
  <c r="AZ4808" i="1"/>
  <c r="AZ4809" i="1"/>
  <c r="AZ4810" i="1"/>
  <c r="AZ4811" i="1"/>
  <c r="AZ4812" i="1"/>
  <c r="AZ4813" i="1"/>
  <c r="AZ4814" i="1"/>
  <c r="AZ4815" i="1"/>
  <c r="AZ4816" i="1"/>
  <c r="AZ4817" i="1"/>
  <c r="AZ4818" i="1"/>
  <c r="AZ4819" i="1"/>
  <c r="AZ4820" i="1"/>
  <c r="AZ4821" i="1"/>
  <c r="AZ4822" i="1"/>
  <c r="AZ4823" i="1"/>
  <c r="AZ4824" i="1"/>
  <c r="AZ4825" i="1"/>
  <c r="AZ4826" i="1"/>
  <c r="AZ4827" i="1"/>
  <c r="AZ4828" i="1"/>
  <c r="AZ4829" i="1"/>
  <c r="AZ4830" i="1"/>
  <c r="AZ4831" i="1"/>
  <c r="AZ4832" i="1"/>
  <c r="AZ4833" i="1"/>
  <c r="AZ4834" i="1"/>
  <c r="AZ4835" i="1"/>
  <c r="AZ4836" i="1"/>
  <c r="AZ4837" i="1"/>
  <c r="AZ4838" i="1"/>
  <c r="AZ4839" i="1"/>
  <c r="AZ4840" i="1"/>
  <c r="AZ4841" i="1"/>
  <c r="AZ4842" i="1"/>
  <c r="AZ4843" i="1"/>
  <c r="AZ4844" i="1"/>
  <c r="AZ4845" i="1"/>
  <c r="AZ4846" i="1"/>
  <c r="AZ4847" i="1"/>
  <c r="AZ4848" i="1"/>
  <c r="AZ4849" i="1"/>
  <c r="AZ4850" i="1"/>
  <c r="AZ4851" i="1"/>
  <c r="AZ4852" i="1"/>
  <c r="AZ4853" i="1"/>
  <c r="AZ4854" i="1"/>
  <c r="AZ4855" i="1"/>
  <c r="AZ4856" i="1"/>
  <c r="AZ4857" i="1"/>
  <c r="AZ4858" i="1"/>
  <c r="AZ4859" i="1"/>
  <c r="AZ4860" i="1"/>
  <c r="AZ4861" i="1"/>
  <c r="AZ4862" i="1"/>
  <c r="AZ4863" i="1"/>
  <c r="AZ4864" i="1"/>
  <c r="AZ4865" i="1"/>
  <c r="AZ4866" i="1"/>
  <c r="AZ4867" i="1"/>
  <c r="AZ4868" i="1"/>
  <c r="AZ4869" i="1"/>
  <c r="AZ4870" i="1"/>
  <c r="AZ4871" i="1"/>
  <c r="AZ4872" i="1"/>
  <c r="AZ4873" i="1"/>
  <c r="AZ4874" i="1"/>
  <c r="AZ4875" i="1"/>
  <c r="AZ4876" i="1"/>
  <c r="AZ4877" i="1"/>
  <c r="AZ4878" i="1"/>
  <c r="AZ4879" i="1"/>
  <c r="AZ4880" i="1"/>
  <c r="AZ4881" i="1"/>
  <c r="AZ4882" i="1"/>
  <c r="AZ4883" i="1"/>
  <c r="AZ4884" i="1"/>
  <c r="AZ4885" i="1"/>
  <c r="AZ4886" i="1"/>
  <c r="AZ4887" i="1"/>
  <c r="AZ4888" i="1"/>
  <c r="AZ4889" i="1"/>
  <c r="AZ4890" i="1"/>
  <c r="AZ4891" i="1"/>
  <c r="AZ4892" i="1"/>
  <c r="AZ4893" i="1"/>
  <c r="AZ4894" i="1"/>
  <c r="AZ4895" i="1"/>
  <c r="AZ4896" i="1"/>
  <c r="AZ4897" i="1"/>
  <c r="AZ4898" i="1"/>
  <c r="AZ4899" i="1"/>
  <c r="AZ4900" i="1"/>
  <c r="AZ4901" i="1"/>
  <c r="AZ4902" i="1"/>
  <c r="AZ4903" i="1"/>
  <c r="AZ4904" i="1"/>
  <c r="AZ4905" i="1"/>
  <c r="AZ4906" i="1"/>
  <c r="AZ4907" i="1"/>
  <c r="AZ4908" i="1"/>
  <c r="AZ4909" i="1"/>
  <c r="AZ4910" i="1"/>
  <c r="AZ4911" i="1"/>
  <c r="AZ4912" i="1"/>
  <c r="AZ4913" i="1"/>
  <c r="AZ4914" i="1"/>
  <c r="AZ4915" i="1"/>
  <c r="AZ4916" i="1"/>
  <c r="AZ4917" i="1"/>
  <c r="AZ4918" i="1"/>
  <c r="AZ4919" i="1"/>
  <c r="AZ4920" i="1"/>
  <c r="AZ4921" i="1"/>
  <c r="AZ4922" i="1"/>
  <c r="AZ4923" i="1"/>
  <c r="AZ4924" i="1"/>
  <c r="AZ4925" i="1"/>
  <c r="AZ4926" i="1"/>
  <c r="AZ4927" i="1"/>
  <c r="AZ4928" i="1"/>
  <c r="AZ4929" i="1"/>
  <c r="AZ4930" i="1"/>
  <c r="AZ4931" i="1"/>
  <c r="AZ4932" i="1"/>
  <c r="AZ4933" i="1"/>
  <c r="AZ4934" i="1"/>
  <c r="AZ4935" i="1"/>
  <c r="AZ4936" i="1"/>
  <c r="AZ4937" i="1"/>
  <c r="AZ4938" i="1"/>
  <c r="AZ4939" i="1"/>
  <c r="AZ4940" i="1"/>
  <c r="AZ4941" i="1"/>
  <c r="AZ4942" i="1"/>
  <c r="AZ4943" i="1"/>
  <c r="AZ4944" i="1"/>
  <c r="AZ4945" i="1"/>
  <c r="AZ4946" i="1"/>
  <c r="AZ4947" i="1"/>
  <c r="AZ4948" i="1"/>
  <c r="AZ4949" i="1"/>
  <c r="AZ4950" i="1"/>
  <c r="AZ4951" i="1"/>
  <c r="AZ4952" i="1"/>
  <c r="AZ4953" i="1"/>
  <c r="AZ4954" i="1"/>
  <c r="AZ4955" i="1"/>
  <c r="AZ4956" i="1"/>
  <c r="AZ4957" i="1"/>
  <c r="AZ4958" i="1"/>
  <c r="AZ4959" i="1"/>
  <c r="AZ4960" i="1"/>
  <c r="AZ4961" i="1"/>
  <c r="AZ4962" i="1"/>
  <c r="AZ4963" i="1"/>
  <c r="AZ4964" i="1"/>
  <c r="AZ4965" i="1"/>
  <c r="AZ4966" i="1"/>
  <c r="AZ4967" i="1"/>
  <c r="AZ4968" i="1"/>
  <c r="AZ4969" i="1"/>
  <c r="AZ4970" i="1"/>
  <c r="AZ4971" i="1"/>
  <c r="AZ4972" i="1"/>
  <c r="AZ4973" i="1"/>
  <c r="AZ4974" i="1"/>
  <c r="AZ4975" i="1"/>
  <c r="AZ4976" i="1"/>
  <c r="AZ4977" i="1"/>
  <c r="AZ4978" i="1"/>
  <c r="AZ4979" i="1"/>
  <c r="AZ4980" i="1"/>
  <c r="AZ4981" i="1"/>
  <c r="AZ4982" i="1"/>
  <c r="AZ4983" i="1"/>
  <c r="AZ4984" i="1"/>
  <c r="AZ4985" i="1"/>
  <c r="AZ4986" i="1"/>
  <c r="AZ4987" i="1"/>
  <c r="AZ4988" i="1"/>
  <c r="AZ4989" i="1"/>
  <c r="AZ4990" i="1"/>
  <c r="AZ4991" i="1"/>
  <c r="AZ4992" i="1"/>
  <c r="AZ4993" i="1"/>
  <c r="AZ4994" i="1"/>
  <c r="AZ4995" i="1"/>
  <c r="AZ4996" i="1"/>
  <c r="AZ4997" i="1"/>
  <c r="AZ4998" i="1"/>
  <c r="AZ4999" i="1"/>
  <c r="AZ5000" i="1"/>
  <c r="AZ5001" i="1"/>
  <c r="AZ5002" i="1"/>
  <c r="AZ5003" i="1"/>
  <c r="AZ5004" i="1"/>
  <c r="AZ5005" i="1"/>
  <c r="AZ5006" i="1"/>
  <c r="AZ5007" i="1"/>
  <c r="AZ5008" i="1"/>
  <c r="AZ5009" i="1"/>
  <c r="AZ5010" i="1"/>
  <c r="AZ5011" i="1"/>
  <c r="AZ5012" i="1"/>
  <c r="AZ5013" i="1"/>
  <c r="AZ5014" i="1"/>
  <c r="AZ5015" i="1"/>
  <c r="AZ5016" i="1"/>
  <c r="AZ5017" i="1"/>
  <c r="AZ5018" i="1"/>
  <c r="AZ5019" i="1"/>
  <c r="AZ5020" i="1"/>
  <c r="AZ5021" i="1"/>
  <c r="AZ5022" i="1"/>
  <c r="AZ5023" i="1"/>
  <c r="AZ5024" i="1"/>
  <c r="AZ5025" i="1"/>
  <c r="AZ5026" i="1"/>
  <c r="AZ5027" i="1"/>
  <c r="AZ5028" i="1"/>
  <c r="AZ5029" i="1"/>
  <c r="AZ5030" i="1"/>
  <c r="AZ5031" i="1"/>
  <c r="AZ5032" i="1"/>
  <c r="AZ5033" i="1"/>
  <c r="AZ5034" i="1"/>
  <c r="AZ5035" i="1"/>
  <c r="AZ5036" i="1"/>
  <c r="AZ5037" i="1"/>
  <c r="AZ5038" i="1"/>
  <c r="AZ5039" i="1"/>
  <c r="AZ5040" i="1"/>
  <c r="AZ5041" i="1"/>
  <c r="AZ5042" i="1"/>
  <c r="AZ5043" i="1"/>
  <c r="AZ5044" i="1"/>
  <c r="AZ5045" i="1"/>
  <c r="AZ5046" i="1"/>
  <c r="AZ5047" i="1"/>
  <c r="AZ5048" i="1"/>
  <c r="AZ5049" i="1"/>
  <c r="AZ5050" i="1"/>
  <c r="AZ5051" i="1"/>
  <c r="AZ5052" i="1"/>
  <c r="AZ5053" i="1"/>
  <c r="AZ5054" i="1"/>
  <c r="AZ5055" i="1"/>
  <c r="AZ5056" i="1"/>
  <c r="AZ5057" i="1"/>
  <c r="AZ5058" i="1"/>
  <c r="AZ5059" i="1"/>
  <c r="AZ5060" i="1"/>
  <c r="AZ5061" i="1"/>
  <c r="AZ5062" i="1"/>
  <c r="AZ5063" i="1"/>
  <c r="AZ5064" i="1"/>
  <c r="AZ5065" i="1"/>
  <c r="AZ5066" i="1"/>
  <c r="AZ5067" i="1"/>
  <c r="AZ5068" i="1"/>
  <c r="AZ5069" i="1"/>
  <c r="AZ5070" i="1"/>
  <c r="AZ5071" i="1"/>
  <c r="AZ5072" i="1"/>
  <c r="AZ5073" i="1"/>
  <c r="AZ5074" i="1"/>
  <c r="AZ5075" i="1"/>
  <c r="AZ5076" i="1"/>
  <c r="AZ5077" i="1"/>
  <c r="AZ5078" i="1"/>
  <c r="AZ5079" i="1"/>
  <c r="AZ5080" i="1"/>
  <c r="AZ5081" i="1"/>
  <c r="AZ5082" i="1"/>
  <c r="AZ5083" i="1"/>
  <c r="AZ5084" i="1"/>
  <c r="AZ5085" i="1"/>
  <c r="AZ5086" i="1"/>
  <c r="AZ5087" i="1"/>
  <c r="AZ5088" i="1"/>
  <c r="AZ5089" i="1"/>
  <c r="AZ5090" i="1"/>
  <c r="AZ5091" i="1"/>
  <c r="AZ5092" i="1"/>
  <c r="AZ5093" i="1"/>
  <c r="AZ5094" i="1"/>
  <c r="AZ5095" i="1"/>
  <c r="AZ5096" i="1"/>
  <c r="AZ5097" i="1"/>
  <c r="AZ5098" i="1"/>
  <c r="AZ5099" i="1"/>
  <c r="AZ5100" i="1"/>
  <c r="AZ5101" i="1"/>
  <c r="AZ5102" i="1"/>
  <c r="AZ5103" i="1"/>
  <c r="AZ5104" i="1"/>
  <c r="AZ5105" i="1"/>
  <c r="AZ5106" i="1"/>
  <c r="AZ5107" i="1"/>
  <c r="AZ5108" i="1"/>
  <c r="AZ5109" i="1"/>
  <c r="AZ5110" i="1"/>
  <c r="AZ5111" i="1"/>
  <c r="AZ5112" i="1"/>
  <c r="AZ5113" i="1"/>
  <c r="AZ5114" i="1"/>
  <c r="AZ5115" i="1"/>
  <c r="AZ5116" i="1"/>
  <c r="AZ5117" i="1"/>
  <c r="AZ5118" i="1"/>
  <c r="AZ5119" i="1"/>
  <c r="AZ5120" i="1"/>
  <c r="AZ5121" i="1"/>
  <c r="AZ5122" i="1"/>
  <c r="AZ5123" i="1"/>
  <c r="AZ5124" i="1"/>
  <c r="AZ5125" i="1"/>
  <c r="AZ5126" i="1"/>
  <c r="AZ5127" i="1"/>
  <c r="AZ5128" i="1"/>
  <c r="AZ5129" i="1"/>
  <c r="AZ5130" i="1"/>
  <c r="AZ5131" i="1"/>
  <c r="AZ5132" i="1"/>
  <c r="AZ5133" i="1"/>
  <c r="AZ5134" i="1"/>
  <c r="AZ5135" i="1"/>
  <c r="AZ5136" i="1"/>
  <c r="AZ5137" i="1"/>
  <c r="AZ5138" i="1"/>
  <c r="AZ5139" i="1"/>
  <c r="AZ5140" i="1"/>
  <c r="AZ5141" i="1"/>
  <c r="AZ5142" i="1"/>
  <c r="AZ5143" i="1"/>
  <c r="AZ5144" i="1"/>
  <c r="AZ5145" i="1"/>
  <c r="AZ5146" i="1"/>
  <c r="AZ5147" i="1"/>
  <c r="AZ5148" i="1"/>
  <c r="AZ5149" i="1"/>
  <c r="AZ5150" i="1"/>
  <c r="AZ5151" i="1"/>
  <c r="AZ5152" i="1"/>
  <c r="AZ5153" i="1"/>
  <c r="AZ5154" i="1"/>
  <c r="AZ5155" i="1"/>
  <c r="AZ5156" i="1"/>
  <c r="AZ5157" i="1"/>
  <c r="AZ5158" i="1"/>
  <c r="AZ5159" i="1"/>
  <c r="AZ5160" i="1"/>
  <c r="AZ5161" i="1"/>
  <c r="AZ5162" i="1"/>
  <c r="AZ5163" i="1"/>
  <c r="AZ5164" i="1"/>
  <c r="AZ5165" i="1"/>
  <c r="AZ5166" i="1"/>
  <c r="AZ5167" i="1"/>
  <c r="AZ5168" i="1"/>
  <c r="AZ5169" i="1"/>
  <c r="AZ5170" i="1"/>
  <c r="AZ5171" i="1"/>
  <c r="AZ5172" i="1"/>
  <c r="AZ5173" i="1"/>
  <c r="AZ5174" i="1"/>
  <c r="AZ5175" i="1"/>
  <c r="AZ5176" i="1"/>
  <c r="AZ5177" i="1"/>
  <c r="AZ5178" i="1"/>
  <c r="AZ5179" i="1"/>
  <c r="AZ5180" i="1"/>
  <c r="AZ5181" i="1"/>
  <c r="AZ5182" i="1"/>
  <c r="AZ5183" i="1"/>
  <c r="AZ5184" i="1"/>
  <c r="AZ5185" i="1"/>
  <c r="AZ5186" i="1"/>
  <c r="AZ5187" i="1"/>
  <c r="AZ5188" i="1"/>
  <c r="AZ5189" i="1"/>
  <c r="AZ5190" i="1"/>
  <c r="AZ5191" i="1"/>
  <c r="AZ5192" i="1"/>
  <c r="AZ5193" i="1"/>
  <c r="AZ5194" i="1"/>
  <c r="AZ5195" i="1"/>
  <c r="AZ5196" i="1"/>
  <c r="AZ5197" i="1"/>
  <c r="AZ5198" i="1"/>
  <c r="AZ5199" i="1"/>
  <c r="AZ5200" i="1"/>
  <c r="AZ5201" i="1"/>
  <c r="AZ5202" i="1"/>
  <c r="AZ5203" i="1"/>
  <c r="AZ5204" i="1"/>
  <c r="AZ5205" i="1"/>
  <c r="AZ5206" i="1"/>
  <c r="AZ5207" i="1"/>
  <c r="AZ5208" i="1"/>
  <c r="AZ5209" i="1"/>
  <c r="AZ5210" i="1"/>
  <c r="AZ5211" i="1"/>
  <c r="AZ5212" i="1"/>
  <c r="AZ5213" i="1"/>
  <c r="AZ5214" i="1"/>
  <c r="AZ5215" i="1"/>
  <c r="AZ5216" i="1"/>
  <c r="AZ5217" i="1"/>
  <c r="AZ5218" i="1"/>
  <c r="AZ5219" i="1"/>
  <c r="AZ5220" i="1"/>
  <c r="AZ5221" i="1"/>
  <c r="AZ5222" i="1"/>
  <c r="AZ5223" i="1"/>
  <c r="AZ5224" i="1"/>
  <c r="AZ5225" i="1"/>
  <c r="AZ5226" i="1"/>
  <c r="AZ5227" i="1"/>
  <c r="AZ5228" i="1"/>
  <c r="AZ5229" i="1"/>
  <c r="AZ5230" i="1"/>
  <c r="AZ5231" i="1"/>
  <c r="AZ5232" i="1"/>
  <c r="AZ5233" i="1"/>
  <c r="AZ5234" i="1"/>
  <c r="AZ5235" i="1"/>
  <c r="AZ5236" i="1"/>
  <c r="AZ5237" i="1"/>
  <c r="AZ5238" i="1"/>
  <c r="AZ5239" i="1"/>
  <c r="AZ5240" i="1"/>
  <c r="AZ5241" i="1"/>
  <c r="AZ5242" i="1"/>
  <c r="AZ5243" i="1"/>
  <c r="AZ5244" i="1"/>
  <c r="AZ5245" i="1"/>
  <c r="AZ5246" i="1"/>
  <c r="AZ5247" i="1"/>
  <c r="AZ5248" i="1"/>
  <c r="AZ5249" i="1"/>
  <c r="AZ5250" i="1"/>
  <c r="AZ5251" i="1"/>
  <c r="AZ5252" i="1"/>
  <c r="AZ5253" i="1"/>
  <c r="AZ5254" i="1"/>
  <c r="AZ5255" i="1"/>
  <c r="AZ5256" i="1"/>
  <c r="AZ5257" i="1"/>
  <c r="AZ5258" i="1"/>
  <c r="AZ5259" i="1"/>
  <c r="AZ5260" i="1"/>
  <c r="AZ5261" i="1"/>
  <c r="AZ5262" i="1"/>
  <c r="AZ5263" i="1"/>
  <c r="AZ5264" i="1"/>
  <c r="AZ5265" i="1"/>
  <c r="AZ5266" i="1"/>
  <c r="AZ5267" i="1"/>
  <c r="AZ5268" i="1"/>
  <c r="AZ5269" i="1"/>
  <c r="AZ5270" i="1"/>
  <c r="AZ5271" i="1"/>
  <c r="AZ5272" i="1"/>
  <c r="AZ5273" i="1"/>
  <c r="AZ5274" i="1"/>
  <c r="AZ5275" i="1"/>
  <c r="AZ5276" i="1"/>
  <c r="AZ5277" i="1"/>
  <c r="AZ5278" i="1"/>
  <c r="AZ5279" i="1"/>
  <c r="AZ5280" i="1"/>
  <c r="AZ5281" i="1"/>
  <c r="AZ5282" i="1"/>
  <c r="AZ5283" i="1"/>
  <c r="AZ5284" i="1"/>
  <c r="AZ5285" i="1"/>
  <c r="AZ5286" i="1"/>
  <c r="AZ5287" i="1"/>
  <c r="AZ5288" i="1"/>
  <c r="AZ5289" i="1"/>
  <c r="AZ5290" i="1"/>
  <c r="AZ5291" i="1"/>
  <c r="AZ5292" i="1"/>
  <c r="AZ5293" i="1"/>
  <c r="AZ5294" i="1"/>
  <c r="AZ5295" i="1"/>
  <c r="AZ5296" i="1"/>
  <c r="AZ5297" i="1"/>
  <c r="AZ5298" i="1"/>
  <c r="AZ5299" i="1"/>
  <c r="AZ5300" i="1"/>
  <c r="AZ5301" i="1"/>
  <c r="AZ5302" i="1"/>
  <c r="AZ5303" i="1"/>
  <c r="AZ5304" i="1"/>
  <c r="AZ5305" i="1"/>
  <c r="AZ5306" i="1"/>
  <c r="AZ5307" i="1"/>
  <c r="AZ5308" i="1"/>
  <c r="AZ5309" i="1"/>
  <c r="AZ5310" i="1"/>
  <c r="AZ5311" i="1"/>
  <c r="AZ5312" i="1"/>
  <c r="AZ5313" i="1"/>
  <c r="AZ5314" i="1"/>
  <c r="AZ5315" i="1"/>
  <c r="AZ5316" i="1"/>
  <c r="AZ5317" i="1"/>
  <c r="AZ5318" i="1"/>
  <c r="AZ5319" i="1"/>
  <c r="AZ5320" i="1"/>
  <c r="AZ5321" i="1"/>
  <c r="AZ5322" i="1"/>
  <c r="AZ5323" i="1"/>
  <c r="AZ5324" i="1"/>
  <c r="AZ5325" i="1"/>
  <c r="AZ5326" i="1"/>
  <c r="AZ5327" i="1"/>
  <c r="AZ5328" i="1"/>
  <c r="AZ5329" i="1"/>
  <c r="AZ5330" i="1"/>
  <c r="AZ5331" i="1"/>
  <c r="AZ5332" i="1"/>
  <c r="AZ5333" i="1"/>
  <c r="AZ5334" i="1"/>
  <c r="AZ5335" i="1"/>
  <c r="AZ5336" i="1"/>
  <c r="AZ5337" i="1"/>
  <c r="AZ5338" i="1"/>
  <c r="AZ5339" i="1"/>
  <c r="AZ5340" i="1"/>
  <c r="AZ5341" i="1"/>
  <c r="AZ5342" i="1"/>
  <c r="AZ5343" i="1"/>
  <c r="AZ5344" i="1"/>
  <c r="AZ5345" i="1"/>
  <c r="AZ5346" i="1"/>
  <c r="AZ5347" i="1"/>
  <c r="AZ5348" i="1"/>
  <c r="AZ5349" i="1"/>
  <c r="AZ5350" i="1"/>
  <c r="AZ5351" i="1"/>
  <c r="AZ5352" i="1"/>
  <c r="AZ5353" i="1"/>
  <c r="AZ5354" i="1"/>
  <c r="AZ5355" i="1"/>
  <c r="AZ5356" i="1"/>
  <c r="AZ5357" i="1"/>
  <c r="AZ5358" i="1"/>
  <c r="AZ5359" i="1"/>
  <c r="AZ5360" i="1"/>
  <c r="AZ5361" i="1"/>
  <c r="AZ5362" i="1"/>
  <c r="AZ5363" i="1"/>
  <c r="AZ5364" i="1"/>
  <c r="AZ5365" i="1"/>
  <c r="AZ5366" i="1"/>
  <c r="AZ5367" i="1"/>
  <c r="AZ5368" i="1"/>
  <c r="AZ5369" i="1"/>
  <c r="AZ5370" i="1"/>
  <c r="AZ5371" i="1"/>
  <c r="AZ5372" i="1"/>
  <c r="AZ5373" i="1"/>
  <c r="AZ5374" i="1"/>
  <c r="AZ5375" i="1"/>
  <c r="AZ5376" i="1"/>
  <c r="AZ5377" i="1"/>
  <c r="AZ5378" i="1"/>
  <c r="AZ5379" i="1"/>
  <c r="AZ5380" i="1"/>
  <c r="AZ5381" i="1"/>
  <c r="AZ5382" i="1"/>
  <c r="AZ5383" i="1"/>
  <c r="AZ5384" i="1"/>
  <c r="AZ5385" i="1"/>
  <c r="AZ5386" i="1"/>
  <c r="AZ5387" i="1"/>
  <c r="AZ5388" i="1"/>
  <c r="AZ5389" i="1"/>
  <c r="AZ5390" i="1"/>
  <c r="AZ5391" i="1"/>
  <c r="AZ5392" i="1"/>
  <c r="AZ5393" i="1"/>
  <c r="AZ5394" i="1"/>
  <c r="AZ5395" i="1"/>
  <c r="AZ5396" i="1"/>
  <c r="AZ5397" i="1"/>
  <c r="AZ5398" i="1"/>
  <c r="AZ5399" i="1"/>
  <c r="AZ5400" i="1"/>
  <c r="AZ5401" i="1"/>
  <c r="AZ5402" i="1"/>
  <c r="AZ5403" i="1"/>
  <c r="AZ5404" i="1"/>
  <c r="AZ5405" i="1"/>
  <c r="AZ5406" i="1"/>
  <c r="AZ5407" i="1"/>
  <c r="AZ5408" i="1"/>
  <c r="AZ5409" i="1"/>
  <c r="AZ5410" i="1"/>
  <c r="AZ5411" i="1"/>
  <c r="AZ5412" i="1"/>
  <c r="AZ5413" i="1"/>
  <c r="AZ5414" i="1"/>
  <c r="AZ5415" i="1"/>
  <c r="AZ5416" i="1"/>
  <c r="AZ5417" i="1"/>
  <c r="AZ5418" i="1"/>
  <c r="AZ5419" i="1"/>
  <c r="AZ5420" i="1"/>
  <c r="AZ5421" i="1"/>
  <c r="AZ5422" i="1"/>
  <c r="AZ5423" i="1"/>
  <c r="AZ5424" i="1"/>
  <c r="AZ5425" i="1"/>
  <c r="AZ5426" i="1"/>
  <c r="AZ5427" i="1"/>
  <c r="AZ5428" i="1"/>
  <c r="AZ5429" i="1"/>
  <c r="AZ5430" i="1"/>
  <c r="AZ5431" i="1"/>
  <c r="AZ5432" i="1"/>
  <c r="AZ5433" i="1"/>
  <c r="AZ5434" i="1"/>
  <c r="AZ5435" i="1"/>
  <c r="AZ5436" i="1"/>
  <c r="AZ5437" i="1"/>
  <c r="AZ5438" i="1"/>
  <c r="AZ5439" i="1"/>
  <c r="AZ5440" i="1"/>
  <c r="AZ5441" i="1"/>
  <c r="AZ5442" i="1"/>
  <c r="AZ5443" i="1"/>
  <c r="AZ5444" i="1"/>
  <c r="AZ5445" i="1"/>
  <c r="AZ5446" i="1"/>
  <c r="AZ5447" i="1"/>
  <c r="AZ5448" i="1"/>
  <c r="AZ5449" i="1"/>
  <c r="AZ5450" i="1"/>
  <c r="AZ5451" i="1"/>
  <c r="AZ5452" i="1"/>
  <c r="AZ5453" i="1"/>
  <c r="AZ5454" i="1"/>
  <c r="AZ5455" i="1"/>
  <c r="AZ5456" i="1"/>
  <c r="AZ5457" i="1"/>
  <c r="AZ5458" i="1"/>
  <c r="AZ5459" i="1"/>
  <c r="AZ5460" i="1"/>
  <c r="AZ5461" i="1"/>
  <c r="AZ5462" i="1"/>
  <c r="AZ5463" i="1"/>
  <c r="AZ5464" i="1"/>
  <c r="AZ5465" i="1"/>
  <c r="AZ5466" i="1"/>
  <c r="AZ5467" i="1"/>
  <c r="AZ5468" i="1"/>
  <c r="AZ5469" i="1"/>
  <c r="AZ5470" i="1"/>
  <c r="AZ5471" i="1"/>
  <c r="AZ5472" i="1"/>
  <c r="AZ5473" i="1"/>
  <c r="AZ5474" i="1"/>
  <c r="AZ5475" i="1"/>
  <c r="AZ5476" i="1"/>
  <c r="AZ5477" i="1"/>
  <c r="AZ5478" i="1"/>
  <c r="AZ5479" i="1"/>
  <c r="AZ5480" i="1"/>
  <c r="AZ5481" i="1"/>
  <c r="AZ5482" i="1"/>
  <c r="AZ5483" i="1"/>
  <c r="AZ5484" i="1"/>
  <c r="AZ5485" i="1"/>
  <c r="AZ5486" i="1"/>
  <c r="AZ5487" i="1"/>
  <c r="AZ5488" i="1"/>
  <c r="AZ5489" i="1"/>
  <c r="AZ5490" i="1"/>
  <c r="AZ5491" i="1"/>
  <c r="AZ5492" i="1"/>
  <c r="AZ5493" i="1"/>
  <c r="AZ5494" i="1"/>
  <c r="AZ5495" i="1"/>
  <c r="AZ5496" i="1"/>
  <c r="AZ5497" i="1"/>
  <c r="AZ5498" i="1"/>
  <c r="AZ5499" i="1"/>
  <c r="AZ5500" i="1"/>
  <c r="AZ5501" i="1"/>
  <c r="AZ5502" i="1"/>
  <c r="AZ5503" i="1"/>
  <c r="AZ5504" i="1"/>
  <c r="AZ5505" i="1"/>
  <c r="AZ5506" i="1"/>
  <c r="AZ5507" i="1"/>
  <c r="AZ5508" i="1"/>
  <c r="AZ5509" i="1"/>
  <c r="AZ5510" i="1"/>
  <c r="AZ5511" i="1"/>
  <c r="AZ5512" i="1"/>
  <c r="AZ5513" i="1"/>
  <c r="AZ5514" i="1"/>
  <c r="AZ5515" i="1"/>
  <c r="AZ5516" i="1"/>
  <c r="AZ5517" i="1"/>
  <c r="AZ5518" i="1"/>
  <c r="AZ5519" i="1"/>
  <c r="AZ5520" i="1"/>
  <c r="AZ5521" i="1"/>
  <c r="AZ5522" i="1"/>
  <c r="AZ5523" i="1"/>
  <c r="AZ5524" i="1"/>
  <c r="AZ5525" i="1"/>
  <c r="AZ5526" i="1"/>
  <c r="AZ5527" i="1"/>
  <c r="AZ5528" i="1"/>
  <c r="AZ5529" i="1"/>
  <c r="AZ5530" i="1"/>
  <c r="AZ5531" i="1"/>
  <c r="AZ5532" i="1"/>
  <c r="AZ5533" i="1"/>
  <c r="AZ5534" i="1"/>
  <c r="AZ5535" i="1"/>
  <c r="AZ5536" i="1"/>
  <c r="AZ5537" i="1"/>
  <c r="AZ5538" i="1"/>
  <c r="AZ5539" i="1"/>
  <c r="AZ5540" i="1"/>
  <c r="AZ5541" i="1"/>
  <c r="AZ5542" i="1"/>
  <c r="AZ5543" i="1"/>
  <c r="AZ5544" i="1"/>
  <c r="AZ5545" i="1"/>
  <c r="AZ5546" i="1"/>
  <c r="AZ5547" i="1"/>
  <c r="AZ5548" i="1"/>
  <c r="AZ5549" i="1"/>
  <c r="AZ5550" i="1"/>
  <c r="AZ5551" i="1"/>
  <c r="AZ5552" i="1"/>
  <c r="AZ5553" i="1"/>
  <c r="AZ5554" i="1"/>
  <c r="AZ5555" i="1"/>
  <c r="AZ5556" i="1"/>
  <c r="AZ5557" i="1"/>
  <c r="AZ5558" i="1"/>
  <c r="AZ5559" i="1"/>
  <c r="AZ5560" i="1"/>
  <c r="AZ5561" i="1"/>
  <c r="AZ5562" i="1"/>
  <c r="AZ5563" i="1"/>
  <c r="AZ5564" i="1"/>
  <c r="AZ5565" i="1"/>
  <c r="AZ5566" i="1"/>
  <c r="AZ5567" i="1"/>
  <c r="AZ5568" i="1"/>
  <c r="AZ5569" i="1"/>
  <c r="AZ5570" i="1"/>
  <c r="AZ5571" i="1"/>
  <c r="AZ5572" i="1"/>
  <c r="AZ5573" i="1"/>
  <c r="AZ5574" i="1"/>
  <c r="AZ5575" i="1"/>
  <c r="AZ5576" i="1"/>
  <c r="AZ5577" i="1"/>
  <c r="AZ5578" i="1"/>
  <c r="AZ5579" i="1"/>
  <c r="AZ5580" i="1"/>
  <c r="AZ5581" i="1"/>
  <c r="AZ5582" i="1"/>
  <c r="AZ5583" i="1"/>
  <c r="AZ5584" i="1"/>
  <c r="AZ5585" i="1"/>
  <c r="AZ5586" i="1"/>
  <c r="AZ5587" i="1"/>
  <c r="AZ5588" i="1"/>
  <c r="AZ5589" i="1"/>
  <c r="AZ5590" i="1"/>
  <c r="AZ5591" i="1"/>
  <c r="AZ5592" i="1"/>
  <c r="AZ5593" i="1"/>
  <c r="AZ5594" i="1"/>
  <c r="AZ5595" i="1"/>
  <c r="AZ5596" i="1"/>
  <c r="AZ5597" i="1"/>
  <c r="AZ5598" i="1"/>
  <c r="AZ5599" i="1"/>
  <c r="AZ5600" i="1"/>
  <c r="AZ5601" i="1"/>
  <c r="AZ5602" i="1"/>
  <c r="AZ5603" i="1"/>
  <c r="AZ5604" i="1"/>
  <c r="AZ5605" i="1"/>
  <c r="AZ5606" i="1"/>
  <c r="AZ5607" i="1"/>
  <c r="AZ5608" i="1"/>
  <c r="AZ5609" i="1"/>
  <c r="AZ5610" i="1"/>
  <c r="AZ5611" i="1"/>
  <c r="AZ5612" i="1"/>
  <c r="AZ5613" i="1"/>
  <c r="AZ5614" i="1"/>
  <c r="AZ5615" i="1"/>
  <c r="AZ5616" i="1"/>
  <c r="AZ5617" i="1"/>
  <c r="AZ5618" i="1"/>
  <c r="AZ5619" i="1"/>
  <c r="AZ5620" i="1"/>
  <c r="AZ5621" i="1"/>
  <c r="AZ5622" i="1"/>
  <c r="AZ5623" i="1"/>
  <c r="AZ5624" i="1"/>
  <c r="AZ5625" i="1"/>
  <c r="AZ5626" i="1"/>
  <c r="AZ5627" i="1"/>
  <c r="AZ5628" i="1"/>
  <c r="AZ5629" i="1"/>
  <c r="AZ5630" i="1"/>
  <c r="AZ5631" i="1"/>
  <c r="AZ5632" i="1"/>
  <c r="AZ5633" i="1"/>
  <c r="AZ5634" i="1"/>
  <c r="AZ5635" i="1"/>
  <c r="AZ5636" i="1"/>
  <c r="AZ5637" i="1"/>
  <c r="AZ5638" i="1"/>
  <c r="AZ5639" i="1"/>
  <c r="AZ5640" i="1"/>
  <c r="AZ5641" i="1"/>
  <c r="AZ5642" i="1"/>
  <c r="AZ5643" i="1"/>
  <c r="AZ5644" i="1"/>
  <c r="AZ5645" i="1"/>
  <c r="AZ5646" i="1"/>
  <c r="AZ5647" i="1"/>
  <c r="AZ5648" i="1"/>
  <c r="AZ5649" i="1"/>
  <c r="AZ5650" i="1"/>
  <c r="AZ5651" i="1"/>
  <c r="AZ5652" i="1"/>
  <c r="AZ5653" i="1"/>
  <c r="AZ5654" i="1"/>
  <c r="AZ5655" i="1"/>
  <c r="AZ5656" i="1"/>
  <c r="AZ5657" i="1"/>
  <c r="AZ5658" i="1"/>
  <c r="AZ5659" i="1"/>
  <c r="AZ5660" i="1"/>
  <c r="AZ5661" i="1"/>
  <c r="AZ5662" i="1"/>
  <c r="AZ5663" i="1"/>
  <c r="AZ5664" i="1"/>
  <c r="AZ5665" i="1"/>
  <c r="AZ5666" i="1"/>
  <c r="AZ5667" i="1"/>
  <c r="AZ5668" i="1"/>
  <c r="AZ5669" i="1"/>
  <c r="AZ5670" i="1"/>
  <c r="AZ5671" i="1"/>
  <c r="AZ5672" i="1"/>
  <c r="AZ5673" i="1"/>
  <c r="AZ5674" i="1"/>
  <c r="AZ5675" i="1"/>
  <c r="AZ5676" i="1"/>
  <c r="AZ5677" i="1"/>
  <c r="AZ5678" i="1"/>
  <c r="AZ5679" i="1"/>
  <c r="AZ5680" i="1"/>
  <c r="AZ5681" i="1"/>
  <c r="AZ5682" i="1"/>
  <c r="AZ5683" i="1"/>
  <c r="AZ5684" i="1"/>
  <c r="AZ5685" i="1"/>
  <c r="AZ5686" i="1"/>
  <c r="AZ5687" i="1"/>
  <c r="AZ5688" i="1"/>
  <c r="AZ5689" i="1"/>
  <c r="AZ5690" i="1"/>
  <c r="AZ5691" i="1"/>
  <c r="AZ5692" i="1"/>
  <c r="AZ5693" i="1"/>
  <c r="AZ5694" i="1"/>
  <c r="AZ5695" i="1"/>
  <c r="AZ5696" i="1"/>
  <c r="AZ5697" i="1"/>
  <c r="AZ5698" i="1"/>
  <c r="AZ5699" i="1"/>
  <c r="AZ5700" i="1"/>
  <c r="AZ5701" i="1"/>
  <c r="AZ5702" i="1"/>
  <c r="AZ5703" i="1"/>
  <c r="AZ5704" i="1"/>
  <c r="AZ5705" i="1"/>
  <c r="AZ5706" i="1"/>
  <c r="AZ5707" i="1"/>
  <c r="AZ5708" i="1"/>
  <c r="AZ5709" i="1"/>
  <c r="AZ5710" i="1"/>
  <c r="AZ5711" i="1"/>
  <c r="AZ5712" i="1"/>
  <c r="AZ5713" i="1"/>
  <c r="AZ5714" i="1"/>
  <c r="AZ5715" i="1"/>
  <c r="AZ5716" i="1"/>
  <c r="AZ5717" i="1"/>
  <c r="AZ5718" i="1"/>
  <c r="AZ5719" i="1"/>
  <c r="AZ5720" i="1"/>
  <c r="AZ5721" i="1"/>
  <c r="AZ5722" i="1"/>
  <c r="AZ5723" i="1"/>
  <c r="AZ5724" i="1"/>
  <c r="AZ5725" i="1"/>
  <c r="AZ5726" i="1"/>
  <c r="AZ5727" i="1"/>
  <c r="AZ5728" i="1"/>
  <c r="AZ5729" i="1"/>
  <c r="AZ5730" i="1"/>
  <c r="AZ5731" i="1"/>
  <c r="AZ5732" i="1"/>
  <c r="AZ5733" i="1"/>
  <c r="AZ5734" i="1"/>
  <c r="AZ5735" i="1"/>
  <c r="AZ5736" i="1"/>
  <c r="AZ5737" i="1"/>
  <c r="AZ5738" i="1"/>
  <c r="AZ5739" i="1"/>
  <c r="AZ5740" i="1"/>
  <c r="AZ5741" i="1"/>
  <c r="AZ5742" i="1"/>
  <c r="AZ5743" i="1"/>
  <c r="AZ5744" i="1"/>
  <c r="AZ5745" i="1"/>
  <c r="AZ5746" i="1"/>
  <c r="AZ5747" i="1"/>
  <c r="AZ5748" i="1"/>
  <c r="AZ5749" i="1"/>
  <c r="AZ5750" i="1"/>
  <c r="AZ5751" i="1"/>
  <c r="AZ5752" i="1"/>
  <c r="AZ5753" i="1"/>
  <c r="AZ5754" i="1"/>
  <c r="AZ5755" i="1"/>
  <c r="AZ5756" i="1"/>
  <c r="AZ5757" i="1"/>
  <c r="AZ5758" i="1"/>
  <c r="AZ5759" i="1"/>
  <c r="AZ5760" i="1"/>
  <c r="AZ5761" i="1"/>
  <c r="AZ5762" i="1"/>
  <c r="AZ5763" i="1"/>
  <c r="AZ5764" i="1"/>
  <c r="AZ5765" i="1"/>
  <c r="AZ5766" i="1"/>
  <c r="AZ5767" i="1"/>
  <c r="AZ5768" i="1"/>
  <c r="AZ5769" i="1"/>
  <c r="AZ5770" i="1"/>
  <c r="AZ5771" i="1"/>
  <c r="AZ5772" i="1"/>
  <c r="AZ5773" i="1"/>
  <c r="AZ5774" i="1"/>
  <c r="AZ5775" i="1"/>
  <c r="AZ5776" i="1"/>
  <c r="AZ5777" i="1"/>
  <c r="AZ5778" i="1"/>
  <c r="AZ5779" i="1"/>
  <c r="AZ5780" i="1"/>
  <c r="AZ5781" i="1"/>
  <c r="AZ5782" i="1"/>
  <c r="AZ5783" i="1"/>
  <c r="AZ5784" i="1"/>
  <c r="AZ5785" i="1"/>
  <c r="AZ5786" i="1"/>
  <c r="AZ5787" i="1"/>
  <c r="AZ5788" i="1"/>
  <c r="AZ5789" i="1"/>
  <c r="AZ5790" i="1"/>
  <c r="AZ5791" i="1"/>
  <c r="AZ5792" i="1"/>
  <c r="AZ5793" i="1"/>
  <c r="AZ5794" i="1"/>
  <c r="AZ5795" i="1"/>
  <c r="AZ5796" i="1"/>
  <c r="AZ5797" i="1"/>
  <c r="AZ5798" i="1"/>
  <c r="AZ5799" i="1"/>
  <c r="AZ5800" i="1"/>
  <c r="AZ5801" i="1"/>
  <c r="AZ5802" i="1"/>
  <c r="AZ5803" i="1"/>
  <c r="AZ5804" i="1"/>
  <c r="AZ5805" i="1"/>
  <c r="AZ5806" i="1"/>
  <c r="AZ5807" i="1"/>
  <c r="AZ5808" i="1"/>
  <c r="AZ5809" i="1"/>
  <c r="AZ5810" i="1"/>
  <c r="AZ5811" i="1"/>
  <c r="AZ5812" i="1"/>
  <c r="AZ5813" i="1"/>
  <c r="AZ5814" i="1"/>
  <c r="AZ5815" i="1"/>
  <c r="AZ5816" i="1"/>
  <c r="AZ5817" i="1"/>
  <c r="AZ5818" i="1"/>
  <c r="AZ5819" i="1"/>
  <c r="AZ5820" i="1"/>
  <c r="AZ5821" i="1"/>
  <c r="AZ5822" i="1"/>
  <c r="AZ5823" i="1"/>
  <c r="AZ5824" i="1"/>
  <c r="AZ5825" i="1"/>
  <c r="AZ5826" i="1"/>
  <c r="AZ5827" i="1"/>
  <c r="AZ5828" i="1"/>
  <c r="AZ5829" i="1"/>
  <c r="AZ5830" i="1"/>
  <c r="AZ5831" i="1"/>
  <c r="AZ5832" i="1"/>
  <c r="AZ5833" i="1"/>
  <c r="AZ5834" i="1"/>
  <c r="AZ5835" i="1"/>
  <c r="AZ5836" i="1"/>
  <c r="AZ5837" i="1"/>
  <c r="AZ5838" i="1"/>
  <c r="AZ5839" i="1"/>
  <c r="AZ5840" i="1"/>
  <c r="AZ5841" i="1"/>
  <c r="AZ5842" i="1"/>
  <c r="AZ5843" i="1"/>
  <c r="AZ5844" i="1"/>
  <c r="AZ5845" i="1"/>
  <c r="AZ5846" i="1"/>
  <c r="AZ5847" i="1"/>
  <c r="AZ5848" i="1"/>
  <c r="AZ5849" i="1"/>
  <c r="AZ5850" i="1"/>
  <c r="AZ5851" i="1"/>
  <c r="AZ5852" i="1"/>
  <c r="AZ5853" i="1"/>
  <c r="AZ5854" i="1"/>
  <c r="AZ5855" i="1"/>
  <c r="AZ5856" i="1"/>
  <c r="AZ5857" i="1"/>
  <c r="AZ5858" i="1"/>
  <c r="AZ5859" i="1"/>
  <c r="AZ5860" i="1"/>
  <c r="AZ5861" i="1"/>
  <c r="AZ5862" i="1"/>
  <c r="AZ5863" i="1"/>
  <c r="AZ5864" i="1"/>
  <c r="AZ5865" i="1"/>
  <c r="AZ5866" i="1"/>
  <c r="AZ5867" i="1"/>
  <c r="AZ5868" i="1"/>
  <c r="AZ5869" i="1"/>
  <c r="AZ5870" i="1"/>
  <c r="AZ5871" i="1"/>
  <c r="AZ5872" i="1"/>
  <c r="AZ5873" i="1"/>
  <c r="AZ5874" i="1"/>
  <c r="AZ5875" i="1"/>
  <c r="AZ5876" i="1"/>
  <c r="AZ5877" i="1"/>
  <c r="AZ5878" i="1"/>
  <c r="AZ5879" i="1"/>
  <c r="AZ5880" i="1"/>
  <c r="AZ5881" i="1"/>
  <c r="AZ5882" i="1"/>
  <c r="AZ5883" i="1"/>
  <c r="AZ5884" i="1"/>
  <c r="AZ5885" i="1"/>
  <c r="AZ5886" i="1"/>
  <c r="AZ5887" i="1"/>
  <c r="AZ5888" i="1"/>
  <c r="AZ5889" i="1"/>
  <c r="AZ5890" i="1"/>
  <c r="AZ5891" i="1"/>
  <c r="AZ5892" i="1"/>
  <c r="AZ5893" i="1"/>
  <c r="AZ5894" i="1"/>
  <c r="AZ5895" i="1"/>
  <c r="AZ5896" i="1"/>
  <c r="AZ5897" i="1"/>
  <c r="AZ5898" i="1"/>
  <c r="AZ5899" i="1"/>
  <c r="AZ5900" i="1"/>
  <c r="AZ5901" i="1"/>
  <c r="AZ5902" i="1"/>
  <c r="AZ5903" i="1"/>
  <c r="AZ5904" i="1"/>
  <c r="AZ5905" i="1"/>
  <c r="AZ5906" i="1"/>
  <c r="AZ5907" i="1"/>
  <c r="AZ5908" i="1"/>
  <c r="AZ5909" i="1"/>
  <c r="AZ5910" i="1"/>
  <c r="AZ5911" i="1"/>
  <c r="AZ5912" i="1"/>
  <c r="AZ5913" i="1"/>
  <c r="AZ5914" i="1"/>
  <c r="AZ5915" i="1"/>
  <c r="AZ5916" i="1"/>
  <c r="AZ5917" i="1"/>
  <c r="AZ5918" i="1"/>
  <c r="AZ5919" i="1"/>
  <c r="AZ5920" i="1"/>
  <c r="AZ5921" i="1"/>
  <c r="AZ5922" i="1"/>
  <c r="AZ5923" i="1"/>
  <c r="AZ5924" i="1"/>
  <c r="AZ5925" i="1"/>
  <c r="AZ5926" i="1"/>
  <c r="AZ5927" i="1"/>
  <c r="AZ5928" i="1"/>
  <c r="AZ5929" i="1"/>
  <c r="AZ5930" i="1"/>
  <c r="AZ5931" i="1"/>
  <c r="AZ5932" i="1"/>
  <c r="AZ5933" i="1"/>
  <c r="AZ5934" i="1"/>
  <c r="AZ5935" i="1"/>
  <c r="AZ5936" i="1"/>
  <c r="AZ5937" i="1"/>
  <c r="AZ5938" i="1"/>
  <c r="AZ5939" i="1"/>
  <c r="AZ5940" i="1"/>
  <c r="AZ5941" i="1"/>
  <c r="AZ5942" i="1"/>
  <c r="AZ5943" i="1"/>
  <c r="AZ5944" i="1"/>
  <c r="AZ5945" i="1"/>
  <c r="AZ5946" i="1"/>
  <c r="AZ5947" i="1"/>
  <c r="AZ5948" i="1"/>
  <c r="AZ5949" i="1"/>
  <c r="AZ5950" i="1"/>
  <c r="AZ5951" i="1"/>
  <c r="AZ5952" i="1"/>
  <c r="AZ5953" i="1"/>
  <c r="AZ5954" i="1"/>
  <c r="AZ5955" i="1"/>
  <c r="AZ5956" i="1"/>
  <c r="AZ5957" i="1"/>
  <c r="AZ5958" i="1"/>
  <c r="AZ5959" i="1"/>
  <c r="AZ5960" i="1"/>
  <c r="AZ5961" i="1"/>
  <c r="AZ5962" i="1"/>
  <c r="AZ5963" i="1"/>
  <c r="AZ5964" i="1"/>
  <c r="AZ5965" i="1"/>
  <c r="AZ5966" i="1"/>
  <c r="AZ5967" i="1"/>
  <c r="AZ5968" i="1"/>
  <c r="AZ5969" i="1"/>
  <c r="AZ5970" i="1"/>
  <c r="AZ5971" i="1"/>
  <c r="AZ5972" i="1"/>
  <c r="AZ5973" i="1"/>
  <c r="AZ5974" i="1"/>
  <c r="AZ5975" i="1"/>
  <c r="AZ5976" i="1"/>
  <c r="AZ5977" i="1"/>
  <c r="AZ5978" i="1"/>
  <c r="AZ5979" i="1"/>
  <c r="AZ5980" i="1"/>
  <c r="AZ5981" i="1"/>
  <c r="AZ5982" i="1"/>
  <c r="AZ5983" i="1"/>
  <c r="AZ5984" i="1"/>
  <c r="AZ5985" i="1"/>
  <c r="AZ5986" i="1"/>
  <c r="AZ5987" i="1"/>
  <c r="AZ5988" i="1"/>
  <c r="AZ5989" i="1"/>
  <c r="AZ5990" i="1"/>
  <c r="AZ5991" i="1"/>
  <c r="AZ5992" i="1"/>
  <c r="AZ5993" i="1"/>
  <c r="AZ5994" i="1"/>
  <c r="AZ5995" i="1"/>
  <c r="AZ5996" i="1"/>
  <c r="AZ5997" i="1"/>
  <c r="AZ5998" i="1"/>
  <c r="AZ5999" i="1"/>
  <c r="AZ6000" i="1"/>
  <c r="AZ6001" i="1"/>
  <c r="AZ6002" i="1"/>
  <c r="AZ6003" i="1"/>
  <c r="AZ6004" i="1"/>
  <c r="AZ6005" i="1"/>
  <c r="AZ6006" i="1"/>
  <c r="AZ6007" i="1"/>
  <c r="AZ6008" i="1"/>
  <c r="AZ6009" i="1"/>
  <c r="AZ6010" i="1"/>
  <c r="AZ6011" i="1"/>
  <c r="AZ6012" i="1"/>
  <c r="AZ6013" i="1"/>
  <c r="AZ6014" i="1"/>
  <c r="AZ6015" i="1"/>
  <c r="AZ6016" i="1"/>
  <c r="AZ6017" i="1"/>
  <c r="AZ6018" i="1"/>
  <c r="AZ6019" i="1"/>
  <c r="AZ6020" i="1"/>
  <c r="AZ6021" i="1"/>
  <c r="AZ6022" i="1"/>
  <c r="AZ6023" i="1"/>
  <c r="AZ6024" i="1"/>
  <c r="AZ6025" i="1"/>
  <c r="AZ6026" i="1"/>
  <c r="AZ6027" i="1"/>
  <c r="AZ6028" i="1"/>
  <c r="AZ6029" i="1"/>
  <c r="AZ6030" i="1"/>
  <c r="AZ6031" i="1"/>
  <c r="AZ6032" i="1"/>
  <c r="AZ6033" i="1"/>
  <c r="AZ6034" i="1"/>
  <c r="AZ6035" i="1"/>
  <c r="AZ6036" i="1"/>
  <c r="AZ6037" i="1"/>
  <c r="AZ6038" i="1"/>
  <c r="AZ6039" i="1"/>
  <c r="AZ6040" i="1"/>
  <c r="AZ6041" i="1"/>
  <c r="AZ6042" i="1"/>
  <c r="AZ6043" i="1"/>
  <c r="AZ6044" i="1"/>
  <c r="AZ6045" i="1"/>
  <c r="AZ6046" i="1"/>
  <c r="AZ6047" i="1"/>
  <c r="AZ6048" i="1"/>
  <c r="AZ6049" i="1"/>
  <c r="AZ6050" i="1"/>
  <c r="AZ6051" i="1"/>
  <c r="AZ6052" i="1"/>
  <c r="AZ6053" i="1"/>
  <c r="AZ6054" i="1"/>
  <c r="AZ6055" i="1"/>
  <c r="AZ6056" i="1"/>
  <c r="AZ6057" i="1"/>
  <c r="AZ6058" i="1"/>
  <c r="AZ6059" i="1"/>
  <c r="AZ6060" i="1"/>
  <c r="AZ6061" i="1"/>
  <c r="AZ6062" i="1"/>
  <c r="AZ6063" i="1"/>
  <c r="AZ6064" i="1"/>
  <c r="AZ6065" i="1"/>
  <c r="AZ6066" i="1"/>
  <c r="AZ6067" i="1"/>
  <c r="AZ6068" i="1"/>
  <c r="AZ6069" i="1"/>
  <c r="AZ6070" i="1"/>
  <c r="AZ6071" i="1"/>
  <c r="AZ6072" i="1"/>
  <c r="AZ6073" i="1"/>
  <c r="AZ6074" i="1"/>
  <c r="AZ6075" i="1"/>
  <c r="AZ6076" i="1"/>
  <c r="AZ6077" i="1"/>
  <c r="AZ6078" i="1"/>
  <c r="AZ6079" i="1"/>
  <c r="AZ6080" i="1"/>
  <c r="AZ6081" i="1"/>
  <c r="AZ6082" i="1"/>
  <c r="AZ6083" i="1"/>
  <c r="AZ6084" i="1"/>
  <c r="AZ6085" i="1"/>
  <c r="AZ6086" i="1"/>
  <c r="AZ6087" i="1"/>
  <c r="AZ6088" i="1"/>
  <c r="AZ6089" i="1"/>
  <c r="AZ6090" i="1"/>
  <c r="AZ6091" i="1"/>
  <c r="AZ6092" i="1"/>
  <c r="AZ6093" i="1"/>
  <c r="AZ6094" i="1"/>
  <c r="AZ6095" i="1"/>
  <c r="AZ6096" i="1"/>
  <c r="AZ6097" i="1"/>
  <c r="AZ6098" i="1"/>
  <c r="AZ6099" i="1"/>
  <c r="AZ6100" i="1"/>
  <c r="AZ6101" i="1"/>
  <c r="AZ6102" i="1"/>
  <c r="AZ6103" i="1"/>
  <c r="AZ6104" i="1"/>
  <c r="AZ6105" i="1"/>
  <c r="AZ6106" i="1"/>
  <c r="AZ6107" i="1"/>
  <c r="AZ6108" i="1"/>
  <c r="AZ6109" i="1"/>
  <c r="AZ6110" i="1"/>
  <c r="AZ6111" i="1"/>
  <c r="AZ6112" i="1"/>
  <c r="AZ6113" i="1"/>
  <c r="AZ6114" i="1"/>
  <c r="AZ6115" i="1"/>
  <c r="AZ6116" i="1"/>
  <c r="AZ6117" i="1"/>
  <c r="AZ6118" i="1"/>
  <c r="AZ6119" i="1"/>
  <c r="AZ6120" i="1"/>
  <c r="AZ6121" i="1"/>
  <c r="AZ6122" i="1"/>
  <c r="AZ6123" i="1"/>
  <c r="AZ6124" i="1"/>
  <c r="AZ6125" i="1"/>
  <c r="AZ6126" i="1"/>
  <c r="AZ6127" i="1"/>
  <c r="AZ6128" i="1"/>
  <c r="AZ6129" i="1"/>
  <c r="AZ6130" i="1"/>
  <c r="AZ6131" i="1"/>
  <c r="AZ6132" i="1"/>
  <c r="AZ6133" i="1"/>
  <c r="AZ6134" i="1"/>
  <c r="AZ6135" i="1"/>
  <c r="AZ6136" i="1"/>
  <c r="AZ6137" i="1"/>
  <c r="AZ6138" i="1"/>
  <c r="AZ6139" i="1"/>
  <c r="AZ6140" i="1"/>
  <c r="AZ6141" i="1"/>
  <c r="AZ6142" i="1"/>
  <c r="AZ6143" i="1"/>
  <c r="AZ6144" i="1"/>
  <c r="AZ6145" i="1"/>
  <c r="AZ6146" i="1"/>
  <c r="AZ6147" i="1"/>
  <c r="AZ6148" i="1"/>
  <c r="AZ6149" i="1"/>
  <c r="AZ6150" i="1"/>
  <c r="AZ6151" i="1"/>
  <c r="AZ6152" i="1"/>
  <c r="AZ6153" i="1"/>
  <c r="AZ6154" i="1"/>
  <c r="AZ6155" i="1"/>
  <c r="AZ6156" i="1"/>
  <c r="AZ6157" i="1"/>
  <c r="AZ6158" i="1"/>
  <c r="AZ6159" i="1"/>
  <c r="AZ6160" i="1"/>
  <c r="AZ6161" i="1"/>
  <c r="AZ6162" i="1"/>
  <c r="AZ6163" i="1"/>
  <c r="AZ6164" i="1"/>
  <c r="AZ6165" i="1"/>
  <c r="AZ6166" i="1"/>
  <c r="AZ6167" i="1"/>
  <c r="AZ6168" i="1"/>
  <c r="AZ6169" i="1"/>
  <c r="AZ6170" i="1"/>
  <c r="AZ6171" i="1"/>
  <c r="AZ6172" i="1"/>
  <c r="AZ6173" i="1"/>
  <c r="AZ6174" i="1"/>
  <c r="AZ6175" i="1"/>
  <c r="AZ6176" i="1"/>
  <c r="AZ6177" i="1"/>
  <c r="AZ6178" i="1"/>
  <c r="AZ6179" i="1"/>
  <c r="AZ6180" i="1"/>
  <c r="AZ6181" i="1"/>
  <c r="AZ6182" i="1"/>
  <c r="AZ6183" i="1"/>
  <c r="AZ6184" i="1"/>
  <c r="AZ6185" i="1"/>
  <c r="AZ6186" i="1"/>
  <c r="AZ6187" i="1"/>
  <c r="AZ6188" i="1"/>
  <c r="AZ6189" i="1"/>
  <c r="AZ6190" i="1"/>
  <c r="AZ6191" i="1"/>
  <c r="AZ6192" i="1"/>
  <c r="AZ6193" i="1"/>
  <c r="AZ6194" i="1"/>
  <c r="AZ6195" i="1"/>
  <c r="AZ6196" i="1"/>
  <c r="AZ6197" i="1"/>
  <c r="AZ6198" i="1"/>
  <c r="AZ6199" i="1"/>
  <c r="AZ6200" i="1"/>
  <c r="AZ6201" i="1"/>
  <c r="AZ6202" i="1"/>
  <c r="AZ6203" i="1"/>
  <c r="AZ6204" i="1"/>
  <c r="AZ6205" i="1"/>
  <c r="AZ6206" i="1"/>
  <c r="AZ6207" i="1"/>
  <c r="AZ6208" i="1"/>
  <c r="AZ6209" i="1"/>
  <c r="AZ6210" i="1"/>
  <c r="AZ6211" i="1"/>
  <c r="AZ6212" i="1"/>
  <c r="AZ6213" i="1"/>
  <c r="AZ6214" i="1"/>
  <c r="AZ6215" i="1"/>
  <c r="AZ6216" i="1"/>
  <c r="AZ6217" i="1"/>
  <c r="AZ6218" i="1"/>
  <c r="AZ6219" i="1"/>
  <c r="AZ6220" i="1"/>
  <c r="AZ6221" i="1"/>
  <c r="AZ6222" i="1"/>
  <c r="AZ6223" i="1"/>
  <c r="AZ6224" i="1"/>
  <c r="AZ6225" i="1"/>
  <c r="AZ6226" i="1"/>
  <c r="AZ6227" i="1"/>
  <c r="AZ6228" i="1"/>
  <c r="AZ6229" i="1"/>
  <c r="AZ6230" i="1"/>
  <c r="AZ6231" i="1"/>
  <c r="AZ6232" i="1"/>
  <c r="AZ6233" i="1"/>
  <c r="AZ6234" i="1"/>
  <c r="AZ6235" i="1"/>
  <c r="AZ6236" i="1"/>
  <c r="AZ6237" i="1"/>
  <c r="AZ6238" i="1"/>
  <c r="AZ6239" i="1"/>
  <c r="AZ6240" i="1"/>
  <c r="AZ6241" i="1"/>
  <c r="AZ6242" i="1"/>
  <c r="AZ6243" i="1"/>
  <c r="AZ6244" i="1"/>
  <c r="AZ6245" i="1"/>
  <c r="AZ6246" i="1"/>
  <c r="AZ6247" i="1"/>
  <c r="AZ6248" i="1"/>
  <c r="AZ6249" i="1"/>
  <c r="AZ6250" i="1"/>
  <c r="AZ6251" i="1"/>
  <c r="AZ6252" i="1"/>
  <c r="AZ6253" i="1"/>
  <c r="AZ6254" i="1"/>
  <c r="AZ6255" i="1"/>
  <c r="AZ6256" i="1"/>
  <c r="AZ6257" i="1"/>
  <c r="AZ6258" i="1"/>
  <c r="AZ6259" i="1"/>
  <c r="AZ6260" i="1"/>
  <c r="AZ6261" i="1"/>
  <c r="AZ6262" i="1"/>
  <c r="AZ6263" i="1"/>
  <c r="AZ6264" i="1"/>
  <c r="AZ6265" i="1"/>
  <c r="AZ6266" i="1"/>
  <c r="AZ6267" i="1"/>
  <c r="AZ6268" i="1"/>
  <c r="AZ6269" i="1"/>
  <c r="AZ6270" i="1"/>
  <c r="AZ6271" i="1"/>
  <c r="AZ6272" i="1"/>
  <c r="AZ6273" i="1"/>
  <c r="AZ6274" i="1"/>
  <c r="AZ6275" i="1"/>
  <c r="AZ6276" i="1"/>
  <c r="AZ6277" i="1"/>
  <c r="AZ6278" i="1"/>
  <c r="AZ6279" i="1"/>
  <c r="AZ6280" i="1"/>
  <c r="AZ6281" i="1"/>
  <c r="AZ6282" i="1"/>
  <c r="AZ6283" i="1"/>
  <c r="AZ6284" i="1"/>
  <c r="AZ6285" i="1"/>
  <c r="AZ6286" i="1"/>
  <c r="AZ6287" i="1"/>
  <c r="AZ6288" i="1"/>
  <c r="AZ6289" i="1"/>
  <c r="AZ6290" i="1"/>
  <c r="AZ6291" i="1"/>
  <c r="AZ6292" i="1"/>
  <c r="AZ6293" i="1"/>
  <c r="AZ6294" i="1"/>
  <c r="AZ6295" i="1"/>
  <c r="AZ6296" i="1"/>
  <c r="AZ6297" i="1"/>
  <c r="AZ6298" i="1"/>
  <c r="AZ6299" i="1"/>
  <c r="AZ6300" i="1"/>
  <c r="AZ6301" i="1"/>
  <c r="AZ6302" i="1"/>
  <c r="AZ6303" i="1"/>
  <c r="AZ6304" i="1"/>
  <c r="AZ6305" i="1"/>
  <c r="AZ6306" i="1"/>
  <c r="AZ6307" i="1"/>
  <c r="AZ6308" i="1"/>
  <c r="AZ6309" i="1"/>
  <c r="AZ6310" i="1"/>
  <c r="AZ6311" i="1"/>
  <c r="AZ6312" i="1"/>
  <c r="AZ6313" i="1"/>
  <c r="AZ6314" i="1"/>
  <c r="AZ6315" i="1"/>
  <c r="AZ6316" i="1"/>
  <c r="AZ6317" i="1"/>
  <c r="AZ6318" i="1"/>
  <c r="AZ6319" i="1"/>
  <c r="AZ6320" i="1"/>
  <c r="AZ6321" i="1"/>
  <c r="AZ6322" i="1"/>
  <c r="AZ6323" i="1"/>
  <c r="AZ6324" i="1"/>
  <c r="AZ6325" i="1"/>
  <c r="AZ6326" i="1"/>
  <c r="AZ6327" i="1"/>
  <c r="AZ6328" i="1"/>
  <c r="AY11" i="1"/>
  <c r="AY12" i="1"/>
  <c r="AY13" i="1"/>
  <c r="AY14" i="1"/>
  <c r="AY15" i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651" i="1"/>
  <c r="AY652" i="1"/>
  <c r="AY653" i="1"/>
  <c r="AY654" i="1"/>
  <c r="AY655" i="1"/>
  <c r="AY656" i="1"/>
  <c r="AY657" i="1"/>
  <c r="AY658" i="1"/>
  <c r="AY659" i="1"/>
  <c r="AY660" i="1"/>
  <c r="AY661" i="1"/>
  <c r="AY662" i="1"/>
  <c r="AY663" i="1"/>
  <c r="AY664" i="1"/>
  <c r="AY665" i="1"/>
  <c r="AY666" i="1"/>
  <c r="AY667" i="1"/>
  <c r="AY668" i="1"/>
  <c r="AY669" i="1"/>
  <c r="AY670" i="1"/>
  <c r="AY671" i="1"/>
  <c r="AY672" i="1"/>
  <c r="AY673" i="1"/>
  <c r="AY674" i="1"/>
  <c r="AY675" i="1"/>
  <c r="AY676" i="1"/>
  <c r="AY677" i="1"/>
  <c r="AY678" i="1"/>
  <c r="AY679" i="1"/>
  <c r="AY680" i="1"/>
  <c r="AY681" i="1"/>
  <c r="AY682" i="1"/>
  <c r="AY683" i="1"/>
  <c r="AY684" i="1"/>
  <c r="AY685" i="1"/>
  <c r="AY686" i="1"/>
  <c r="AY687" i="1"/>
  <c r="AY688" i="1"/>
  <c r="AY689" i="1"/>
  <c r="AY690" i="1"/>
  <c r="AY691" i="1"/>
  <c r="AY692" i="1"/>
  <c r="AY693" i="1"/>
  <c r="AY694" i="1"/>
  <c r="AY695" i="1"/>
  <c r="AY696" i="1"/>
  <c r="AY697" i="1"/>
  <c r="AY698" i="1"/>
  <c r="AY699" i="1"/>
  <c r="AY700" i="1"/>
  <c r="AY701" i="1"/>
  <c r="AY702" i="1"/>
  <c r="AY703" i="1"/>
  <c r="AY704" i="1"/>
  <c r="AY705" i="1"/>
  <c r="AY706" i="1"/>
  <c r="AY707" i="1"/>
  <c r="AY708" i="1"/>
  <c r="AY709" i="1"/>
  <c r="AY710" i="1"/>
  <c r="AY711" i="1"/>
  <c r="AY712" i="1"/>
  <c r="AY713" i="1"/>
  <c r="AY714" i="1"/>
  <c r="AY715" i="1"/>
  <c r="AY716" i="1"/>
  <c r="AY717" i="1"/>
  <c r="AY718" i="1"/>
  <c r="AY719" i="1"/>
  <c r="AY720" i="1"/>
  <c r="AY721" i="1"/>
  <c r="AY722" i="1"/>
  <c r="AY723" i="1"/>
  <c r="AY724" i="1"/>
  <c r="AY725" i="1"/>
  <c r="AY726" i="1"/>
  <c r="AY727" i="1"/>
  <c r="AY728" i="1"/>
  <c r="AY729" i="1"/>
  <c r="AY730" i="1"/>
  <c r="AY731" i="1"/>
  <c r="AY732" i="1"/>
  <c r="AY733" i="1"/>
  <c r="AY734" i="1"/>
  <c r="AY735" i="1"/>
  <c r="AY736" i="1"/>
  <c r="AY737" i="1"/>
  <c r="AY738" i="1"/>
  <c r="AY739" i="1"/>
  <c r="AY740" i="1"/>
  <c r="AY741" i="1"/>
  <c r="AY742" i="1"/>
  <c r="AY743" i="1"/>
  <c r="AY744" i="1"/>
  <c r="AY745" i="1"/>
  <c r="AY746" i="1"/>
  <c r="AY747" i="1"/>
  <c r="AY748" i="1"/>
  <c r="AY749" i="1"/>
  <c r="AY750" i="1"/>
  <c r="AY751" i="1"/>
  <c r="AY752" i="1"/>
  <c r="AY753" i="1"/>
  <c r="AY754" i="1"/>
  <c r="AY755" i="1"/>
  <c r="AY756" i="1"/>
  <c r="AY757" i="1"/>
  <c r="AY758" i="1"/>
  <c r="AY759" i="1"/>
  <c r="AY760" i="1"/>
  <c r="AY761" i="1"/>
  <c r="AY762" i="1"/>
  <c r="AY763" i="1"/>
  <c r="AY764" i="1"/>
  <c r="AY765" i="1"/>
  <c r="AY766" i="1"/>
  <c r="AY767" i="1"/>
  <c r="AY768" i="1"/>
  <c r="AY769" i="1"/>
  <c r="AY770" i="1"/>
  <c r="AY771" i="1"/>
  <c r="AY772" i="1"/>
  <c r="AY773" i="1"/>
  <c r="AY774" i="1"/>
  <c r="AY775" i="1"/>
  <c r="AY776" i="1"/>
  <c r="AY777" i="1"/>
  <c r="AY778" i="1"/>
  <c r="AY779" i="1"/>
  <c r="AY780" i="1"/>
  <c r="AY781" i="1"/>
  <c r="AY782" i="1"/>
  <c r="AY783" i="1"/>
  <c r="AY784" i="1"/>
  <c r="AY785" i="1"/>
  <c r="AY786" i="1"/>
  <c r="AY787" i="1"/>
  <c r="AY788" i="1"/>
  <c r="AY789" i="1"/>
  <c r="AY790" i="1"/>
  <c r="AY791" i="1"/>
  <c r="AY792" i="1"/>
  <c r="AY793" i="1"/>
  <c r="AY794" i="1"/>
  <c r="AY795" i="1"/>
  <c r="AY796" i="1"/>
  <c r="AY797" i="1"/>
  <c r="AY798" i="1"/>
  <c r="AY799" i="1"/>
  <c r="AY800" i="1"/>
  <c r="AY801" i="1"/>
  <c r="AY802" i="1"/>
  <c r="AY803" i="1"/>
  <c r="AY804" i="1"/>
  <c r="AY805" i="1"/>
  <c r="AY806" i="1"/>
  <c r="AY807" i="1"/>
  <c r="AY808" i="1"/>
  <c r="AY809" i="1"/>
  <c r="AY810" i="1"/>
  <c r="AY811" i="1"/>
  <c r="AY812" i="1"/>
  <c r="AY813" i="1"/>
  <c r="AY814" i="1"/>
  <c r="AY815" i="1"/>
  <c r="AY816" i="1"/>
  <c r="AY817" i="1"/>
  <c r="AY818" i="1"/>
  <c r="AY819" i="1"/>
  <c r="AY820" i="1"/>
  <c r="AY821" i="1"/>
  <c r="AY822" i="1"/>
  <c r="AY823" i="1"/>
  <c r="AY824" i="1"/>
  <c r="AY825" i="1"/>
  <c r="AY826" i="1"/>
  <c r="AY827" i="1"/>
  <c r="AY828" i="1"/>
  <c r="AY829" i="1"/>
  <c r="AY830" i="1"/>
  <c r="AY831" i="1"/>
  <c r="AY832" i="1"/>
  <c r="AY833" i="1"/>
  <c r="AY834" i="1"/>
  <c r="AY835" i="1"/>
  <c r="AY836" i="1"/>
  <c r="AY837" i="1"/>
  <c r="AY838" i="1"/>
  <c r="AY839" i="1"/>
  <c r="AY840" i="1"/>
  <c r="AY841" i="1"/>
  <c r="AY842" i="1"/>
  <c r="AY843" i="1"/>
  <c r="AY844" i="1"/>
  <c r="AY845" i="1"/>
  <c r="AY846" i="1"/>
  <c r="AY847" i="1"/>
  <c r="AY848" i="1"/>
  <c r="AY849" i="1"/>
  <c r="AY850" i="1"/>
  <c r="AY851" i="1"/>
  <c r="AY852" i="1"/>
  <c r="AY853" i="1"/>
  <c r="AY854" i="1"/>
  <c r="AY855" i="1"/>
  <c r="AY856" i="1"/>
  <c r="AY857" i="1"/>
  <c r="AY858" i="1"/>
  <c r="AY859" i="1"/>
  <c r="AY860" i="1"/>
  <c r="AY861" i="1"/>
  <c r="AY862" i="1"/>
  <c r="AY863" i="1"/>
  <c r="AY864" i="1"/>
  <c r="AY865" i="1"/>
  <c r="AY866" i="1"/>
  <c r="AY867" i="1"/>
  <c r="AY868" i="1"/>
  <c r="AY869" i="1"/>
  <c r="AY870" i="1"/>
  <c r="AY871" i="1"/>
  <c r="AY872" i="1"/>
  <c r="AY873" i="1"/>
  <c r="AY874" i="1"/>
  <c r="AY875" i="1"/>
  <c r="AY876" i="1"/>
  <c r="AY877" i="1"/>
  <c r="AY878" i="1"/>
  <c r="AY879" i="1"/>
  <c r="AY880" i="1"/>
  <c r="AY881" i="1"/>
  <c r="AY882" i="1"/>
  <c r="AY883" i="1"/>
  <c r="AY884" i="1"/>
  <c r="AY885" i="1"/>
  <c r="AY886" i="1"/>
  <c r="AY887" i="1"/>
  <c r="AY888" i="1"/>
  <c r="AY889" i="1"/>
  <c r="AY890" i="1"/>
  <c r="AY891" i="1"/>
  <c r="AY892" i="1"/>
  <c r="AY893" i="1"/>
  <c r="AY894" i="1"/>
  <c r="AY895" i="1"/>
  <c r="AY896" i="1"/>
  <c r="AY897" i="1"/>
  <c r="AY898" i="1"/>
  <c r="AY899" i="1"/>
  <c r="AY900" i="1"/>
  <c r="AY901" i="1"/>
  <c r="AY902" i="1"/>
  <c r="AY903" i="1"/>
  <c r="AY904" i="1"/>
  <c r="AY905" i="1"/>
  <c r="AY906" i="1"/>
  <c r="AY907" i="1"/>
  <c r="AY908" i="1"/>
  <c r="AY909" i="1"/>
  <c r="AY910" i="1"/>
  <c r="AY911" i="1"/>
  <c r="AY912" i="1"/>
  <c r="AY913" i="1"/>
  <c r="AY914" i="1"/>
  <c r="AY915" i="1"/>
  <c r="AY916" i="1"/>
  <c r="AY917" i="1"/>
  <c r="AY918" i="1"/>
  <c r="AY919" i="1"/>
  <c r="AY920" i="1"/>
  <c r="AY921" i="1"/>
  <c r="AY922" i="1"/>
  <c r="AY923" i="1"/>
  <c r="AY924" i="1"/>
  <c r="AY925" i="1"/>
  <c r="AY926" i="1"/>
  <c r="AY927" i="1"/>
  <c r="AY928" i="1"/>
  <c r="AY929" i="1"/>
  <c r="AY930" i="1"/>
  <c r="AY931" i="1"/>
  <c r="AY932" i="1"/>
  <c r="AY933" i="1"/>
  <c r="AY934" i="1"/>
  <c r="AY935" i="1"/>
  <c r="AY936" i="1"/>
  <c r="AY937" i="1"/>
  <c r="AY938" i="1"/>
  <c r="AY939" i="1"/>
  <c r="AY940" i="1"/>
  <c r="AY941" i="1"/>
  <c r="AY942" i="1"/>
  <c r="AY943" i="1"/>
  <c r="AY944" i="1"/>
  <c r="AY945" i="1"/>
  <c r="AY946" i="1"/>
  <c r="AY947" i="1"/>
  <c r="AY948" i="1"/>
  <c r="AY949" i="1"/>
  <c r="AY950" i="1"/>
  <c r="AY951" i="1"/>
  <c r="AY952" i="1"/>
  <c r="AY953" i="1"/>
  <c r="AY954" i="1"/>
  <c r="AY955" i="1"/>
  <c r="AY956" i="1"/>
  <c r="AY957" i="1"/>
  <c r="AY958" i="1"/>
  <c r="AY959" i="1"/>
  <c r="AY960" i="1"/>
  <c r="AY961" i="1"/>
  <c r="AY962" i="1"/>
  <c r="AY963" i="1"/>
  <c r="AY964" i="1"/>
  <c r="AY965" i="1"/>
  <c r="AY966" i="1"/>
  <c r="AY967" i="1"/>
  <c r="AY968" i="1"/>
  <c r="AY969" i="1"/>
  <c r="AY970" i="1"/>
  <c r="AY971" i="1"/>
  <c r="AY972" i="1"/>
  <c r="AY973" i="1"/>
  <c r="AY974" i="1"/>
  <c r="AY975" i="1"/>
  <c r="AY976" i="1"/>
  <c r="AY977" i="1"/>
  <c r="AY978" i="1"/>
  <c r="AY979" i="1"/>
  <c r="AY980" i="1"/>
  <c r="AY981" i="1"/>
  <c r="AY982" i="1"/>
  <c r="AY983" i="1"/>
  <c r="AY984" i="1"/>
  <c r="AY985" i="1"/>
  <c r="AY986" i="1"/>
  <c r="AY987" i="1"/>
  <c r="AY988" i="1"/>
  <c r="AY989" i="1"/>
  <c r="AY990" i="1"/>
  <c r="AY991" i="1"/>
  <c r="AY992" i="1"/>
  <c r="AY993" i="1"/>
  <c r="AY994" i="1"/>
  <c r="AY995" i="1"/>
  <c r="AY996" i="1"/>
  <c r="AY997" i="1"/>
  <c r="AY998" i="1"/>
  <c r="AY999" i="1"/>
  <c r="AY1000" i="1"/>
  <c r="AY1001" i="1"/>
  <c r="AY1002" i="1"/>
  <c r="AY1003" i="1"/>
  <c r="AY1004" i="1"/>
  <c r="AY1005" i="1"/>
  <c r="AY1006" i="1"/>
  <c r="AY1007" i="1"/>
  <c r="AY1008" i="1"/>
  <c r="AY1009" i="1"/>
  <c r="AY1010" i="1"/>
  <c r="AY1011" i="1"/>
  <c r="AY1012" i="1"/>
  <c r="AY1013" i="1"/>
  <c r="AY1014" i="1"/>
  <c r="AY1015" i="1"/>
  <c r="AY1016" i="1"/>
  <c r="AY1017" i="1"/>
  <c r="AY1018" i="1"/>
  <c r="AY1019" i="1"/>
  <c r="AY1020" i="1"/>
  <c r="AY1021" i="1"/>
  <c r="AY1022" i="1"/>
  <c r="AY1023" i="1"/>
  <c r="AY1024" i="1"/>
  <c r="AY1025" i="1"/>
  <c r="AY1026" i="1"/>
  <c r="AY1027" i="1"/>
  <c r="AY1028" i="1"/>
  <c r="AY1029" i="1"/>
  <c r="AY1030" i="1"/>
  <c r="AY1031" i="1"/>
  <c r="AY1032" i="1"/>
  <c r="AY1033" i="1"/>
  <c r="AY1034" i="1"/>
  <c r="AY1035" i="1"/>
  <c r="AY1036" i="1"/>
  <c r="AY1037" i="1"/>
  <c r="AY1038" i="1"/>
  <c r="AY1039" i="1"/>
  <c r="AY1040" i="1"/>
  <c r="AY1041" i="1"/>
  <c r="AY1042" i="1"/>
  <c r="AY1043" i="1"/>
  <c r="AY1044" i="1"/>
  <c r="AY1045" i="1"/>
  <c r="AY1046" i="1"/>
  <c r="AY1047" i="1"/>
  <c r="AY1048" i="1"/>
  <c r="AY1049" i="1"/>
  <c r="AY1050" i="1"/>
  <c r="AY1051" i="1"/>
  <c r="AY1052" i="1"/>
  <c r="AY1053" i="1"/>
  <c r="AY1054" i="1"/>
  <c r="AY1055" i="1"/>
  <c r="AY1056" i="1"/>
  <c r="AY1057" i="1"/>
  <c r="AY1058" i="1"/>
  <c r="AY1059" i="1"/>
  <c r="AY1060" i="1"/>
  <c r="AY1061" i="1"/>
  <c r="AY1062" i="1"/>
  <c r="AY1063" i="1"/>
  <c r="AY1064" i="1"/>
  <c r="AY1065" i="1"/>
  <c r="AY1066" i="1"/>
  <c r="AY1067" i="1"/>
  <c r="AY1068" i="1"/>
  <c r="AY1069" i="1"/>
  <c r="AY1070" i="1"/>
  <c r="AY1071" i="1"/>
  <c r="AY1072" i="1"/>
  <c r="AY1073" i="1"/>
  <c r="AY1074" i="1"/>
  <c r="AY1075" i="1"/>
  <c r="AY1076" i="1"/>
  <c r="AY1077" i="1"/>
  <c r="AY1078" i="1"/>
  <c r="AY1079" i="1"/>
  <c r="AY1080" i="1"/>
  <c r="AY1081" i="1"/>
  <c r="AY1082" i="1"/>
  <c r="AY1083" i="1"/>
  <c r="AY1084" i="1"/>
  <c r="AY1085" i="1"/>
  <c r="AY1086" i="1"/>
  <c r="AY1087" i="1"/>
  <c r="AY1088" i="1"/>
  <c r="AY1089" i="1"/>
  <c r="AY1090" i="1"/>
  <c r="AY1091" i="1"/>
  <c r="AY1092" i="1"/>
  <c r="AY1093" i="1"/>
  <c r="AY1094" i="1"/>
  <c r="AY1095" i="1"/>
  <c r="AY1096" i="1"/>
  <c r="AY1097" i="1"/>
  <c r="AY1098" i="1"/>
  <c r="AY1099" i="1"/>
  <c r="AY1100" i="1"/>
  <c r="AY1101" i="1"/>
  <c r="AY1102" i="1"/>
  <c r="AY1103" i="1"/>
  <c r="AY1104" i="1"/>
  <c r="AY1105" i="1"/>
  <c r="AY1106" i="1"/>
  <c r="AY1107" i="1"/>
  <c r="AY1108" i="1"/>
  <c r="AY1109" i="1"/>
  <c r="AY1110" i="1"/>
  <c r="AY1111" i="1"/>
  <c r="AY1112" i="1"/>
  <c r="AY1113" i="1"/>
  <c r="AY1114" i="1"/>
  <c r="AY1115" i="1"/>
  <c r="AY1116" i="1"/>
  <c r="AY1117" i="1"/>
  <c r="AY1118" i="1"/>
  <c r="AY1119" i="1"/>
  <c r="AY1120" i="1"/>
  <c r="AY1121" i="1"/>
  <c r="AY1122" i="1"/>
  <c r="AY1123" i="1"/>
  <c r="AY1124" i="1"/>
  <c r="AY1125" i="1"/>
  <c r="AY1126" i="1"/>
  <c r="AY1127" i="1"/>
  <c r="AY1128" i="1"/>
  <c r="AY1129" i="1"/>
  <c r="AY1130" i="1"/>
  <c r="AY1131" i="1"/>
  <c r="AY1132" i="1"/>
  <c r="AY1133" i="1"/>
  <c r="AY1134" i="1"/>
  <c r="AY1135" i="1"/>
  <c r="AY1136" i="1"/>
  <c r="AY1137" i="1"/>
  <c r="AY1138" i="1"/>
  <c r="AY1139" i="1"/>
  <c r="AY1140" i="1"/>
  <c r="AY1141" i="1"/>
  <c r="AY1142" i="1"/>
  <c r="AY1143" i="1"/>
  <c r="AY1144" i="1"/>
  <c r="AY1145" i="1"/>
  <c r="AY1146" i="1"/>
  <c r="AY1147" i="1"/>
  <c r="AY1148" i="1"/>
  <c r="AY1149" i="1"/>
  <c r="AY1150" i="1"/>
  <c r="AY1151" i="1"/>
  <c r="AY1152" i="1"/>
  <c r="AY1153" i="1"/>
  <c r="AY1154" i="1"/>
  <c r="AY1155" i="1"/>
  <c r="AY1156" i="1"/>
  <c r="AY1157" i="1"/>
  <c r="AY1158" i="1"/>
  <c r="AY1159" i="1"/>
  <c r="AY1160" i="1"/>
  <c r="AY1161" i="1"/>
  <c r="AY1162" i="1"/>
  <c r="AY1163" i="1"/>
  <c r="AY1164" i="1"/>
  <c r="AY1165" i="1"/>
  <c r="AY1166" i="1"/>
  <c r="AY1167" i="1"/>
  <c r="AY1168" i="1"/>
  <c r="AY1169" i="1"/>
  <c r="AY1170" i="1"/>
  <c r="AY1171" i="1"/>
  <c r="AY1172" i="1"/>
  <c r="AY1173" i="1"/>
  <c r="AY1174" i="1"/>
  <c r="AY1175" i="1"/>
  <c r="AY1176" i="1"/>
  <c r="AY1177" i="1"/>
  <c r="AY1178" i="1"/>
  <c r="AY1179" i="1"/>
  <c r="AY1180" i="1"/>
  <c r="AY1181" i="1"/>
  <c r="AY1182" i="1"/>
  <c r="AY1183" i="1"/>
  <c r="AY1184" i="1"/>
  <c r="AY1185" i="1"/>
  <c r="AY1186" i="1"/>
  <c r="AY1187" i="1"/>
  <c r="AY1188" i="1"/>
  <c r="AY1189" i="1"/>
  <c r="AY1190" i="1"/>
  <c r="AY1191" i="1"/>
  <c r="AY1192" i="1"/>
  <c r="AY1193" i="1"/>
  <c r="AY1194" i="1"/>
  <c r="AY1195" i="1"/>
  <c r="AY1196" i="1"/>
  <c r="AY1197" i="1"/>
  <c r="AY1198" i="1"/>
  <c r="AY1199" i="1"/>
  <c r="AY1200" i="1"/>
  <c r="AY1201" i="1"/>
  <c r="AY1202" i="1"/>
  <c r="AY1203" i="1"/>
  <c r="AY1204" i="1"/>
  <c r="AY1205" i="1"/>
  <c r="AY1206" i="1"/>
  <c r="AY1207" i="1"/>
  <c r="AY1208" i="1"/>
  <c r="AY1209" i="1"/>
  <c r="AY1210" i="1"/>
  <c r="AY1211" i="1"/>
  <c r="AY1212" i="1"/>
  <c r="AY1213" i="1"/>
  <c r="AY1214" i="1"/>
  <c r="AY1215" i="1"/>
  <c r="AY1216" i="1"/>
  <c r="AY1217" i="1"/>
  <c r="AY1218" i="1"/>
  <c r="AY1219" i="1"/>
  <c r="AY1220" i="1"/>
  <c r="AY1221" i="1"/>
  <c r="AY1222" i="1"/>
  <c r="AY1223" i="1"/>
  <c r="AY1224" i="1"/>
  <c r="AY1225" i="1"/>
  <c r="AY1226" i="1"/>
  <c r="AY1227" i="1"/>
  <c r="AY1228" i="1"/>
  <c r="AY1229" i="1"/>
  <c r="AY1230" i="1"/>
  <c r="AY1231" i="1"/>
  <c r="AY1232" i="1"/>
  <c r="AY1233" i="1"/>
  <c r="AY1234" i="1"/>
  <c r="AY1235" i="1"/>
  <c r="AY1236" i="1"/>
  <c r="AY1237" i="1"/>
  <c r="AY1238" i="1"/>
  <c r="AY1239" i="1"/>
  <c r="AY1240" i="1"/>
  <c r="AY1241" i="1"/>
  <c r="AY1242" i="1"/>
  <c r="AY1243" i="1"/>
  <c r="AY1244" i="1"/>
  <c r="AY1245" i="1"/>
  <c r="AY1246" i="1"/>
  <c r="AY1247" i="1"/>
  <c r="AY1248" i="1"/>
  <c r="AY1249" i="1"/>
  <c r="AY1250" i="1"/>
  <c r="AY1251" i="1"/>
  <c r="AY1252" i="1"/>
  <c r="AY1253" i="1"/>
  <c r="AY1254" i="1"/>
  <c r="AY1255" i="1"/>
  <c r="AY1256" i="1"/>
  <c r="AY1257" i="1"/>
  <c r="AY1258" i="1"/>
  <c r="AY1259" i="1"/>
  <c r="AY1260" i="1"/>
  <c r="AY1261" i="1"/>
  <c r="AY1262" i="1"/>
  <c r="AY1263" i="1"/>
  <c r="AY1264" i="1"/>
  <c r="AY1265" i="1"/>
  <c r="AY1266" i="1"/>
  <c r="AY1267" i="1"/>
  <c r="AY1268" i="1"/>
  <c r="AY1269" i="1"/>
  <c r="AY1270" i="1"/>
  <c r="AY1271" i="1"/>
  <c r="AY1272" i="1"/>
  <c r="AY1273" i="1"/>
  <c r="AY1274" i="1"/>
  <c r="AY1275" i="1"/>
  <c r="AY1276" i="1"/>
  <c r="AY1277" i="1"/>
  <c r="AY1278" i="1"/>
  <c r="AY1279" i="1"/>
  <c r="AY1280" i="1"/>
  <c r="AY1281" i="1"/>
  <c r="AY1282" i="1"/>
  <c r="AY1283" i="1"/>
  <c r="AY1284" i="1"/>
  <c r="AY1285" i="1"/>
  <c r="AY1286" i="1"/>
  <c r="AY1287" i="1"/>
  <c r="AY1288" i="1"/>
  <c r="AY1289" i="1"/>
  <c r="AY1290" i="1"/>
  <c r="AY1291" i="1"/>
  <c r="AY1292" i="1"/>
  <c r="AY1293" i="1"/>
  <c r="AY1294" i="1"/>
  <c r="AY1295" i="1"/>
  <c r="AY1296" i="1"/>
  <c r="AY1297" i="1"/>
  <c r="AY1298" i="1"/>
  <c r="AY1299" i="1"/>
  <c r="AY1300" i="1"/>
  <c r="AY1301" i="1"/>
  <c r="AY1302" i="1"/>
  <c r="AY1303" i="1"/>
  <c r="AY1304" i="1"/>
  <c r="AY1305" i="1"/>
  <c r="AY1306" i="1"/>
  <c r="AY1307" i="1"/>
  <c r="AY1308" i="1"/>
  <c r="AY1309" i="1"/>
  <c r="AY1310" i="1"/>
  <c r="AY1311" i="1"/>
  <c r="AY1312" i="1"/>
  <c r="AY1313" i="1"/>
  <c r="AY1314" i="1"/>
  <c r="AY1315" i="1"/>
  <c r="AY1316" i="1"/>
  <c r="AY1317" i="1"/>
  <c r="AY1318" i="1"/>
  <c r="AY1319" i="1"/>
  <c r="AY1320" i="1"/>
  <c r="AY1321" i="1"/>
  <c r="AY1322" i="1"/>
  <c r="AY1323" i="1"/>
  <c r="AY1324" i="1"/>
  <c r="AY1325" i="1"/>
  <c r="AY1326" i="1"/>
  <c r="AY1327" i="1"/>
  <c r="AY1328" i="1"/>
  <c r="AY1329" i="1"/>
  <c r="AY1330" i="1"/>
  <c r="AY1331" i="1"/>
  <c r="AY1332" i="1"/>
  <c r="AY1333" i="1"/>
  <c r="AY1334" i="1"/>
  <c r="AY1335" i="1"/>
  <c r="AY1336" i="1"/>
  <c r="AY1337" i="1"/>
  <c r="AY1338" i="1"/>
  <c r="AY1339" i="1"/>
  <c r="AY1340" i="1"/>
  <c r="AY1341" i="1"/>
  <c r="AY1342" i="1"/>
  <c r="AY1343" i="1"/>
  <c r="AY1344" i="1"/>
  <c r="AY1345" i="1"/>
  <c r="AY1346" i="1"/>
  <c r="AY1347" i="1"/>
  <c r="AY1348" i="1"/>
  <c r="AY1349" i="1"/>
  <c r="AY1350" i="1"/>
  <c r="AY1351" i="1"/>
  <c r="AY1352" i="1"/>
  <c r="AY1353" i="1"/>
  <c r="AY1354" i="1"/>
  <c r="AY1355" i="1"/>
  <c r="AY1356" i="1"/>
  <c r="AY1357" i="1"/>
  <c r="AY1358" i="1"/>
  <c r="AY1359" i="1"/>
  <c r="AY1360" i="1"/>
  <c r="AY1361" i="1"/>
  <c r="AY1362" i="1"/>
  <c r="AY1363" i="1"/>
  <c r="AY1364" i="1"/>
  <c r="AY1365" i="1"/>
  <c r="AY1366" i="1"/>
  <c r="AY1367" i="1"/>
  <c r="AY1368" i="1"/>
  <c r="AY1369" i="1"/>
  <c r="AY1370" i="1"/>
  <c r="AY1371" i="1"/>
  <c r="AY1372" i="1"/>
  <c r="AY1373" i="1"/>
  <c r="AY1374" i="1"/>
  <c r="AY1375" i="1"/>
  <c r="AY1376" i="1"/>
  <c r="AY1377" i="1"/>
  <c r="AY1378" i="1"/>
  <c r="AY1379" i="1"/>
  <c r="AY1380" i="1"/>
  <c r="AY1381" i="1"/>
  <c r="AY1382" i="1"/>
  <c r="AY1383" i="1"/>
  <c r="AY1384" i="1"/>
  <c r="AY1385" i="1"/>
  <c r="AY1386" i="1"/>
  <c r="AY1387" i="1"/>
  <c r="AY1388" i="1"/>
  <c r="AY1389" i="1"/>
  <c r="AY1390" i="1"/>
  <c r="AY1391" i="1"/>
  <c r="AY1392" i="1"/>
  <c r="AY1393" i="1"/>
  <c r="AY1394" i="1"/>
  <c r="AY1395" i="1"/>
  <c r="AY1396" i="1"/>
  <c r="AY1397" i="1"/>
  <c r="AY1398" i="1"/>
  <c r="AY1399" i="1"/>
  <c r="AY1400" i="1"/>
  <c r="AY1401" i="1"/>
  <c r="AY1402" i="1"/>
  <c r="AY1403" i="1"/>
  <c r="AY1404" i="1"/>
  <c r="AY1405" i="1"/>
  <c r="AY1406" i="1"/>
  <c r="AY1407" i="1"/>
  <c r="AY1408" i="1"/>
  <c r="AY1409" i="1"/>
  <c r="AY1410" i="1"/>
  <c r="AY1411" i="1"/>
  <c r="AY1412" i="1"/>
  <c r="AY1413" i="1"/>
  <c r="AY1414" i="1"/>
  <c r="AY1415" i="1"/>
  <c r="AY1416" i="1"/>
  <c r="AY1417" i="1"/>
  <c r="AY1418" i="1"/>
  <c r="AY1419" i="1"/>
  <c r="AY1420" i="1"/>
  <c r="AY1421" i="1"/>
  <c r="AY1422" i="1"/>
  <c r="AY1423" i="1"/>
  <c r="AY1424" i="1"/>
  <c r="AY1425" i="1"/>
  <c r="AY1426" i="1"/>
  <c r="AY1427" i="1"/>
  <c r="AY1428" i="1"/>
  <c r="AY1429" i="1"/>
  <c r="AY1430" i="1"/>
  <c r="AY1431" i="1"/>
  <c r="AY1432" i="1"/>
  <c r="AY1433" i="1"/>
  <c r="AY1434" i="1"/>
  <c r="AY1435" i="1"/>
  <c r="AY1436" i="1"/>
  <c r="AY1437" i="1"/>
  <c r="AY1438" i="1"/>
  <c r="AY1439" i="1"/>
  <c r="AY1440" i="1"/>
  <c r="AY1441" i="1"/>
  <c r="AY1442" i="1"/>
  <c r="AY1443" i="1"/>
  <c r="AY1444" i="1"/>
  <c r="AY1445" i="1"/>
  <c r="AY1446" i="1"/>
  <c r="AY1447" i="1"/>
  <c r="AY1448" i="1"/>
  <c r="AY1449" i="1"/>
  <c r="AY1450" i="1"/>
  <c r="AY1451" i="1"/>
  <c r="AY1452" i="1"/>
  <c r="AY1453" i="1"/>
  <c r="AY1454" i="1"/>
  <c r="AY1455" i="1"/>
  <c r="AY1456" i="1"/>
  <c r="AY1457" i="1"/>
  <c r="AY1458" i="1"/>
  <c r="AY1459" i="1"/>
  <c r="AY1460" i="1"/>
  <c r="AY1461" i="1"/>
  <c r="AY1462" i="1"/>
  <c r="AY1463" i="1"/>
  <c r="AY1464" i="1"/>
  <c r="AY1465" i="1"/>
  <c r="AY1466" i="1"/>
  <c r="AY1467" i="1"/>
  <c r="AY1468" i="1"/>
  <c r="AY1469" i="1"/>
  <c r="AY1470" i="1"/>
  <c r="AY1471" i="1"/>
  <c r="AY1472" i="1"/>
  <c r="AY1473" i="1"/>
  <c r="AY1474" i="1"/>
  <c r="AY1475" i="1"/>
  <c r="AY1476" i="1"/>
  <c r="AY1477" i="1"/>
  <c r="AY1478" i="1"/>
  <c r="AY1479" i="1"/>
  <c r="AY1480" i="1"/>
  <c r="AY1481" i="1"/>
  <c r="AY1482" i="1"/>
  <c r="AY1483" i="1"/>
  <c r="AY1484" i="1"/>
  <c r="AY1485" i="1"/>
  <c r="AY1486" i="1"/>
  <c r="AY1487" i="1"/>
  <c r="AY1488" i="1"/>
  <c r="AY1489" i="1"/>
  <c r="AY1490" i="1"/>
  <c r="AY1491" i="1"/>
  <c r="AY1492" i="1"/>
  <c r="AY1493" i="1"/>
  <c r="AY1494" i="1"/>
  <c r="AY1495" i="1"/>
  <c r="AY1496" i="1"/>
  <c r="AY1497" i="1"/>
  <c r="AY1498" i="1"/>
  <c r="AY1499" i="1"/>
  <c r="AY1500" i="1"/>
  <c r="AY1501" i="1"/>
  <c r="AY1502" i="1"/>
  <c r="AY1503" i="1"/>
  <c r="AY1504" i="1"/>
  <c r="AY1505" i="1"/>
  <c r="AY1506" i="1"/>
  <c r="AY1507" i="1"/>
  <c r="AY1508" i="1"/>
  <c r="AY1509" i="1"/>
  <c r="AY1510" i="1"/>
  <c r="AY1511" i="1"/>
  <c r="AY1512" i="1"/>
  <c r="AY1513" i="1"/>
  <c r="AY1514" i="1"/>
  <c r="AY1515" i="1"/>
  <c r="AY1516" i="1"/>
  <c r="AY1517" i="1"/>
  <c r="AY1518" i="1"/>
  <c r="AY1519" i="1"/>
  <c r="AY1520" i="1"/>
  <c r="AY1521" i="1"/>
  <c r="AY1522" i="1"/>
  <c r="AY1523" i="1"/>
  <c r="AY1524" i="1"/>
  <c r="AY1525" i="1"/>
  <c r="AY1526" i="1"/>
  <c r="AY1527" i="1"/>
  <c r="AY1528" i="1"/>
  <c r="AY1529" i="1"/>
  <c r="AY1530" i="1"/>
  <c r="AY1531" i="1"/>
  <c r="AY1532" i="1"/>
  <c r="AY1533" i="1"/>
  <c r="AY1534" i="1"/>
  <c r="AY1535" i="1"/>
  <c r="AY1536" i="1"/>
  <c r="AY1537" i="1"/>
  <c r="AY1538" i="1"/>
  <c r="AY1539" i="1"/>
  <c r="AY1540" i="1"/>
  <c r="AY1541" i="1"/>
  <c r="AY1542" i="1"/>
  <c r="AY1543" i="1"/>
  <c r="AY1544" i="1"/>
  <c r="AY1545" i="1"/>
  <c r="AY1546" i="1"/>
  <c r="AY1547" i="1"/>
  <c r="AY1548" i="1"/>
  <c r="AY1549" i="1"/>
  <c r="AY1550" i="1"/>
  <c r="AY1551" i="1"/>
  <c r="AY1552" i="1"/>
  <c r="AY1553" i="1"/>
  <c r="AY1554" i="1"/>
  <c r="AY1555" i="1"/>
  <c r="AY1556" i="1"/>
  <c r="AY1557" i="1"/>
  <c r="AY1558" i="1"/>
  <c r="AY1559" i="1"/>
  <c r="AY1560" i="1"/>
  <c r="AY1561" i="1"/>
  <c r="AY1562" i="1"/>
  <c r="AY1563" i="1"/>
  <c r="AY1564" i="1"/>
  <c r="AY1565" i="1"/>
  <c r="AY1566" i="1"/>
  <c r="AY1567" i="1"/>
  <c r="AY1568" i="1"/>
  <c r="AY1569" i="1"/>
  <c r="AY1570" i="1"/>
  <c r="AY1571" i="1"/>
  <c r="AY1572" i="1"/>
  <c r="AY1573" i="1"/>
  <c r="AY1574" i="1"/>
  <c r="AY1575" i="1"/>
  <c r="AY1576" i="1"/>
  <c r="AY1577" i="1"/>
  <c r="AY1578" i="1"/>
  <c r="AY1579" i="1"/>
  <c r="AY1580" i="1"/>
  <c r="AY1581" i="1"/>
  <c r="AY1582" i="1"/>
  <c r="AY1583" i="1"/>
  <c r="AY1584" i="1"/>
  <c r="AY1585" i="1"/>
  <c r="AY1586" i="1"/>
  <c r="AY1587" i="1"/>
  <c r="AY1588" i="1"/>
  <c r="AY1589" i="1"/>
  <c r="AY1590" i="1"/>
  <c r="AY1591" i="1"/>
  <c r="AY1592" i="1"/>
  <c r="AY1593" i="1"/>
  <c r="AY1594" i="1"/>
  <c r="AY1595" i="1"/>
  <c r="AY1596" i="1"/>
  <c r="AY1597" i="1"/>
  <c r="AY1598" i="1"/>
  <c r="AY1599" i="1"/>
  <c r="AY1600" i="1"/>
  <c r="AY1601" i="1"/>
  <c r="AY1602" i="1"/>
  <c r="AY1603" i="1"/>
  <c r="AY1604" i="1"/>
  <c r="AY1605" i="1"/>
  <c r="AY1606" i="1"/>
  <c r="AY1607" i="1"/>
  <c r="AY1608" i="1"/>
  <c r="AY1609" i="1"/>
  <c r="AY1610" i="1"/>
  <c r="AY1611" i="1"/>
  <c r="AY1612" i="1"/>
  <c r="AY1613" i="1"/>
  <c r="AY1614" i="1"/>
  <c r="AY1615" i="1"/>
  <c r="AY1616" i="1"/>
  <c r="AY1617" i="1"/>
  <c r="AY1618" i="1"/>
  <c r="AY1619" i="1"/>
  <c r="AY1620" i="1"/>
  <c r="AY1621" i="1"/>
  <c r="AY1622" i="1"/>
  <c r="AY1623" i="1"/>
  <c r="AY1624" i="1"/>
  <c r="AY1625" i="1"/>
  <c r="AY1626" i="1"/>
  <c r="AY1627" i="1"/>
  <c r="AY1628" i="1"/>
  <c r="AY1629" i="1"/>
  <c r="AY1630" i="1"/>
  <c r="AY1631" i="1"/>
  <c r="AY1632" i="1"/>
  <c r="AY1633" i="1"/>
  <c r="AY1634" i="1"/>
  <c r="AY1635" i="1"/>
  <c r="AY1636" i="1"/>
  <c r="AY1637" i="1"/>
  <c r="AY1638" i="1"/>
  <c r="AY1639" i="1"/>
  <c r="AY1640" i="1"/>
  <c r="AY1641" i="1"/>
  <c r="AY1642" i="1"/>
  <c r="AY1643" i="1"/>
  <c r="AY1644" i="1"/>
  <c r="AY1645" i="1"/>
  <c r="AY1646" i="1"/>
  <c r="AY1647" i="1"/>
  <c r="AY1648" i="1"/>
  <c r="AY1649" i="1"/>
  <c r="AY1650" i="1"/>
  <c r="AY1651" i="1"/>
  <c r="AY1652" i="1"/>
  <c r="AY1653" i="1"/>
  <c r="AY1654" i="1"/>
  <c r="AY1655" i="1"/>
  <c r="AY1656" i="1"/>
  <c r="AY1657" i="1"/>
  <c r="AY1658" i="1"/>
  <c r="AY1659" i="1"/>
  <c r="AY1660" i="1"/>
  <c r="AY1661" i="1"/>
  <c r="AY1662" i="1"/>
  <c r="AY1663" i="1"/>
  <c r="AY1664" i="1"/>
  <c r="AY1665" i="1"/>
  <c r="AY1666" i="1"/>
  <c r="AY1667" i="1"/>
  <c r="AY1668" i="1"/>
  <c r="AY1669" i="1"/>
  <c r="AY1670" i="1"/>
  <c r="AY1671" i="1"/>
  <c r="AY1672" i="1"/>
  <c r="AY1673" i="1"/>
  <c r="AY1674" i="1"/>
  <c r="AY1675" i="1"/>
  <c r="AY1676" i="1"/>
  <c r="AY1677" i="1"/>
  <c r="AY1678" i="1"/>
  <c r="AY1679" i="1"/>
  <c r="AY1680" i="1"/>
  <c r="AY1681" i="1"/>
  <c r="AY1682" i="1"/>
  <c r="AY1683" i="1"/>
  <c r="AY1684" i="1"/>
  <c r="AY1685" i="1"/>
  <c r="AY1686" i="1"/>
  <c r="AY1687" i="1"/>
  <c r="AY1688" i="1"/>
  <c r="AY1689" i="1"/>
  <c r="AY1690" i="1"/>
  <c r="AY1691" i="1"/>
  <c r="AY1692" i="1"/>
  <c r="AY1693" i="1"/>
  <c r="AY1694" i="1"/>
  <c r="AY1695" i="1"/>
  <c r="AY1696" i="1"/>
  <c r="AY1697" i="1"/>
  <c r="AY1698" i="1"/>
  <c r="AY1699" i="1"/>
  <c r="AY1700" i="1"/>
  <c r="AY1701" i="1"/>
  <c r="AY1702" i="1"/>
  <c r="AY1703" i="1"/>
  <c r="AY1704" i="1"/>
  <c r="AY1705" i="1"/>
  <c r="AY1706" i="1"/>
  <c r="AY1707" i="1"/>
  <c r="AY1708" i="1"/>
  <c r="AY1709" i="1"/>
  <c r="AY1710" i="1"/>
  <c r="AY1711" i="1"/>
  <c r="AY1712" i="1"/>
  <c r="AY1713" i="1"/>
  <c r="AY1714" i="1"/>
  <c r="AY1715" i="1"/>
  <c r="AY1716" i="1"/>
  <c r="AY1717" i="1"/>
  <c r="AY1718" i="1"/>
  <c r="AY1719" i="1"/>
  <c r="AY1720" i="1"/>
  <c r="AY1721" i="1"/>
  <c r="AY1722" i="1"/>
  <c r="AY1723" i="1"/>
  <c r="AY1724" i="1"/>
  <c r="AY1725" i="1"/>
  <c r="AY1726" i="1"/>
  <c r="AY1727" i="1"/>
  <c r="AY1728" i="1"/>
  <c r="AY1729" i="1"/>
  <c r="AY1730" i="1"/>
  <c r="AY1731" i="1"/>
  <c r="AY1732" i="1"/>
  <c r="AY1733" i="1"/>
  <c r="AY1734" i="1"/>
  <c r="AY1735" i="1"/>
  <c r="AY1736" i="1"/>
  <c r="AY1737" i="1"/>
  <c r="AY1738" i="1"/>
  <c r="AY1739" i="1"/>
  <c r="AY1740" i="1"/>
  <c r="AY1741" i="1"/>
  <c r="AY1742" i="1"/>
  <c r="AY1743" i="1"/>
  <c r="AY1744" i="1"/>
  <c r="AY1745" i="1"/>
  <c r="AY1746" i="1"/>
  <c r="AY1747" i="1"/>
  <c r="AY1748" i="1"/>
  <c r="AY1749" i="1"/>
  <c r="AY1750" i="1"/>
  <c r="AY1751" i="1"/>
  <c r="AY1752" i="1"/>
  <c r="AY1753" i="1"/>
  <c r="AY1754" i="1"/>
  <c r="AY1755" i="1"/>
  <c r="AY1756" i="1"/>
  <c r="AY1757" i="1"/>
  <c r="AY1758" i="1"/>
  <c r="AY1759" i="1"/>
  <c r="AY1760" i="1"/>
  <c r="AY1761" i="1"/>
  <c r="AY1762" i="1"/>
  <c r="AY1763" i="1"/>
  <c r="AY1764" i="1"/>
  <c r="AY1765" i="1"/>
  <c r="AY1766" i="1"/>
  <c r="AY1767" i="1"/>
  <c r="AY1768" i="1"/>
  <c r="AY1769" i="1"/>
  <c r="AY1770" i="1"/>
  <c r="AY1771" i="1"/>
  <c r="AY1772" i="1"/>
  <c r="AY1773" i="1"/>
  <c r="AY1774" i="1"/>
  <c r="AY1775" i="1"/>
  <c r="AY1776" i="1"/>
  <c r="AY1777" i="1"/>
  <c r="AY1778" i="1"/>
  <c r="AY1779" i="1"/>
  <c r="AY1780" i="1"/>
  <c r="AY1781" i="1"/>
  <c r="AY1782" i="1"/>
  <c r="AY1783" i="1"/>
  <c r="AY1784" i="1"/>
  <c r="AY1785" i="1"/>
  <c r="AY1786" i="1"/>
  <c r="AY1787" i="1"/>
  <c r="AY1788" i="1"/>
  <c r="AY1789" i="1"/>
  <c r="AY1790" i="1"/>
  <c r="AY1791" i="1"/>
  <c r="AY1792" i="1"/>
  <c r="AY1793" i="1"/>
  <c r="AY1794" i="1"/>
  <c r="AY1795" i="1"/>
  <c r="AY1796" i="1"/>
  <c r="AY1797" i="1"/>
  <c r="AY1798" i="1"/>
  <c r="AY1799" i="1"/>
  <c r="AY1800" i="1"/>
  <c r="AY1801" i="1"/>
  <c r="AY1802" i="1"/>
  <c r="AY1803" i="1"/>
  <c r="AY1804" i="1"/>
  <c r="AY1805" i="1"/>
  <c r="AY1806" i="1"/>
  <c r="AY1807" i="1"/>
  <c r="AY1808" i="1"/>
  <c r="AY1809" i="1"/>
  <c r="AY1810" i="1"/>
  <c r="AY1811" i="1"/>
  <c r="AY1812" i="1"/>
  <c r="AY1813" i="1"/>
  <c r="AY1814" i="1"/>
  <c r="AY1815" i="1"/>
  <c r="AY1816" i="1"/>
  <c r="AY1817" i="1"/>
  <c r="AY1818" i="1"/>
  <c r="AY1819" i="1"/>
  <c r="AY1820" i="1"/>
  <c r="AY1821" i="1"/>
  <c r="AY1822" i="1"/>
  <c r="AY1823" i="1"/>
  <c r="AY1824" i="1"/>
  <c r="AY1825" i="1"/>
  <c r="AY1826" i="1"/>
  <c r="AY1827" i="1"/>
  <c r="AY1828" i="1"/>
  <c r="AY1829" i="1"/>
  <c r="AY1830" i="1"/>
  <c r="AY1831" i="1"/>
  <c r="AY1832" i="1"/>
  <c r="AY1833" i="1"/>
  <c r="AY1834" i="1"/>
  <c r="AY1835" i="1"/>
  <c r="AY1836" i="1"/>
  <c r="AY1837" i="1"/>
  <c r="AY1838" i="1"/>
  <c r="AY1839" i="1"/>
  <c r="AY1840" i="1"/>
  <c r="AY1841" i="1"/>
  <c r="AY1842" i="1"/>
  <c r="AY1843" i="1"/>
  <c r="AY1844" i="1"/>
  <c r="AY1845" i="1"/>
  <c r="AY1846" i="1"/>
  <c r="AY1847" i="1"/>
  <c r="AY1848" i="1"/>
  <c r="AY1849" i="1"/>
  <c r="AY1850" i="1"/>
  <c r="AY1851" i="1"/>
  <c r="AY1852" i="1"/>
  <c r="AY1853" i="1"/>
  <c r="AY1854" i="1"/>
  <c r="AY1855" i="1"/>
  <c r="AY1856" i="1"/>
  <c r="AY1857" i="1"/>
  <c r="AY1858" i="1"/>
  <c r="AY1859" i="1"/>
  <c r="AY1860" i="1"/>
  <c r="AY1861" i="1"/>
  <c r="AY1862" i="1"/>
  <c r="AY1863" i="1"/>
  <c r="AY1864" i="1"/>
  <c r="AY1865" i="1"/>
  <c r="AY1866" i="1"/>
  <c r="AY1867" i="1"/>
  <c r="AY1868" i="1"/>
  <c r="AY1869" i="1"/>
  <c r="AY1870" i="1"/>
  <c r="AY1871" i="1"/>
  <c r="AY1872" i="1"/>
  <c r="AY1873" i="1"/>
  <c r="AY1874" i="1"/>
  <c r="AY1875" i="1"/>
  <c r="AY1876" i="1"/>
  <c r="AY1877" i="1"/>
  <c r="AY1878" i="1"/>
  <c r="AY1879" i="1"/>
  <c r="AY1880" i="1"/>
  <c r="AY1881" i="1"/>
  <c r="AY1882" i="1"/>
  <c r="AY1883" i="1"/>
  <c r="AY1884" i="1"/>
  <c r="AY1885" i="1"/>
  <c r="AY1886" i="1"/>
  <c r="AY1887" i="1"/>
  <c r="AY1888" i="1"/>
  <c r="AY1889" i="1"/>
  <c r="AY1890" i="1"/>
  <c r="AY1891" i="1"/>
  <c r="AY1892" i="1"/>
  <c r="AY1893" i="1"/>
  <c r="AY1894" i="1"/>
  <c r="AY1895" i="1"/>
  <c r="AY1896" i="1"/>
  <c r="AY1897" i="1"/>
  <c r="AY1898" i="1"/>
  <c r="AY1899" i="1"/>
  <c r="AY1900" i="1"/>
  <c r="AY1901" i="1"/>
  <c r="AY1902" i="1"/>
  <c r="AY1903" i="1"/>
  <c r="AY1904" i="1"/>
  <c r="AY1905" i="1"/>
  <c r="AY1906" i="1"/>
  <c r="AY1907" i="1"/>
  <c r="AY1908" i="1"/>
  <c r="AY1909" i="1"/>
  <c r="AY1910" i="1"/>
  <c r="AY1911" i="1"/>
  <c r="AY1912" i="1"/>
  <c r="AY1913" i="1"/>
  <c r="AY1914" i="1"/>
  <c r="AY1915" i="1"/>
  <c r="AY1916" i="1"/>
  <c r="AY1917" i="1"/>
  <c r="AY1918" i="1"/>
  <c r="AY1919" i="1"/>
  <c r="AY1920" i="1"/>
  <c r="AY1921" i="1"/>
  <c r="AY1922" i="1"/>
  <c r="AY1923" i="1"/>
  <c r="AY1924" i="1"/>
  <c r="AY1925" i="1"/>
  <c r="AY1926" i="1"/>
  <c r="AY1927" i="1"/>
  <c r="AY1928" i="1"/>
  <c r="AY1929" i="1"/>
  <c r="AY1930" i="1"/>
  <c r="AY1931" i="1"/>
  <c r="AY1932" i="1"/>
  <c r="AY1933" i="1"/>
  <c r="AY1934" i="1"/>
  <c r="AY1935" i="1"/>
  <c r="AY1936" i="1"/>
  <c r="AY1937" i="1"/>
  <c r="AY1938" i="1"/>
  <c r="AY1939" i="1"/>
  <c r="AY1940" i="1"/>
  <c r="AY1941" i="1"/>
  <c r="AY1942" i="1"/>
  <c r="AY1943" i="1"/>
  <c r="AY1944" i="1"/>
  <c r="AY1945" i="1"/>
  <c r="AY1946" i="1"/>
  <c r="AY1947" i="1"/>
  <c r="AY1948" i="1"/>
  <c r="AY1949" i="1"/>
  <c r="AY1950" i="1"/>
  <c r="AY1951" i="1"/>
  <c r="AY1952" i="1"/>
  <c r="AY1953" i="1"/>
  <c r="AY1954" i="1"/>
  <c r="AY1955" i="1"/>
  <c r="AY1956" i="1"/>
  <c r="AY1957" i="1"/>
  <c r="AY1958" i="1"/>
  <c r="AY1959" i="1"/>
  <c r="AY1960" i="1"/>
  <c r="AY1961" i="1"/>
  <c r="AY1962" i="1"/>
  <c r="AY1963" i="1"/>
  <c r="AY1964" i="1"/>
  <c r="AY1965" i="1"/>
  <c r="AY1966" i="1"/>
  <c r="AY1967" i="1"/>
  <c r="AY1968" i="1"/>
  <c r="AY1969" i="1"/>
  <c r="AY1970" i="1"/>
  <c r="AY1971" i="1"/>
  <c r="AY1972" i="1"/>
  <c r="AY1973" i="1"/>
  <c r="AY1974" i="1"/>
  <c r="AY1975" i="1"/>
  <c r="AY1976" i="1"/>
  <c r="AY1977" i="1"/>
  <c r="AY1978" i="1"/>
  <c r="AY1979" i="1"/>
  <c r="AY1980" i="1"/>
  <c r="AY1981" i="1"/>
  <c r="AY1982" i="1"/>
  <c r="AY1983" i="1"/>
  <c r="AY1984" i="1"/>
  <c r="AY1985" i="1"/>
  <c r="AY1986" i="1"/>
  <c r="AY1987" i="1"/>
  <c r="AY1988" i="1"/>
  <c r="AY1989" i="1"/>
  <c r="AY1990" i="1"/>
  <c r="AY1991" i="1"/>
  <c r="AY1992" i="1"/>
  <c r="AY1993" i="1"/>
  <c r="AY1994" i="1"/>
  <c r="AY1995" i="1"/>
  <c r="AY1996" i="1"/>
  <c r="AY1997" i="1"/>
  <c r="AY1998" i="1"/>
  <c r="AY1999" i="1"/>
  <c r="AY2000" i="1"/>
  <c r="AY2001" i="1"/>
  <c r="AY2002" i="1"/>
  <c r="AY2003" i="1"/>
  <c r="AY2004" i="1"/>
  <c r="AY2005" i="1"/>
  <c r="AY2006" i="1"/>
  <c r="AY2007" i="1"/>
  <c r="AY2008" i="1"/>
  <c r="AY2009" i="1"/>
  <c r="AY2010" i="1"/>
  <c r="AY2011" i="1"/>
  <c r="AY2012" i="1"/>
  <c r="AY2013" i="1"/>
  <c r="AY2014" i="1"/>
  <c r="AY2015" i="1"/>
  <c r="AY2016" i="1"/>
  <c r="AY2017" i="1"/>
  <c r="AY2018" i="1"/>
  <c r="AY2019" i="1"/>
  <c r="AY2020" i="1"/>
  <c r="AY2021" i="1"/>
  <c r="AY2022" i="1"/>
  <c r="AY2023" i="1"/>
  <c r="AY2024" i="1"/>
  <c r="AY2025" i="1"/>
  <c r="AY2026" i="1"/>
  <c r="AY2027" i="1"/>
  <c r="AY2028" i="1"/>
  <c r="AY2029" i="1"/>
  <c r="AY2030" i="1"/>
  <c r="AY2031" i="1"/>
  <c r="AY2032" i="1"/>
  <c r="AY2033" i="1"/>
  <c r="AY2034" i="1"/>
  <c r="AY2035" i="1"/>
  <c r="AY2036" i="1"/>
  <c r="AY2037" i="1"/>
  <c r="AY2038" i="1"/>
  <c r="AY2039" i="1"/>
  <c r="AY2040" i="1"/>
  <c r="AY2041" i="1"/>
  <c r="AY2042" i="1"/>
  <c r="AY2043" i="1"/>
  <c r="AY2044" i="1"/>
  <c r="AY2045" i="1"/>
  <c r="AY2046" i="1"/>
  <c r="AY2047" i="1"/>
  <c r="AY2048" i="1"/>
  <c r="AY2049" i="1"/>
  <c r="AY2050" i="1"/>
  <c r="AY2051" i="1"/>
  <c r="AY2052" i="1"/>
  <c r="AY2053" i="1"/>
  <c r="AY2054" i="1"/>
  <c r="AY2055" i="1"/>
  <c r="AY2056" i="1"/>
  <c r="AY2057" i="1"/>
  <c r="AY2058" i="1"/>
  <c r="AY2059" i="1"/>
  <c r="AY2060" i="1"/>
  <c r="AY2061" i="1"/>
  <c r="AY2062" i="1"/>
  <c r="AY2063" i="1"/>
  <c r="AY2064" i="1"/>
  <c r="AY2065" i="1"/>
  <c r="AY2066" i="1"/>
  <c r="AY2067" i="1"/>
  <c r="AY2068" i="1"/>
  <c r="AY2069" i="1"/>
  <c r="AY2070" i="1"/>
  <c r="AY2071" i="1"/>
  <c r="AY2072" i="1"/>
  <c r="AY2073" i="1"/>
  <c r="AY2074" i="1"/>
  <c r="AY2075" i="1"/>
  <c r="AY2076" i="1"/>
  <c r="AY2077" i="1"/>
  <c r="AY2078" i="1"/>
  <c r="AY2079" i="1"/>
  <c r="AY2080" i="1"/>
  <c r="AY2081" i="1"/>
  <c r="AY2082" i="1"/>
  <c r="AY2083" i="1"/>
  <c r="AY2084" i="1"/>
  <c r="AY2085" i="1"/>
  <c r="AY2086" i="1"/>
  <c r="AY2087" i="1"/>
  <c r="AY2088" i="1"/>
  <c r="AY2089" i="1"/>
  <c r="AY2090" i="1"/>
  <c r="AY2091" i="1"/>
  <c r="AY2092" i="1"/>
  <c r="AY2093" i="1"/>
  <c r="AY2094" i="1"/>
  <c r="AY2095" i="1"/>
  <c r="AY2096" i="1"/>
  <c r="AY2097" i="1"/>
  <c r="AY2098" i="1"/>
  <c r="AY2099" i="1"/>
  <c r="AY2100" i="1"/>
  <c r="AY2101" i="1"/>
  <c r="AY2102" i="1"/>
  <c r="AY2103" i="1"/>
  <c r="AY2104" i="1"/>
  <c r="AY2105" i="1"/>
  <c r="AY2106" i="1"/>
  <c r="AY2107" i="1"/>
  <c r="AY2108" i="1"/>
  <c r="AY2109" i="1"/>
  <c r="AY2110" i="1"/>
  <c r="AY2111" i="1"/>
  <c r="AY2112" i="1"/>
  <c r="AY2113" i="1"/>
  <c r="AY2114" i="1"/>
  <c r="AY2115" i="1"/>
  <c r="AY2116" i="1"/>
  <c r="AY2117" i="1"/>
  <c r="AY2118" i="1"/>
  <c r="AY2119" i="1"/>
  <c r="AY2120" i="1"/>
  <c r="AY2121" i="1"/>
  <c r="AY2122" i="1"/>
  <c r="AY2123" i="1"/>
  <c r="AY2124" i="1"/>
  <c r="AY2125" i="1"/>
  <c r="AY2126" i="1"/>
  <c r="AY2127" i="1"/>
  <c r="AY2128" i="1"/>
  <c r="AY2129" i="1"/>
  <c r="AY2130" i="1"/>
  <c r="AY2131" i="1"/>
  <c r="AY2132" i="1"/>
  <c r="AY2133" i="1"/>
  <c r="AY2134" i="1"/>
  <c r="AY2135" i="1"/>
  <c r="AY2136" i="1"/>
  <c r="AY2137" i="1"/>
  <c r="AY2138" i="1"/>
  <c r="AY2139" i="1"/>
  <c r="AY2140" i="1"/>
  <c r="AY2141" i="1"/>
  <c r="AY2142" i="1"/>
  <c r="AY2143" i="1"/>
  <c r="AY2144" i="1"/>
  <c r="AY2145" i="1"/>
  <c r="AY2146" i="1"/>
  <c r="AY2147" i="1"/>
  <c r="AY2148" i="1"/>
  <c r="AY2149" i="1"/>
  <c r="AY2150" i="1"/>
  <c r="AY2151" i="1"/>
  <c r="AY2152" i="1"/>
  <c r="AY2153" i="1"/>
  <c r="AY2154" i="1"/>
  <c r="AY2155" i="1"/>
  <c r="AY2156" i="1"/>
  <c r="AY2157" i="1"/>
  <c r="AY2158" i="1"/>
  <c r="AY2159" i="1"/>
  <c r="AY2160" i="1"/>
  <c r="AY2161" i="1"/>
  <c r="AY2162" i="1"/>
  <c r="AY2163" i="1"/>
  <c r="AY2164" i="1"/>
  <c r="AY2165" i="1"/>
  <c r="AY2166" i="1"/>
  <c r="AY2167" i="1"/>
  <c r="AY2168" i="1"/>
  <c r="AY2169" i="1"/>
  <c r="AY2170" i="1"/>
  <c r="AY2171" i="1"/>
  <c r="AY2172" i="1"/>
  <c r="AY2173" i="1"/>
  <c r="AY2174" i="1"/>
  <c r="AY2175" i="1"/>
  <c r="AY2176" i="1"/>
  <c r="AY2177" i="1"/>
  <c r="AY2178" i="1"/>
  <c r="AY2179" i="1"/>
  <c r="AY2180" i="1"/>
  <c r="AY2181" i="1"/>
  <c r="AY2182" i="1"/>
  <c r="AY2183" i="1"/>
  <c r="AY2184" i="1"/>
  <c r="AY2185" i="1"/>
  <c r="AY2186" i="1"/>
  <c r="AY2187" i="1"/>
  <c r="AY2188" i="1"/>
  <c r="AY2189" i="1"/>
  <c r="AY2190" i="1"/>
  <c r="AY2191" i="1"/>
  <c r="AY2192" i="1"/>
  <c r="AY2193" i="1"/>
  <c r="AY2194" i="1"/>
  <c r="AY2195" i="1"/>
  <c r="AY2196" i="1"/>
  <c r="AY2197" i="1"/>
  <c r="AY2198" i="1"/>
  <c r="AY2199" i="1"/>
  <c r="AY2200" i="1"/>
  <c r="AY2201" i="1"/>
  <c r="AY2202" i="1"/>
  <c r="AY2203" i="1"/>
  <c r="AY2204" i="1"/>
  <c r="AY2205" i="1"/>
  <c r="AY2206" i="1"/>
  <c r="AY2207" i="1"/>
  <c r="AY2208" i="1"/>
  <c r="AY2209" i="1"/>
  <c r="AY2210" i="1"/>
  <c r="AY2211" i="1"/>
  <c r="AY2212" i="1"/>
  <c r="AY2213" i="1"/>
  <c r="AY2214" i="1"/>
  <c r="AY2215" i="1"/>
  <c r="AY2216" i="1"/>
  <c r="AY2217" i="1"/>
  <c r="AY2218" i="1"/>
  <c r="AY2219" i="1"/>
  <c r="AY2220" i="1"/>
  <c r="AY2221" i="1"/>
  <c r="AY2222" i="1"/>
  <c r="AY2223" i="1"/>
  <c r="AY2224" i="1"/>
  <c r="AY2225" i="1"/>
  <c r="AY2226" i="1"/>
  <c r="AY2227" i="1"/>
  <c r="AY2228" i="1"/>
  <c r="AY2229" i="1"/>
  <c r="AY2230" i="1"/>
  <c r="AY2231" i="1"/>
  <c r="AY2232" i="1"/>
  <c r="AY2233" i="1"/>
  <c r="AY2234" i="1"/>
  <c r="AY2235" i="1"/>
  <c r="AY2236" i="1"/>
  <c r="AY2237" i="1"/>
  <c r="AY2238" i="1"/>
  <c r="AY2239" i="1"/>
  <c r="AY2240" i="1"/>
  <c r="AY2241" i="1"/>
  <c r="AY2242" i="1"/>
  <c r="AY2243" i="1"/>
  <c r="AY2244" i="1"/>
  <c r="AY2245" i="1"/>
  <c r="AY2246" i="1"/>
  <c r="AY2247" i="1"/>
  <c r="AY2248" i="1"/>
  <c r="AY2249" i="1"/>
  <c r="AY2250" i="1"/>
  <c r="AY2251" i="1"/>
  <c r="AY2252" i="1"/>
  <c r="AY2253" i="1"/>
  <c r="AY2254" i="1"/>
  <c r="AY2255" i="1"/>
  <c r="AY2256" i="1"/>
  <c r="AY2257" i="1"/>
  <c r="AY2258" i="1"/>
  <c r="AY2259" i="1"/>
  <c r="AY2260" i="1"/>
  <c r="AY2261" i="1"/>
  <c r="AY2262" i="1"/>
  <c r="AY2263" i="1"/>
  <c r="AY2264" i="1"/>
  <c r="AY2265" i="1"/>
  <c r="AY2266" i="1"/>
  <c r="AY2267" i="1"/>
  <c r="AY2268" i="1"/>
  <c r="AY2269" i="1"/>
  <c r="AY2270" i="1"/>
  <c r="AY2271" i="1"/>
  <c r="AY2272" i="1"/>
  <c r="AY2273" i="1"/>
  <c r="AY2274" i="1"/>
  <c r="AY2275" i="1"/>
  <c r="AY2276" i="1"/>
  <c r="AY2277" i="1"/>
  <c r="AY2278" i="1"/>
  <c r="AY2279" i="1"/>
  <c r="AY2280" i="1"/>
  <c r="AY2281" i="1"/>
  <c r="AY2282" i="1"/>
  <c r="AY2283" i="1"/>
  <c r="AY2284" i="1"/>
  <c r="AY2285" i="1"/>
  <c r="AY2286" i="1"/>
  <c r="AY2287" i="1"/>
  <c r="AY2288" i="1"/>
  <c r="AY2289" i="1"/>
  <c r="AY2290" i="1"/>
  <c r="AY2291" i="1"/>
  <c r="AY2292" i="1"/>
  <c r="AY2293" i="1"/>
  <c r="AY2294" i="1"/>
  <c r="AY2295" i="1"/>
  <c r="AY2296" i="1"/>
  <c r="AY2297" i="1"/>
  <c r="AY2298" i="1"/>
  <c r="AY2299" i="1"/>
  <c r="AY2300" i="1"/>
  <c r="AY2301" i="1"/>
  <c r="AY2302" i="1"/>
  <c r="AY2303" i="1"/>
  <c r="AY2304" i="1"/>
  <c r="AY2305" i="1"/>
  <c r="AY2306" i="1"/>
  <c r="AY2307" i="1"/>
  <c r="AY2308" i="1"/>
  <c r="AY2309" i="1"/>
  <c r="AY2310" i="1"/>
  <c r="AY2311" i="1"/>
  <c r="AY2312" i="1"/>
  <c r="AY2313" i="1"/>
  <c r="AY2314" i="1"/>
  <c r="AY2315" i="1"/>
  <c r="AY2316" i="1"/>
  <c r="AY2317" i="1"/>
  <c r="AY2318" i="1"/>
  <c r="AY2319" i="1"/>
  <c r="AY2320" i="1"/>
  <c r="AY2321" i="1"/>
  <c r="AY2322" i="1"/>
  <c r="AY2323" i="1"/>
  <c r="AY2324" i="1"/>
  <c r="AY2325" i="1"/>
  <c r="AY2326" i="1"/>
  <c r="AY2327" i="1"/>
  <c r="AY2328" i="1"/>
  <c r="AY2329" i="1"/>
  <c r="AY2330" i="1"/>
  <c r="AY2331" i="1"/>
  <c r="AY2332" i="1"/>
  <c r="AY2333" i="1"/>
  <c r="AY2334" i="1"/>
  <c r="AY2335" i="1"/>
  <c r="AY2336" i="1"/>
  <c r="AY2337" i="1"/>
  <c r="AY2338" i="1"/>
  <c r="AY2339" i="1"/>
  <c r="AY2340" i="1"/>
  <c r="AY2341" i="1"/>
  <c r="AY2342" i="1"/>
  <c r="AY2343" i="1"/>
  <c r="AY2344" i="1"/>
  <c r="AY2345" i="1"/>
  <c r="AY2346" i="1"/>
  <c r="AY2347" i="1"/>
  <c r="AY2348" i="1"/>
  <c r="AY2349" i="1"/>
  <c r="AY2350" i="1"/>
  <c r="AY2351" i="1"/>
  <c r="AY2352" i="1"/>
  <c r="AY2353" i="1"/>
  <c r="AY2354" i="1"/>
  <c r="AY2355" i="1"/>
  <c r="AY2356" i="1"/>
  <c r="AY2357" i="1"/>
  <c r="AY2358" i="1"/>
  <c r="AY2359" i="1"/>
  <c r="AY2360" i="1"/>
  <c r="AY2361" i="1"/>
  <c r="AY2362" i="1"/>
  <c r="AY2363" i="1"/>
  <c r="AY2364" i="1"/>
  <c r="AY2365" i="1"/>
  <c r="AY2366" i="1"/>
  <c r="AY2367" i="1"/>
  <c r="AY2368" i="1"/>
  <c r="AY2369" i="1"/>
  <c r="AY2370" i="1"/>
  <c r="AY2371" i="1"/>
  <c r="AY2372" i="1"/>
  <c r="AY2373" i="1"/>
  <c r="AY2374" i="1"/>
  <c r="AY2375" i="1"/>
  <c r="AY2376" i="1"/>
  <c r="AY2377" i="1"/>
  <c r="AY2378" i="1"/>
  <c r="AY2379" i="1"/>
  <c r="AY2380" i="1"/>
  <c r="AY2381" i="1"/>
  <c r="AY2382" i="1"/>
  <c r="AY2383" i="1"/>
  <c r="AY2384" i="1"/>
  <c r="AY2385" i="1"/>
  <c r="AY2386" i="1"/>
  <c r="AY2387" i="1"/>
  <c r="AY2388" i="1"/>
  <c r="AY2389" i="1"/>
  <c r="AY2390" i="1"/>
  <c r="AY2391" i="1"/>
  <c r="AY2392" i="1"/>
  <c r="AY2393" i="1"/>
  <c r="AY2394" i="1"/>
  <c r="AY2395" i="1"/>
  <c r="AY2396" i="1"/>
  <c r="AY2397" i="1"/>
  <c r="AY2398" i="1"/>
  <c r="AY2399" i="1"/>
  <c r="AY2400" i="1"/>
  <c r="AY2401" i="1"/>
  <c r="AY2402" i="1"/>
  <c r="AY2403" i="1"/>
  <c r="AY2404" i="1"/>
  <c r="AY2405" i="1"/>
  <c r="AY2406" i="1"/>
  <c r="AY2407" i="1"/>
  <c r="AY2408" i="1"/>
  <c r="AY2409" i="1"/>
  <c r="AY2410" i="1"/>
  <c r="AY2411" i="1"/>
  <c r="AY2412" i="1"/>
  <c r="AY2413" i="1"/>
  <c r="AY2414" i="1"/>
  <c r="AY2415" i="1"/>
  <c r="AY2416" i="1"/>
  <c r="AY2417" i="1"/>
  <c r="AY2418" i="1"/>
  <c r="AY2419" i="1"/>
  <c r="AY2420" i="1"/>
  <c r="AY2421" i="1"/>
  <c r="AY2422" i="1"/>
  <c r="AY2423" i="1"/>
  <c r="AY2424" i="1"/>
  <c r="AY2425" i="1"/>
  <c r="AY2426" i="1"/>
  <c r="AY2427" i="1"/>
  <c r="AY2428" i="1"/>
  <c r="AY2429" i="1"/>
  <c r="AY2430" i="1"/>
  <c r="AY2431" i="1"/>
  <c r="AY2432" i="1"/>
  <c r="AY2433" i="1"/>
  <c r="AY2434" i="1"/>
  <c r="AY2435" i="1"/>
  <c r="AY2436" i="1"/>
  <c r="AY2437" i="1"/>
  <c r="AY2438" i="1"/>
  <c r="AY2439" i="1"/>
  <c r="AY2440" i="1"/>
  <c r="AY2441" i="1"/>
  <c r="AY2442" i="1"/>
  <c r="AY2443" i="1"/>
  <c r="AY2444" i="1"/>
  <c r="AY2445" i="1"/>
  <c r="AY2446" i="1"/>
  <c r="AY2447" i="1"/>
  <c r="AY2448" i="1"/>
  <c r="AY2449" i="1"/>
  <c r="AY2450" i="1"/>
  <c r="AY2451" i="1"/>
  <c r="AY2452" i="1"/>
  <c r="AY2453" i="1"/>
  <c r="AY2454" i="1"/>
  <c r="AY2455" i="1"/>
  <c r="AY2456" i="1"/>
  <c r="AY2457" i="1"/>
  <c r="AY2458" i="1"/>
  <c r="AY2459" i="1"/>
  <c r="AY2460" i="1"/>
  <c r="AY2461" i="1"/>
  <c r="AY2462" i="1"/>
  <c r="AY2463" i="1"/>
  <c r="AY2464" i="1"/>
  <c r="AY2465" i="1"/>
  <c r="AY2466" i="1"/>
  <c r="AY2467" i="1"/>
  <c r="AY2468" i="1"/>
  <c r="AY2469" i="1"/>
  <c r="AY2470" i="1"/>
  <c r="AY2471" i="1"/>
  <c r="AY2472" i="1"/>
  <c r="AY2473" i="1"/>
  <c r="AY2474" i="1"/>
  <c r="AY2475" i="1"/>
  <c r="AY2476" i="1"/>
  <c r="AY2477" i="1"/>
  <c r="AY2478" i="1"/>
  <c r="AY2479" i="1"/>
  <c r="AY2480" i="1"/>
  <c r="AY2481" i="1"/>
  <c r="AY2482" i="1"/>
  <c r="AY2483" i="1"/>
  <c r="AY2484" i="1"/>
  <c r="AY2485" i="1"/>
  <c r="AY2486" i="1"/>
  <c r="AY2487" i="1"/>
  <c r="AY2488" i="1"/>
  <c r="AY2489" i="1"/>
  <c r="AY2490" i="1"/>
  <c r="AY2491" i="1"/>
  <c r="AY2492" i="1"/>
  <c r="AY2493" i="1"/>
  <c r="AY2494" i="1"/>
  <c r="AY2495" i="1"/>
  <c r="AY2496" i="1"/>
  <c r="AY2497" i="1"/>
  <c r="AY2498" i="1"/>
  <c r="AY2499" i="1"/>
  <c r="AY2500" i="1"/>
  <c r="AY2501" i="1"/>
  <c r="AY2502" i="1"/>
  <c r="AY2503" i="1"/>
  <c r="AY2504" i="1"/>
  <c r="AY2505" i="1"/>
  <c r="AY2506" i="1"/>
  <c r="AY2507" i="1"/>
  <c r="AY2508" i="1"/>
  <c r="AY2509" i="1"/>
  <c r="AY2510" i="1"/>
  <c r="AY2511" i="1"/>
  <c r="AY2512" i="1"/>
  <c r="AY2513" i="1"/>
  <c r="AY2514" i="1"/>
  <c r="AY2515" i="1"/>
  <c r="AY2516" i="1"/>
  <c r="AY2517" i="1"/>
  <c r="AY2518" i="1"/>
  <c r="AY2519" i="1"/>
  <c r="AY2520" i="1"/>
  <c r="AY2521" i="1"/>
  <c r="AY2522" i="1"/>
  <c r="AY2523" i="1"/>
  <c r="AY2524" i="1"/>
  <c r="AY2525" i="1"/>
  <c r="AY2526" i="1"/>
  <c r="AY2527" i="1"/>
  <c r="AY2528" i="1"/>
  <c r="AY2529" i="1"/>
  <c r="AY2530" i="1"/>
  <c r="AY2531" i="1"/>
  <c r="AY2532" i="1"/>
  <c r="AY2533" i="1"/>
  <c r="AY2534" i="1"/>
  <c r="AY2535" i="1"/>
  <c r="AY2536" i="1"/>
  <c r="AY2537" i="1"/>
  <c r="AY2538" i="1"/>
  <c r="AY2539" i="1"/>
  <c r="AY2540" i="1"/>
  <c r="AY2541" i="1"/>
  <c r="AY2542" i="1"/>
  <c r="AY2543" i="1"/>
  <c r="AY2544" i="1"/>
  <c r="AY2545" i="1"/>
  <c r="AY2546" i="1"/>
  <c r="AY2547" i="1"/>
  <c r="AY2548" i="1"/>
  <c r="AY2549" i="1"/>
  <c r="AY2550" i="1"/>
  <c r="AY2551" i="1"/>
  <c r="AY2552" i="1"/>
  <c r="AY2553" i="1"/>
  <c r="AY2554" i="1"/>
  <c r="AY2555" i="1"/>
  <c r="AY2556" i="1"/>
  <c r="AY2557" i="1"/>
  <c r="AY2558" i="1"/>
  <c r="AY2559" i="1"/>
  <c r="AY2560" i="1"/>
  <c r="AY2561" i="1"/>
  <c r="AY2562" i="1"/>
  <c r="AY2563" i="1"/>
  <c r="AY2564" i="1"/>
  <c r="AY2565" i="1"/>
  <c r="AY2566" i="1"/>
  <c r="AY2567" i="1"/>
  <c r="AY2568" i="1"/>
  <c r="AY2569" i="1"/>
  <c r="AY2570" i="1"/>
  <c r="AY2571" i="1"/>
  <c r="AY2572" i="1"/>
  <c r="AY2573" i="1"/>
  <c r="AY2574" i="1"/>
  <c r="AY2575" i="1"/>
  <c r="AY2576" i="1"/>
  <c r="AY2577" i="1"/>
  <c r="AY2578" i="1"/>
  <c r="AY2579" i="1"/>
  <c r="AY2580" i="1"/>
  <c r="AY2581" i="1"/>
  <c r="AY2582" i="1"/>
  <c r="AY2583" i="1"/>
  <c r="AY2584" i="1"/>
  <c r="AY2585" i="1"/>
  <c r="AY2586" i="1"/>
  <c r="AY2587" i="1"/>
  <c r="AY2588" i="1"/>
  <c r="AY2589" i="1"/>
  <c r="AY2590" i="1"/>
  <c r="AY2591" i="1"/>
  <c r="AY2592" i="1"/>
  <c r="AY2593" i="1"/>
  <c r="AY2594" i="1"/>
  <c r="AY2595" i="1"/>
  <c r="AY2596" i="1"/>
  <c r="AY2597" i="1"/>
  <c r="AY2598" i="1"/>
  <c r="AY2599" i="1"/>
  <c r="AY2600" i="1"/>
  <c r="AY2601" i="1"/>
  <c r="AY2602" i="1"/>
  <c r="AY2603" i="1"/>
  <c r="AY2604" i="1"/>
  <c r="AY2605" i="1"/>
  <c r="AY2606" i="1"/>
  <c r="AY2607" i="1"/>
  <c r="AY2608" i="1"/>
  <c r="AY2609" i="1"/>
  <c r="AY2610" i="1"/>
  <c r="AY2611" i="1"/>
  <c r="AY2612" i="1"/>
  <c r="AY2613" i="1"/>
  <c r="AY2614" i="1"/>
  <c r="AY2615" i="1"/>
  <c r="AY2616" i="1"/>
  <c r="AY2617" i="1"/>
  <c r="AY2618" i="1"/>
  <c r="AY2619" i="1"/>
  <c r="AY2620" i="1"/>
  <c r="AY2621" i="1"/>
  <c r="AY2622" i="1"/>
  <c r="AY2623" i="1"/>
  <c r="AY2624" i="1"/>
  <c r="AY2625" i="1"/>
  <c r="AY2626" i="1"/>
  <c r="AY2627" i="1"/>
  <c r="AY2628" i="1"/>
  <c r="AY2629" i="1"/>
  <c r="AY2630" i="1"/>
  <c r="AY2631" i="1"/>
  <c r="AY2632" i="1"/>
  <c r="AY2633" i="1"/>
  <c r="AY2634" i="1"/>
  <c r="AY2635" i="1"/>
  <c r="AY2636" i="1"/>
  <c r="AY2637" i="1"/>
  <c r="AY2638" i="1"/>
  <c r="AY2639" i="1"/>
  <c r="AY2640" i="1"/>
  <c r="AY2641" i="1"/>
  <c r="AY2642" i="1"/>
  <c r="AY2643" i="1"/>
  <c r="AY2644" i="1"/>
  <c r="AY2645" i="1"/>
  <c r="AY2646" i="1"/>
  <c r="AY2647" i="1"/>
  <c r="AY2648" i="1"/>
  <c r="AY2649" i="1"/>
  <c r="AY2650" i="1"/>
  <c r="AY2651" i="1"/>
  <c r="AY2652" i="1"/>
  <c r="AY2653" i="1"/>
  <c r="AY2654" i="1"/>
  <c r="AY2655" i="1"/>
  <c r="AY2656" i="1"/>
  <c r="AY2657" i="1"/>
  <c r="AY2658" i="1"/>
  <c r="AY2659" i="1"/>
  <c r="AY2660" i="1"/>
  <c r="AY2661" i="1"/>
  <c r="AY2662" i="1"/>
  <c r="AY2663" i="1"/>
  <c r="AY2664" i="1"/>
  <c r="AY2665" i="1"/>
  <c r="AY2666" i="1"/>
  <c r="AY2667" i="1"/>
  <c r="AY2668" i="1"/>
  <c r="AY2669" i="1"/>
  <c r="AY2670" i="1"/>
  <c r="AY2671" i="1"/>
  <c r="AY2672" i="1"/>
  <c r="AY2673" i="1"/>
  <c r="AY2674" i="1"/>
  <c r="AY2675" i="1"/>
  <c r="AY2676" i="1"/>
  <c r="AY2677" i="1"/>
  <c r="AY2678" i="1"/>
  <c r="AY2679" i="1"/>
  <c r="AY2680" i="1"/>
  <c r="AY2681" i="1"/>
  <c r="AY2682" i="1"/>
  <c r="AY2683" i="1"/>
  <c r="AY2684" i="1"/>
  <c r="AY2685" i="1"/>
  <c r="AY2686" i="1"/>
  <c r="AY2687" i="1"/>
  <c r="AY2688" i="1"/>
  <c r="AY2689" i="1"/>
  <c r="AY2690" i="1"/>
  <c r="AY2691" i="1"/>
  <c r="AY2692" i="1"/>
  <c r="AY2693" i="1"/>
  <c r="AY2694" i="1"/>
  <c r="AY2695" i="1"/>
  <c r="AY2696" i="1"/>
  <c r="AY2697" i="1"/>
  <c r="AY2698" i="1"/>
  <c r="AY2699" i="1"/>
  <c r="AY2700" i="1"/>
  <c r="AY2701" i="1"/>
  <c r="AY2702" i="1"/>
  <c r="AY2703" i="1"/>
  <c r="AY2704" i="1"/>
  <c r="AY2705" i="1"/>
  <c r="AY2706" i="1"/>
  <c r="AY2707" i="1"/>
  <c r="AY2708" i="1"/>
  <c r="AY2709" i="1"/>
  <c r="AY2710" i="1"/>
  <c r="AY2711" i="1"/>
  <c r="AY2712" i="1"/>
  <c r="AY2713" i="1"/>
  <c r="AY2714" i="1"/>
  <c r="AY2715" i="1"/>
  <c r="AY2716" i="1"/>
  <c r="AY2717" i="1"/>
  <c r="AY2718" i="1"/>
  <c r="AY2719" i="1"/>
  <c r="AY2720" i="1"/>
  <c r="AY2721" i="1"/>
  <c r="AY2722" i="1"/>
  <c r="AY2723" i="1"/>
  <c r="AY2724" i="1"/>
  <c r="AY2725" i="1"/>
  <c r="AY2726" i="1"/>
  <c r="AY2727" i="1"/>
  <c r="AY2728" i="1"/>
  <c r="AY2729" i="1"/>
  <c r="AY2730" i="1"/>
  <c r="AY2731" i="1"/>
  <c r="AY2732" i="1"/>
  <c r="AY2733" i="1"/>
  <c r="AY2734" i="1"/>
  <c r="AY2735" i="1"/>
  <c r="AY2736" i="1"/>
  <c r="AY2737" i="1"/>
  <c r="AY2738" i="1"/>
  <c r="AY2739" i="1"/>
  <c r="AY2740" i="1"/>
  <c r="AY2741" i="1"/>
  <c r="AY2742" i="1"/>
  <c r="AY2743" i="1"/>
  <c r="AY2744" i="1"/>
  <c r="AY2745" i="1"/>
  <c r="AY2746" i="1"/>
  <c r="AY2747" i="1"/>
  <c r="AY2748" i="1"/>
  <c r="AY2749" i="1"/>
  <c r="AY2750" i="1"/>
  <c r="AY2751" i="1"/>
  <c r="AY2752" i="1"/>
  <c r="AY2753" i="1"/>
  <c r="AY2754" i="1"/>
  <c r="AY2755" i="1"/>
  <c r="AY2756" i="1"/>
  <c r="AY2757" i="1"/>
  <c r="AY2758" i="1"/>
  <c r="AY2759" i="1"/>
  <c r="AY2760" i="1"/>
  <c r="AY2761" i="1"/>
  <c r="AY2762" i="1"/>
  <c r="AY2763" i="1"/>
  <c r="AY2764" i="1"/>
  <c r="AY2765" i="1"/>
  <c r="AY2766" i="1"/>
  <c r="AY2767" i="1"/>
  <c r="AY2768" i="1"/>
  <c r="AY2769" i="1"/>
  <c r="AY2770" i="1"/>
  <c r="AY2771" i="1"/>
  <c r="AY2772" i="1"/>
  <c r="AY2773" i="1"/>
  <c r="AY2774" i="1"/>
  <c r="AY2775" i="1"/>
  <c r="AY2776" i="1"/>
  <c r="AY2777" i="1"/>
  <c r="AY2778" i="1"/>
  <c r="AY2779" i="1"/>
  <c r="AY2780" i="1"/>
  <c r="AY2781" i="1"/>
  <c r="AY2782" i="1"/>
  <c r="AY2783" i="1"/>
  <c r="AY2784" i="1"/>
  <c r="AY2785" i="1"/>
  <c r="AY2786" i="1"/>
  <c r="AY2787" i="1"/>
  <c r="AY2788" i="1"/>
  <c r="AY2789" i="1"/>
  <c r="AY2790" i="1"/>
  <c r="AY2791" i="1"/>
  <c r="AY2792" i="1"/>
  <c r="AY2793" i="1"/>
  <c r="AY2794" i="1"/>
  <c r="AY2795" i="1"/>
  <c r="AY2796" i="1"/>
  <c r="AY2797" i="1"/>
  <c r="AY2798" i="1"/>
  <c r="AY2799" i="1"/>
  <c r="AY2800" i="1"/>
  <c r="AY2801" i="1"/>
  <c r="AY2802" i="1"/>
  <c r="AY2803" i="1"/>
  <c r="AY2804" i="1"/>
  <c r="AY2805" i="1"/>
  <c r="AY2806" i="1"/>
  <c r="AY2807" i="1"/>
  <c r="AY2808" i="1"/>
  <c r="AY2809" i="1"/>
  <c r="AY2810" i="1"/>
  <c r="AY2811" i="1"/>
  <c r="AY2812" i="1"/>
  <c r="AY2813" i="1"/>
  <c r="AY2814" i="1"/>
  <c r="AY2815" i="1"/>
  <c r="AY2816" i="1"/>
  <c r="AY2817" i="1"/>
  <c r="AY2818" i="1"/>
  <c r="AY2819" i="1"/>
  <c r="AY2820" i="1"/>
  <c r="AY2821" i="1"/>
  <c r="AY2822" i="1"/>
  <c r="AY2823" i="1"/>
  <c r="AY2824" i="1"/>
  <c r="AY2825" i="1"/>
  <c r="AY2826" i="1"/>
  <c r="AY2827" i="1"/>
  <c r="AY2828" i="1"/>
  <c r="AY2829" i="1"/>
  <c r="AY2830" i="1"/>
  <c r="AY2831" i="1"/>
  <c r="AY2832" i="1"/>
  <c r="AY2833" i="1"/>
  <c r="AY2834" i="1"/>
  <c r="AY2835" i="1"/>
  <c r="AY2836" i="1"/>
  <c r="AY2837" i="1"/>
  <c r="AY2838" i="1"/>
  <c r="AY2839" i="1"/>
  <c r="AY2840" i="1"/>
  <c r="AY2841" i="1"/>
  <c r="AY2842" i="1"/>
  <c r="AY2843" i="1"/>
  <c r="AY2844" i="1"/>
  <c r="AY2845" i="1"/>
  <c r="AY2846" i="1"/>
  <c r="AY2847" i="1"/>
  <c r="AY2848" i="1"/>
  <c r="AY2849" i="1"/>
  <c r="AY2850" i="1"/>
  <c r="AY2851" i="1"/>
  <c r="AY2852" i="1"/>
  <c r="AY2853" i="1"/>
  <c r="AY2854" i="1"/>
  <c r="AY2855" i="1"/>
  <c r="AY2856" i="1"/>
  <c r="AY2857" i="1"/>
  <c r="AY2858" i="1"/>
  <c r="AY2859" i="1"/>
  <c r="AY2860" i="1"/>
  <c r="AY2861" i="1"/>
  <c r="AY2862" i="1"/>
  <c r="AY2863" i="1"/>
  <c r="AY2864" i="1"/>
  <c r="AY2865" i="1"/>
  <c r="AY2866" i="1"/>
  <c r="AY2867" i="1"/>
  <c r="AY2868" i="1"/>
  <c r="AY2869" i="1"/>
  <c r="AY2870" i="1"/>
  <c r="AY2871" i="1"/>
  <c r="AY2872" i="1"/>
  <c r="AY2873" i="1"/>
  <c r="AY2874" i="1"/>
  <c r="AY2875" i="1"/>
  <c r="AY2876" i="1"/>
  <c r="AY2877" i="1"/>
  <c r="AY2878" i="1"/>
  <c r="AY2879" i="1"/>
  <c r="AY2880" i="1"/>
  <c r="AY2881" i="1"/>
  <c r="AY2882" i="1"/>
  <c r="AY2883" i="1"/>
  <c r="AY2884" i="1"/>
  <c r="AY2885" i="1"/>
  <c r="AY2886" i="1"/>
  <c r="AY2887" i="1"/>
  <c r="AY2888" i="1"/>
  <c r="AY2889" i="1"/>
  <c r="AY2890" i="1"/>
  <c r="AY2891" i="1"/>
  <c r="AY2892" i="1"/>
  <c r="AY2893" i="1"/>
  <c r="AY2894" i="1"/>
  <c r="AY2895" i="1"/>
  <c r="AY2896" i="1"/>
  <c r="AY2897" i="1"/>
  <c r="AY2898" i="1"/>
  <c r="AY2899" i="1"/>
  <c r="AY2900" i="1"/>
  <c r="AY2901" i="1"/>
  <c r="AY2902" i="1"/>
  <c r="AY2903" i="1"/>
  <c r="AY2904" i="1"/>
  <c r="AY2905" i="1"/>
  <c r="AY2906" i="1"/>
  <c r="AY2907" i="1"/>
  <c r="AY2908" i="1"/>
  <c r="AY2909" i="1"/>
  <c r="AY2910" i="1"/>
  <c r="AY2911" i="1"/>
  <c r="AY2912" i="1"/>
  <c r="AY2913" i="1"/>
  <c r="AY2914" i="1"/>
  <c r="AY2915" i="1"/>
  <c r="AY2916" i="1"/>
  <c r="AY2917" i="1"/>
  <c r="AY2918" i="1"/>
  <c r="AY2919" i="1"/>
  <c r="AY2920" i="1"/>
  <c r="AY2921" i="1"/>
  <c r="AY2922" i="1"/>
  <c r="AY2923" i="1"/>
  <c r="AY2924" i="1"/>
  <c r="AY2925" i="1"/>
  <c r="AY2926" i="1"/>
  <c r="AY2927" i="1"/>
  <c r="AY2928" i="1"/>
  <c r="AY2929" i="1"/>
  <c r="AY2930" i="1"/>
  <c r="AY2931" i="1"/>
  <c r="AY2932" i="1"/>
  <c r="AY2933" i="1"/>
  <c r="AY2934" i="1"/>
  <c r="AY2935" i="1"/>
  <c r="AY2936" i="1"/>
  <c r="AY2937" i="1"/>
  <c r="AY2938" i="1"/>
  <c r="AY2939" i="1"/>
  <c r="AY2940" i="1"/>
  <c r="AY2941" i="1"/>
  <c r="AY2942" i="1"/>
  <c r="AY2943" i="1"/>
  <c r="AY2944" i="1"/>
  <c r="AY2945" i="1"/>
  <c r="AY2946" i="1"/>
  <c r="AY2947" i="1"/>
  <c r="AY2948" i="1"/>
  <c r="AY2949" i="1"/>
  <c r="AY2950" i="1"/>
  <c r="AY2951" i="1"/>
  <c r="AY2952" i="1"/>
  <c r="AY2953" i="1"/>
  <c r="AY2954" i="1"/>
  <c r="AY2955" i="1"/>
  <c r="AY2956" i="1"/>
  <c r="AY2957" i="1"/>
  <c r="AY2958" i="1"/>
  <c r="AY2959" i="1"/>
  <c r="AY2960" i="1"/>
  <c r="AY2961" i="1"/>
  <c r="AY2962" i="1"/>
  <c r="AY2963" i="1"/>
  <c r="AY2964" i="1"/>
  <c r="AY2965" i="1"/>
  <c r="AY2966" i="1"/>
  <c r="AY2967" i="1"/>
  <c r="AY2968" i="1"/>
  <c r="AY2969" i="1"/>
  <c r="AY2970" i="1"/>
  <c r="AY2971" i="1"/>
  <c r="AY2972" i="1"/>
  <c r="AY2973" i="1"/>
  <c r="AY2974" i="1"/>
  <c r="AY2975" i="1"/>
  <c r="AY2976" i="1"/>
  <c r="AY2977" i="1"/>
  <c r="AY2978" i="1"/>
  <c r="AY2979" i="1"/>
  <c r="AY2980" i="1"/>
  <c r="AY2981" i="1"/>
  <c r="AY2982" i="1"/>
  <c r="AY2983" i="1"/>
  <c r="AY2984" i="1"/>
  <c r="AY2985" i="1"/>
  <c r="AY2986" i="1"/>
  <c r="AY2987" i="1"/>
  <c r="AY2988" i="1"/>
  <c r="AY2989" i="1"/>
  <c r="AY2990" i="1"/>
  <c r="AY2991" i="1"/>
  <c r="AY2992" i="1"/>
  <c r="AY2993" i="1"/>
  <c r="AY2994" i="1"/>
  <c r="AY2995" i="1"/>
  <c r="AY2996" i="1"/>
  <c r="AY2997" i="1"/>
  <c r="AY2998" i="1"/>
  <c r="AY2999" i="1"/>
  <c r="AY3000" i="1"/>
  <c r="AY3001" i="1"/>
  <c r="AY3002" i="1"/>
  <c r="AY3003" i="1"/>
  <c r="AY3004" i="1"/>
  <c r="AY3005" i="1"/>
  <c r="AY3006" i="1"/>
  <c r="AY3007" i="1"/>
  <c r="AY3008" i="1"/>
  <c r="AY3009" i="1"/>
  <c r="AY3010" i="1"/>
  <c r="AY3011" i="1"/>
  <c r="AY3012" i="1"/>
  <c r="AY3013" i="1"/>
  <c r="AY3014" i="1"/>
  <c r="AY3015" i="1"/>
  <c r="AY3016" i="1"/>
  <c r="AY3017" i="1"/>
  <c r="AY3018" i="1"/>
  <c r="AY3019" i="1"/>
  <c r="AY3020" i="1"/>
  <c r="AY3021" i="1"/>
  <c r="AY3022" i="1"/>
  <c r="AY3023" i="1"/>
  <c r="AY3024" i="1"/>
  <c r="AY3025" i="1"/>
  <c r="AY3026" i="1"/>
  <c r="AY3027" i="1"/>
  <c r="AY3028" i="1"/>
  <c r="AY3029" i="1"/>
  <c r="AY3030" i="1"/>
  <c r="AY3031" i="1"/>
  <c r="AY3032" i="1"/>
  <c r="AY3033" i="1"/>
  <c r="AY3034" i="1"/>
  <c r="AY3035" i="1"/>
  <c r="AY3036" i="1"/>
  <c r="AY3037" i="1"/>
  <c r="AY3038" i="1"/>
  <c r="AY3039" i="1"/>
  <c r="AY3040" i="1"/>
  <c r="AY3041" i="1"/>
  <c r="AY3042" i="1"/>
  <c r="AY3043" i="1"/>
  <c r="AY3044" i="1"/>
  <c r="AY3045" i="1"/>
  <c r="AY3046" i="1"/>
  <c r="AY3047" i="1"/>
  <c r="AY3048" i="1"/>
  <c r="AY3049" i="1"/>
  <c r="AY3050" i="1"/>
  <c r="AY3051" i="1"/>
  <c r="AY3052" i="1"/>
  <c r="AY3053" i="1"/>
  <c r="AY3054" i="1"/>
  <c r="AY3055" i="1"/>
  <c r="AY3056" i="1"/>
  <c r="AY3057" i="1"/>
  <c r="AY3058" i="1"/>
  <c r="AY3059" i="1"/>
  <c r="AY3060" i="1"/>
  <c r="AY3061" i="1"/>
  <c r="AY3062" i="1"/>
  <c r="AY3063" i="1"/>
  <c r="AY3064" i="1"/>
  <c r="AY3065" i="1"/>
  <c r="AY3066" i="1"/>
  <c r="AY3067" i="1"/>
  <c r="AY3068" i="1"/>
  <c r="AY3069" i="1"/>
  <c r="AY3070" i="1"/>
  <c r="AY3071" i="1"/>
  <c r="AY3072" i="1"/>
  <c r="AY3073" i="1"/>
  <c r="AY3074" i="1"/>
  <c r="AY3075" i="1"/>
  <c r="AY3076" i="1"/>
  <c r="AY3077" i="1"/>
  <c r="AY3078" i="1"/>
  <c r="AY3079" i="1"/>
  <c r="AY3080" i="1"/>
  <c r="AY3081" i="1"/>
  <c r="AY3082" i="1"/>
  <c r="AY3083" i="1"/>
  <c r="AY3084" i="1"/>
  <c r="AY3085" i="1"/>
  <c r="AY3086" i="1"/>
  <c r="AY3087" i="1"/>
  <c r="AY3088" i="1"/>
  <c r="AY3089" i="1"/>
  <c r="AY3090" i="1"/>
  <c r="AY3091" i="1"/>
  <c r="AY3092" i="1"/>
  <c r="AY3093" i="1"/>
  <c r="AY3094" i="1"/>
  <c r="AY3095" i="1"/>
  <c r="AY3096" i="1"/>
  <c r="AY3097" i="1"/>
  <c r="AY3098" i="1"/>
  <c r="AY3099" i="1"/>
  <c r="AY3100" i="1"/>
  <c r="AY3101" i="1"/>
  <c r="AY3102" i="1"/>
  <c r="AY3103" i="1"/>
  <c r="AY3104" i="1"/>
  <c r="AY3105" i="1"/>
  <c r="AY3106" i="1"/>
  <c r="AY3107" i="1"/>
  <c r="AY3108" i="1"/>
  <c r="AY3109" i="1"/>
  <c r="AY3110" i="1"/>
  <c r="AY3111" i="1"/>
  <c r="AY3112" i="1"/>
  <c r="AY3113" i="1"/>
  <c r="AY3114" i="1"/>
  <c r="AY3115" i="1"/>
  <c r="AY3116" i="1"/>
  <c r="AY3117" i="1"/>
  <c r="AY3118" i="1"/>
  <c r="AY3119" i="1"/>
  <c r="AY3120" i="1"/>
  <c r="AY3121" i="1"/>
  <c r="AY3122" i="1"/>
  <c r="AY3123" i="1"/>
  <c r="AY3124" i="1"/>
  <c r="AY3125" i="1"/>
  <c r="AY3126" i="1"/>
  <c r="AY3127" i="1"/>
  <c r="AY3128" i="1"/>
  <c r="AY3129" i="1"/>
  <c r="AY3130" i="1"/>
  <c r="AY3131" i="1"/>
  <c r="AY3132" i="1"/>
  <c r="AY3133" i="1"/>
  <c r="AY3134" i="1"/>
  <c r="AY3135" i="1"/>
  <c r="AY3136" i="1"/>
  <c r="AY3137" i="1"/>
  <c r="AY3138" i="1"/>
  <c r="AY3139" i="1"/>
  <c r="AY3140" i="1"/>
  <c r="AY3141" i="1"/>
  <c r="AY3142" i="1"/>
  <c r="AY3143" i="1"/>
  <c r="AY3144" i="1"/>
  <c r="AY3145" i="1"/>
  <c r="AY3146" i="1"/>
  <c r="AY3147" i="1"/>
  <c r="AY3148" i="1"/>
  <c r="AY3149" i="1"/>
  <c r="AY3150" i="1"/>
  <c r="AY3151" i="1"/>
  <c r="AY3152" i="1"/>
  <c r="AY3153" i="1"/>
  <c r="AY3154" i="1"/>
  <c r="AY3155" i="1"/>
  <c r="AY3156" i="1"/>
  <c r="AY3157" i="1"/>
  <c r="AY3158" i="1"/>
  <c r="AY3159" i="1"/>
  <c r="AY3160" i="1"/>
  <c r="AY3161" i="1"/>
  <c r="AY3162" i="1"/>
  <c r="AY3163" i="1"/>
  <c r="AY3164" i="1"/>
  <c r="AY3165" i="1"/>
  <c r="AY3166" i="1"/>
  <c r="AY3167" i="1"/>
  <c r="AY3168" i="1"/>
  <c r="AY3169" i="1"/>
  <c r="AY3170" i="1"/>
  <c r="AY3171" i="1"/>
  <c r="AY3172" i="1"/>
  <c r="AY3173" i="1"/>
  <c r="AY3174" i="1"/>
  <c r="AY3175" i="1"/>
  <c r="AY3176" i="1"/>
  <c r="AY3177" i="1"/>
  <c r="AY3178" i="1"/>
  <c r="AY3179" i="1"/>
  <c r="AY3180" i="1"/>
  <c r="AY3181" i="1"/>
  <c r="AY3182" i="1"/>
  <c r="AY3183" i="1"/>
  <c r="AY3184" i="1"/>
  <c r="AY3185" i="1"/>
  <c r="AY3186" i="1"/>
  <c r="AY3187" i="1"/>
  <c r="AY3188" i="1"/>
  <c r="AY3189" i="1"/>
  <c r="AY3190" i="1"/>
  <c r="AY3191" i="1"/>
  <c r="AY3192" i="1"/>
  <c r="AY3193" i="1"/>
  <c r="AY3194" i="1"/>
  <c r="AY3195" i="1"/>
  <c r="AY3196" i="1"/>
  <c r="AY3197" i="1"/>
  <c r="AY3198" i="1"/>
  <c r="AY3199" i="1"/>
  <c r="AY3200" i="1"/>
  <c r="AY3201" i="1"/>
  <c r="AY3202" i="1"/>
  <c r="AY3203" i="1"/>
  <c r="AY3204" i="1"/>
  <c r="AY3205" i="1"/>
  <c r="AY3206" i="1"/>
  <c r="AY3207" i="1"/>
  <c r="AY3208" i="1"/>
  <c r="AY3209" i="1"/>
  <c r="AY3210" i="1"/>
  <c r="AY3211" i="1"/>
  <c r="AY3212" i="1"/>
  <c r="AY3213" i="1"/>
  <c r="AY3214" i="1"/>
  <c r="AY3215" i="1"/>
  <c r="AY3216" i="1"/>
  <c r="AY3217" i="1"/>
  <c r="AY3218" i="1"/>
  <c r="AY3219" i="1"/>
  <c r="AY3220" i="1"/>
  <c r="AY3221" i="1"/>
  <c r="AY3222" i="1"/>
  <c r="AY3223" i="1"/>
  <c r="AY3224" i="1"/>
  <c r="AY3225" i="1"/>
  <c r="AY3226" i="1"/>
  <c r="AY3227" i="1"/>
  <c r="AY3228" i="1"/>
  <c r="AY3229" i="1"/>
  <c r="AY3230" i="1"/>
  <c r="AY3231" i="1"/>
  <c r="AY3232" i="1"/>
  <c r="AY3233" i="1"/>
  <c r="AY3234" i="1"/>
  <c r="AY3235" i="1"/>
  <c r="AY3236" i="1"/>
  <c r="AY3237" i="1"/>
  <c r="AY3238" i="1"/>
  <c r="AY3239" i="1"/>
  <c r="AY3240" i="1"/>
  <c r="AY3241" i="1"/>
  <c r="AY3242" i="1"/>
  <c r="AY3243" i="1"/>
  <c r="AY3244" i="1"/>
  <c r="AY3245" i="1"/>
  <c r="AY3246" i="1"/>
  <c r="AY3247" i="1"/>
  <c r="AY3248" i="1"/>
  <c r="AY3249" i="1"/>
  <c r="AY3250" i="1"/>
  <c r="AY3251" i="1"/>
  <c r="AY3252" i="1"/>
  <c r="AY3253" i="1"/>
  <c r="AY3254" i="1"/>
  <c r="AY3255" i="1"/>
  <c r="AY3256" i="1"/>
  <c r="AY3257" i="1"/>
  <c r="AY3258" i="1"/>
  <c r="AY3259" i="1"/>
  <c r="AY3260" i="1"/>
  <c r="AY3261" i="1"/>
  <c r="AY3262" i="1"/>
  <c r="AY3263" i="1"/>
  <c r="AY3264" i="1"/>
  <c r="AY3265" i="1"/>
  <c r="AY3266" i="1"/>
  <c r="AY3267" i="1"/>
  <c r="AY3268" i="1"/>
  <c r="AY3269" i="1"/>
  <c r="AY3270" i="1"/>
  <c r="AY3271" i="1"/>
  <c r="AY3272" i="1"/>
  <c r="AY3273" i="1"/>
  <c r="AY3274" i="1"/>
  <c r="AY3275" i="1"/>
  <c r="AY3276" i="1"/>
  <c r="AY3277" i="1"/>
  <c r="AY3278" i="1"/>
  <c r="AY3279" i="1"/>
  <c r="AY3280" i="1"/>
  <c r="AY3281" i="1"/>
  <c r="AY3282" i="1"/>
  <c r="AY3283" i="1"/>
  <c r="AY3284" i="1"/>
  <c r="AY3285" i="1"/>
  <c r="AY3286" i="1"/>
  <c r="AY3287" i="1"/>
  <c r="AY3288" i="1"/>
  <c r="AY3289" i="1"/>
  <c r="AY3290" i="1"/>
  <c r="AY3291" i="1"/>
  <c r="AY3292" i="1"/>
  <c r="AY3293" i="1"/>
  <c r="AY3294" i="1"/>
  <c r="AY3295" i="1"/>
  <c r="AY3296" i="1"/>
  <c r="AY3297" i="1"/>
  <c r="AY3298" i="1"/>
  <c r="AY3299" i="1"/>
  <c r="AY3300" i="1"/>
  <c r="AY3301" i="1"/>
  <c r="AY3302" i="1"/>
  <c r="AY3303" i="1"/>
  <c r="AY3304" i="1"/>
  <c r="AY3305" i="1"/>
  <c r="AY3306" i="1"/>
  <c r="AY3307" i="1"/>
  <c r="AY3308" i="1"/>
  <c r="AY3309" i="1"/>
  <c r="AY3310" i="1"/>
  <c r="AY3311" i="1"/>
  <c r="AY3312" i="1"/>
  <c r="AY3313" i="1"/>
  <c r="AY3314" i="1"/>
  <c r="AY3315" i="1"/>
  <c r="AY3316" i="1"/>
  <c r="AY3317" i="1"/>
  <c r="AY3318" i="1"/>
  <c r="AY3319" i="1"/>
  <c r="AY3320" i="1"/>
  <c r="AY3321" i="1"/>
  <c r="AY3322" i="1"/>
  <c r="AY3323" i="1"/>
  <c r="AY3324" i="1"/>
  <c r="AY3325" i="1"/>
  <c r="AY3326" i="1"/>
  <c r="AY3327" i="1"/>
  <c r="AY3328" i="1"/>
  <c r="AY3329" i="1"/>
  <c r="AY3330" i="1"/>
  <c r="AY3331" i="1"/>
  <c r="AY3332" i="1"/>
  <c r="AY3333" i="1"/>
  <c r="AY3334" i="1"/>
  <c r="AY3335" i="1"/>
  <c r="AY3336" i="1"/>
  <c r="AY3337" i="1"/>
  <c r="AY3338" i="1"/>
  <c r="AY3339" i="1"/>
  <c r="AY3340" i="1"/>
  <c r="AY3341" i="1"/>
  <c r="AY3342" i="1"/>
  <c r="AY3343" i="1"/>
  <c r="AY3344" i="1"/>
  <c r="AY3345" i="1"/>
  <c r="AY3346" i="1"/>
  <c r="AY3347" i="1"/>
  <c r="AY3348" i="1"/>
  <c r="AY3349" i="1"/>
  <c r="AY3350" i="1"/>
  <c r="AY3351" i="1"/>
  <c r="AY3352" i="1"/>
  <c r="AY3353" i="1"/>
  <c r="AY3354" i="1"/>
  <c r="AY3355" i="1"/>
  <c r="AY3356" i="1"/>
  <c r="AY3357" i="1"/>
  <c r="AY3358" i="1"/>
  <c r="AY3359" i="1"/>
  <c r="AY3360" i="1"/>
  <c r="AY3361" i="1"/>
  <c r="AY3362" i="1"/>
  <c r="AY3363" i="1"/>
  <c r="AY3364" i="1"/>
  <c r="AY3365" i="1"/>
  <c r="AY3366" i="1"/>
  <c r="AY3367" i="1"/>
  <c r="AY3368" i="1"/>
  <c r="AY3369" i="1"/>
  <c r="AY3370" i="1"/>
  <c r="AY3371" i="1"/>
  <c r="AY3372" i="1"/>
  <c r="AY3373" i="1"/>
  <c r="AY3374" i="1"/>
  <c r="AY3375" i="1"/>
  <c r="AY3376" i="1"/>
  <c r="AY3377" i="1"/>
  <c r="AY3378" i="1"/>
  <c r="AY3379" i="1"/>
  <c r="AY3380" i="1"/>
  <c r="AY3381" i="1"/>
  <c r="AY3382" i="1"/>
  <c r="AY3383" i="1"/>
  <c r="AY3384" i="1"/>
  <c r="AY3385" i="1"/>
  <c r="AY3386" i="1"/>
  <c r="AY3387" i="1"/>
  <c r="AY3388" i="1"/>
  <c r="AY3389" i="1"/>
  <c r="AY3390" i="1"/>
  <c r="AY3391" i="1"/>
  <c r="AY3392" i="1"/>
  <c r="AY3393" i="1"/>
  <c r="AY3394" i="1"/>
  <c r="AY3395" i="1"/>
  <c r="AY3396" i="1"/>
  <c r="AY3397" i="1"/>
  <c r="AY3398" i="1"/>
  <c r="AY3399" i="1"/>
  <c r="AY3400" i="1"/>
  <c r="AY3401" i="1"/>
  <c r="AY3402" i="1"/>
  <c r="AY3403" i="1"/>
  <c r="AY3404" i="1"/>
  <c r="AY3405" i="1"/>
  <c r="AY3406" i="1"/>
  <c r="AY3407" i="1"/>
  <c r="AY3408" i="1"/>
  <c r="AY3409" i="1"/>
  <c r="AY3410" i="1"/>
  <c r="AY3411" i="1"/>
  <c r="AY3412" i="1"/>
  <c r="AY3413" i="1"/>
  <c r="AY3414" i="1"/>
  <c r="AY3415" i="1"/>
  <c r="AY3416" i="1"/>
  <c r="AY3417" i="1"/>
  <c r="AY3418" i="1"/>
  <c r="AY3419" i="1"/>
  <c r="AY3420" i="1"/>
  <c r="AY3421" i="1"/>
  <c r="AY3422" i="1"/>
  <c r="AY3423" i="1"/>
  <c r="AY3424" i="1"/>
  <c r="AY3425" i="1"/>
  <c r="AY3426" i="1"/>
  <c r="AY3427" i="1"/>
  <c r="AY3428" i="1"/>
  <c r="AY3429" i="1"/>
  <c r="AY3430" i="1"/>
  <c r="AY3431" i="1"/>
  <c r="AY3432" i="1"/>
  <c r="AY3433" i="1"/>
  <c r="AY3434" i="1"/>
  <c r="AY3435" i="1"/>
  <c r="AY3436" i="1"/>
  <c r="AY3437" i="1"/>
  <c r="AY3438" i="1"/>
  <c r="AY3439" i="1"/>
  <c r="AY3440" i="1"/>
  <c r="AY3441" i="1"/>
  <c r="AY3442" i="1"/>
  <c r="AY3443" i="1"/>
  <c r="AY3444" i="1"/>
  <c r="AY3445" i="1"/>
  <c r="AY3446" i="1"/>
  <c r="AY3447" i="1"/>
  <c r="AY3448" i="1"/>
  <c r="AY3449" i="1"/>
  <c r="AY3450" i="1"/>
  <c r="AY3451" i="1"/>
  <c r="AY3452" i="1"/>
  <c r="AY3453" i="1"/>
  <c r="AY3454" i="1"/>
  <c r="AY3455" i="1"/>
  <c r="AY3456" i="1"/>
  <c r="AY3457" i="1"/>
  <c r="AY3458" i="1"/>
  <c r="AY3459" i="1"/>
  <c r="AY3460" i="1"/>
  <c r="AY3461" i="1"/>
  <c r="AY3462" i="1"/>
  <c r="AY3463" i="1"/>
  <c r="AY3464" i="1"/>
  <c r="AY3465" i="1"/>
  <c r="AY3466" i="1"/>
  <c r="AY3467" i="1"/>
  <c r="AY3468" i="1"/>
  <c r="AY3469" i="1"/>
  <c r="AY3470" i="1"/>
  <c r="AY3471" i="1"/>
  <c r="AY3472" i="1"/>
  <c r="AY3473" i="1"/>
  <c r="AY3474" i="1"/>
  <c r="AY3475" i="1"/>
  <c r="AY3476" i="1"/>
  <c r="AY3477" i="1"/>
  <c r="AY3478" i="1"/>
  <c r="AY3479" i="1"/>
  <c r="AY3480" i="1"/>
  <c r="AY3481" i="1"/>
  <c r="AY3482" i="1"/>
  <c r="AY3483" i="1"/>
  <c r="AY3484" i="1"/>
  <c r="AY3485" i="1"/>
  <c r="AY3486" i="1"/>
  <c r="AY3487" i="1"/>
  <c r="AY3488" i="1"/>
  <c r="AY3489" i="1"/>
  <c r="AY3490" i="1"/>
  <c r="AY3491" i="1"/>
  <c r="AY3492" i="1"/>
  <c r="AY3493" i="1"/>
  <c r="AY3494" i="1"/>
  <c r="AY3495" i="1"/>
  <c r="AY3496" i="1"/>
  <c r="AY3497" i="1"/>
  <c r="AY3498" i="1"/>
  <c r="AY3499" i="1"/>
  <c r="AY3500" i="1"/>
  <c r="AY3501" i="1"/>
  <c r="AY3502" i="1"/>
  <c r="AY3503" i="1"/>
  <c r="AY3504" i="1"/>
  <c r="AY3505" i="1"/>
  <c r="AY3506" i="1"/>
  <c r="AY3507" i="1"/>
  <c r="AY3508" i="1"/>
  <c r="AY3509" i="1"/>
  <c r="AY3510" i="1"/>
  <c r="AY3511" i="1"/>
  <c r="AY3512" i="1"/>
  <c r="AY3513" i="1"/>
  <c r="AY3514" i="1"/>
  <c r="AY3515" i="1"/>
  <c r="AY3516" i="1"/>
  <c r="AY3517" i="1"/>
  <c r="AY3518" i="1"/>
  <c r="AY3519" i="1"/>
  <c r="AY3520" i="1"/>
  <c r="AY3521" i="1"/>
  <c r="AY3522" i="1"/>
  <c r="AY3523" i="1"/>
  <c r="AY3524" i="1"/>
  <c r="AY3525" i="1"/>
  <c r="AY3526" i="1"/>
  <c r="AY3527" i="1"/>
  <c r="AY3528" i="1"/>
  <c r="AY3529" i="1"/>
  <c r="AY3530" i="1"/>
  <c r="AY3531" i="1"/>
  <c r="AY3532" i="1"/>
  <c r="AY3533" i="1"/>
  <c r="AY3534" i="1"/>
  <c r="AY3535" i="1"/>
  <c r="AY3536" i="1"/>
  <c r="AY3537" i="1"/>
  <c r="AY3538" i="1"/>
  <c r="AY3539" i="1"/>
  <c r="AY3540" i="1"/>
  <c r="AY3541" i="1"/>
  <c r="AY3542" i="1"/>
  <c r="AY3543" i="1"/>
  <c r="AY3544" i="1"/>
  <c r="AY3545" i="1"/>
  <c r="AY3546" i="1"/>
  <c r="AY3547" i="1"/>
  <c r="AY3548" i="1"/>
  <c r="AY3549" i="1"/>
  <c r="AY3550" i="1"/>
  <c r="AY3551" i="1"/>
  <c r="AY3552" i="1"/>
  <c r="AY3553" i="1"/>
  <c r="AY3554" i="1"/>
  <c r="AY3555" i="1"/>
  <c r="AY3556" i="1"/>
  <c r="AY3557" i="1"/>
  <c r="AY3558" i="1"/>
  <c r="AY3559" i="1"/>
  <c r="AY3560" i="1"/>
  <c r="AY3561" i="1"/>
  <c r="AY3562" i="1"/>
  <c r="AY3563" i="1"/>
  <c r="AY3564" i="1"/>
  <c r="AY3565" i="1"/>
  <c r="AY3566" i="1"/>
  <c r="AY3567" i="1"/>
  <c r="AY3568" i="1"/>
  <c r="AY3569" i="1"/>
  <c r="AY3570" i="1"/>
  <c r="AY3571" i="1"/>
  <c r="AY3572" i="1"/>
  <c r="AY3573" i="1"/>
  <c r="AY3574" i="1"/>
  <c r="AY3575" i="1"/>
  <c r="AY3576" i="1"/>
  <c r="AY3577" i="1"/>
  <c r="AY3578" i="1"/>
  <c r="AY3579" i="1"/>
  <c r="AY3580" i="1"/>
  <c r="AY3581" i="1"/>
  <c r="AY3582" i="1"/>
  <c r="AY3583" i="1"/>
  <c r="AY3584" i="1"/>
  <c r="AY3585" i="1"/>
  <c r="AY3586" i="1"/>
  <c r="AY3587" i="1"/>
  <c r="AY3588" i="1"/>
  <c r="AY3589" i="1"/>
  <c r="AY3590" i="1"/>
  <c r="AY3591" i="1"/>
  <c r="AY3592" i="1"/>
  <c r="AY3593" i="1"/>
  <c r="AY3594" i="1"/>
  <c r="AY3595" i="1"/>
  <c r="AY3596" i="1"/>
  <c r="AY3597" i="1"/>
  <c r="AY3598" i="1"/>
  <c r="AY3599" i="1"/>
  <c r="AY3600" i="1"/>
  <c r="AY3601" i="1"/>
  <c r="AY3602" i="1"/>
  <c r="AY3603" i="1"/>
  <c r="AY3604" i="1"/>
  <c r="AY3605" i="1"/>
  <c r="AY3606" i="1"/>
  <c r="AY3607" i="1"/>
  <c r="AY3608" i="1"/>
  <c r="AY3609" i="1"/>
  <c r="AY3610" i="1"/>
  <c r="AY3611" i="1"/>
  <c r="AY3612" i="1"/>
  <c r="AY3613" i="1"/>
  <c r="AY3614" i="1"/>
  <c r="AY3615" i="1"/>
  <c r="AY3616" i="1"/>
  <c r="AY3617" i="1"/>
  <c r="AY3618" i="1"/>
  <c r="AY3619" i="1"/>
  <c r="AY3620" i="1"/>
  <c r="AY3621" i="1"/>
  <c r="AY3622" i="1"/>
  <c r="AY3623" i="1"/>
  <c r="AY3624" i="1"/>
  <c r="AY3625" i="1"/>
  <c r="AY3626" i="1"/>
  <c r="AY3627" i="1"/>
  <c r="AY3628" i="1"/>
  <c r="AY3629" i="1"/>
  <c r="AY3630" i="1"/>
  <c r="AY3631" i="1"/>
  <c r="AY3632" i="1"/>
  <c r="AY3633" i="1"/>
  <c r="AY3634" i="1"/>
  <c r="AY3635" i="1"/>
  <c r="AY3636" i="1"/>
  <c r="AY3637" i="1"/>
  <c r="AY3638" i="1"/>
  <c r="AY3639" i="1"/>
  <c r="AY3640" i="1"/>
  <c r="AY3641" i="1"/>
  <c r="AY3642" i="1"/>
  <c r="AY3643" i="1"/>
  <c r="AY3644" i="1"/>
  <c r="AY3645" i="1"/>
  <c r="AY3646" i="1"/>
  <c r="AY3647" i="1"/>
  <c r="AY3648" i="1"/>
  <c r="AY3649" i="1"/>
  <c r="AY3650" i="1"/>
  <c r="AY3651" i="1"/>
  <c r="AY3652" i="1"/>
  <c r="AY3653" i="1"/>
  <c r="AY3654" i="1"/>
  <c r="AY3655" i="1"/>
  <c r="AY3656" i="1"/>
  <c r="AY3657" i="1"/>
  <c r="AY3658" i="1"/>
  <c r="AY3659" i="1"/>
  <c r="AY3660" i="1"/>
  <c r="AY3661" i="1"/>
  <c r="AY3662" i="1"/>
  <c r="AY3663" i="1"/>
  <c r="AY3664" i="1"/>
  <c r="AY3665" i="1"/>
  <c r="AY3666" i="1"/>
  <c r="AY3667" i="1"/>
  <c r="AY3668" i="1"/>
  <c r="AY3669" i="1"/>
  <c r="AY3670" i="1"/>
  <c r="AY3671" i="1"/>
  <c r="AY3672" i="1"/>
  <c r="AY3673" i="1"/>
  <c r="AY3674" i="1"/>
  <c r="AY3675" i="1"/>
  <c r="AY3676" i="1"/>
  <c r="AY3677" i="1"/>
  <c r="AY3678" i="1"/>
  <c r="AY3679" i="1"/>
  <c r="AY3680" i="1"/>
  <c r="AY3681" i="1"/>
  <c r="AY3682" i="1"/>
  <c r="AY3683" i="1"/>
  <c r="AY3684" i="1"/>
  <c r="AY3685" i="1"/>
  <c r="AY3686" i="1"/>
  <c r="AY3687" i="1"/>
  <c r="AY3688" i="1"/>
  <c r="AY3689" i="1"/>
  <c r="AY3690" i="1"/>
  <c r="AY3691" i="1"/>
  <c r="AY3692" i="1"/>
  <c r="AY3693" i="1"/>
  <c r="AY3694" i="1"/>
  <c r="AY3695" i="1"/>
  <c r="AY3696" i="1"/>
  <c r="AY3697" i="1"/>
  <c r="AY3698" i="1"/>
  <c r="AY3699" i="1"/>
  <c r="AY3700" i="1"/>
  <c r="AY3701" i="1"/>
  <c r="AY3702" i="1"/>
  <c r="AY3703" i="1"/>
  <c r="AY3704" i="1"/>
  <c r="AY3705" i="1"/>
  <c r="AY3706" i="1"/>
  <c r="AY3707" i="1"/>
  <c r="AY3708" i="1"/>
  <c r="AY3709" i="1"/>
  <c r="AY3710" i="1"/>
  <c r="AY3711" i="1"/>
  <c r="AY3712" i="1"/>
  <c r="AY3713" i="1"/>
  <c r="AY3714" i="1"/>
  <c r="AY3715" i="1"/>
  <c r="AY3716" i="1"/>
  <c r="AY3717" i="1"/>
  <c r="AY3718" i="1"/>
  <c r="AY3719" i="1"/>
  <c r="AY3720" i="1"/>
  <c r="AY3721" i="1"/>
  <c r="AY3722" i="1"/>
  <c r="AY3723" i="1"/>
  <c r="AY3724" i="1"/>
  <c r="AY3725" i="1"/>
  <c r="AY3726" i="1"/>
  <c r="AY3727" i="1"/>
  <c r="AY3728" i="1"/>
  <c r="AY3729" i="1"/>
  <c r="AY3730" i="1"/>
  <c r="AY3731" i="1"/>
  <c r="AY3732" i="1"/>
  <c r="AY3733" i="1"/>
  <c r="AY3734" i="1"/>
  <c r="AY3735" i="1"/>
  <c r="AY3736" i="1"/>
  <c r="AY3737" i="1"/>
  <c r="AY3738" i="1"/>
  <c r="AY3739" i="1"/>
  <c r="AY3740" i="1"/>
  <c r="AY3741" i="1"/>
  <c r="AY3742" i="1"/>
  <c r="AY3743" i="1"/>
  <c r="AY3744" i="1"/>
  <c r="AY3745" i="1"/>
  <c r="AY3746" i="1"/>
  <c r="AY3747" i="1"/>
  <c r="AY3748" i="1"/>
  <c r="AY3749" i="1"/>
  <c r="AY3750" i="1"/>
  <c r="AY3751" i="1"/>
  <c r="AY3752" i="1"/>
  <c r="AY3753" i="1"/>
  <c r="AY3754" i="1"/>
  <c r="AY3755" i="1"/>
  <c r="AY3756" i="1"/>
  <c r="AY3757" i="1"/>
  <c r="AY3758" i="1"/>
  <c r="AY3759" i="1"/>
  <c r="AY3760" i="1"/>
  <c r="AY3761" i="1"/>
  <c r="AY3762" i="1"/>
  <c r="AY3763" i="1"/>
  <c r="AY3764" i="1"/>
  <c r="AY3765" i="1"/>
  <c r="AY3766" i="1"/>
  <c r="AY3767" i="1"/>
  <c r="AY3768" i="1"/>
  <c r="AY3769" i="1"/>
  <c r="AY3770" i="1"/>
  <c r="AY3771" i="1"/>
  <c r="AY3772" i="1"/>
  <c r="AY3773" i="1"/>
  <c r="AY3774" i="1"/>
  <c r="AY3775" i="1"/>
  <c r="AY3776" i="1"/>
  <c r="AY3777" i="1"/>
  <c r="AY3778" i="1"/>
  <c r="AY3779" i="1"/>
  <c r="AY3780" i="1"/>
  <c r="AY3781" i="1"/>
  <c r="AY3782" i="1"/>
  <c r="AY3783" i="1"/>
  <c r="AY3784" i="1"/>
  <c r="AY3785" i="1"/>
  <c r="AY3786" i="1"/>
  <c r="AY3787" i="1"/>
  <c r="AY3788" i="1"/>
  <c r="AY3789" i="1"/>
  <c r="AY3790" i="1"/>
  <c r="AY3791" i="1"/>
  <c r="AY3792" i="1"/>
  <c r="AY3793" i="1"/>
  <c r="AY3794" i="1"/>
  <c r="AY3795" i="1"/>
  <c r="AY3796" i="1"/>
  <c r="AY3797" i="1"/>
  <c r="AY3798" i="1"/>
  <c r="AY3799" i="1"/>
  <c r="AY3800" i="1"/>
  <c r="AY3801" i="1"/>
  <c r="AY3802" i="1"/>
  <c r="AY3803" i="1"/>
  <c r="AY3804" i="1"/>
  <c r="AY3805" i="1"/>
  <c r="AY3806" i="1"/>
  <c r="AY3807" i="1"/>
  <c r="AY3808" i="1"/>
  <c r="AY3809" i="1"/>
  <c r="AY3810" i="1"/>
  <c r="AY3811" i="1"/>
  <c r="AY3812" i="1"/>
  <c r="AY3813" i="1"/>
  <c r="AY3814" i="1"/>
  <c r="AY3815" i="1"/>
  <c r="AY3816" i="1"/>
  <c r="AY3817" i="1"/>
  <c r="AY3818" i="1"/>
  <c r="AY3819" i="1"/>
  <c r="AY3820" i="1"/>
  <c r="AY3821" i="1"/>
  <c r="AY3822" i="1"/>
  <c r="AY3823" i="1"/>
  <c r="AY3824" i="1"/>
  <c r="AY3825" i="1"/>
  <c r="AY3826" i="1"/>
  <c r="AY3827" i="1"/>
  <c r="AY3828" i="1"/>
  <c r="AY3829" i="1"/>
  <c r="AY3830" i="1"/>
  <c r="AY3831" i="1"/>
  <c r="AY3832" i="1"/>
  <c r="AY3833" i="1"/>
  <c r="AY3834" i="1"/>
  <c r="AY3835" i="1"/>
  <c r="AY3836" i="1"/>
  <c r="AY3837" i="1"/>
  <c r="AY3838" i="1"/>
  <c r="AY3839" i="1"/>
  <c r="AY3840" i="1"/>
  <c r="AY3841" i="1"/>
  <c r="AY3842" i="1"/>
  <c r="AY3843" i="1"/>
  <c r="AY3844" i="1"/>
  <c r="AY3845" i="1"/>
  <c r="AY3846" i="1"/>
  <c r="AY3847" i="1"/>
  <c r="AY3848" i="1"/>
  <c r="AY3849" i="1"/>
  <c r="AY3850" i="1"/>
  <c r="AY3851" i="1"/>
  <c r="AY3852" i="1"/>
  <c r="AY3853" i="1"/>
  <c r="AY3854" i="1"/>
  <c r="AY3855" i="1"/>
  <c r="AY3856" i="1"/>
  <c r="AY3857" i="1"/>
  <c r="AY3858" i="1"/>
  <c r="AY3859" i="1"/>
  <c r="AY3860" i="1"/>
  <c r="AY3861" i="1"/>
  <c r="AY3862" i="1"/>
  <c r="AY3863" i="1"/>
  <c r="AY3864" i="1"/>
  <c r="AY3865" i="1"/>
  <c r="AY3866" i="1"/>
  <c r="AY3867" i="1"/>
  <c r="AY3868" i="1"/>
  <c r="AY3869" i="1"/>
  <c r="AY3870" i="1"/>
  <c r="AY3871" i="1"/>
  <c r="AY3872" i="1"/>
  <c r="AY3873" i="1"/>
  <c r="AY3874" i="1"/>
  <c r="AY3875" i="1"/>
  <c r="AY3876" i="1"/>
  <c r="AY3877" i="1"/>
  <c r="AY3878" i="1"/>
  <c r="AY3879" i="1"/>
  <c r="AY3880" i="1"/>
  <c r="AY3881" i="1"/>
  <c r="AY3882" i="1"/>
  <c r="AY3883" i="1"/>
  <c r="AY3884" i="1"/>
  <c r="AY3885" i="1"/>
  <c r="AY3886" i="1"/>
  <c r="AY3887" i="1"/>
  <c r="AY3888" i="1"/>
  <c r="AY3889" i="1"/>
  <c r="AY3890" i="1"/>
  <c r="AY3891" i="1"/>
  <c r="AY3892" i="1"/>
  <c r="AY3893" i="1"/>
  <c r="AY3894" i="1"/>
  <c r="AY3895" i="1"/>
  <c r="AY3896" i="1"/>
  <c r="AY3897" i="1"/>
  <c r="AY3898" i="1"/>
  <c r="AY3899" i="1"/>
  <c r="AY3900" i="1"/>
  <c r="AY3901" i="1"/>
  <c r="AY3902" i="1"/>
  <c r="AY3903" i="1"/>
  <c r="AY3904" i="1"/>
  <c r="AY3905" i="1"/>
  <c r="AY3906" i="1"/>
  <c r="AY3907" i="1"/>
  <c r="AY3908" i="1"/>
  <c r="AY3909" i="1"/>
  <c r="AY3910" i="1"/>
  <c r="AY3911" i="1"/>
  <c r="AY3912" i="1"/>
  <c r="AY3913" i="1"/>
  <c r="AY3914" i="1"/>
  <c r="AY3915" i="1"/>
  <c r="AY3916" i="1"/>
  <c r="AY3917" i="1"/>
  <c r="AY3918" i="1"/>
  <c r="AY3919" i="1"/>
  <c r="AY3920" i="1"/>
  <c r="AY3921" i="1"/>
  <c r="AY3922" i="1"/>
  <c r="AY3923" i="1"/>
  <c r="AY3924" i="1"/>
  <c r="AY3925" i="1"/>
  <c r="AY3926" i="1"/>
  <c r="AY3927" i="1"/>
  <c r="AY3928" i="1"/>
  <c r="AY3929" i="1"/>
  <c r="AY3930" i="1"/>
  <c r="AY3931" i="1"/>
  <c r="AY3932" i="1"/>
  <c r="AY3933" i="1"/>
  <c r="AY3934" i="1"/>
  <c r="AY3935" i="1"/>
  <c r="AY3936" i="1"/>
  <c r="AY3937" i="1"/>
  <c r="AY3938" i="1"/>
  <c r="AY3939" i="1"/>
  <c r="AY3940" i="1"/>
  <c r="AY3941" i="1"/>
  <c r="AY3942" i="1"/>
  <c r="AY3943" i="1"/>
  <c r="AY3944" i="1"/>
  <c r="AY3945" i="1"/>
  <c r="AY3946" i="1"/>
  <c r="AY3947" i="1"/>
  <c r="AY3948" i="1"/>
  <c r="AY3949" i="1"/>
  <c r="AY3950" i="1"/>
  <c r="AY3951" i="1"/>
  <c r="AY3952" i="1"/>
  <c r="AY3953" i="1"/>
  <c r="AY3954" i="1"/>
  <c r="AY3955" i="1"/>
  <c r="AY3956" i="1"/>
  <c r="AY3957" i="1"/>
  <c r="AY3958" i="1"/>
  <c r="AY3959" i="1"/>
  <c r="AY3960" i="1"/>
  <c r="AY3961" i="1"/>
  <c r="AY3962" i="1"/>
  <c r="AY3963" i="1"/>
  <c r="AY3964" i="1"/>
  <c r="AY3965" i="1"/>
  <c r="AY3966" i="1"/>
  <c r="AY3967" i="1"/>
  <c r="AY3968" i="1"/>
  <c r="AY3969" i="1"/>
  <c r="AY3970" i="1"/>
  <c r="AY3971" i="1"/>
  <c r="AY3972" i="1"/>
  <c r="AY3973" i="1"/>
  <c r="AY3974" i="1"/>
  <c r="AY3975" i="1"/>
  <c r="AY3976" i="1"/>
  <c r="AY3977" i="1"/>
  <c r="AY3978" i="1"/>
  <c r="AY3979" i="1"/>
  <c r="AY3980" i="1"/>
  <c r="AY3981" i="1"/>
  <c r="AY3982" i="1"/>
  <c r="AY3983" i="1"/>
  <c r="AY3984" i="1"/>
  <c r="AY3985" i="1"/>
  <c r="AY3986" i="1"/>
  <c r="AY3987" i="1"/>
  <c r="AY3988" i="1"/>
  <c r="AY3989" i="1"/>
  <c r="AY3990" i="1"/>
  <c r="AY3991" i="1"/>
  <c r="AY3992" i="1"/>
  <c r="AY3993" i="1"/>
  <c r="AY3994" i="1"/>
  <c r="AY3995" i="1"/>
  <c r="AY3996" i="1"/>
  <c r="AY3997" i="1"/>
  <c r="AY3998" i="1"/>
  <c r="AY3999" i="1"/>
  <c r="AY4000" i="1"/>
  <c r="AY4001" i="1"/>
  <c r="AY4002" i="1"/>
  <c r="AY4003" i="1"/>
  <c r="AY4004" i="1"/>
  <c r="AY4005" i="1"/>
  <c r="AY4006" i="1"/>
  <c r="AY4007" i="1"/>
  <c r="AY4008" i="1"/>
  <c r="AY4009" i="1"/>
  <c r="AY4010" i="1"/>
  <c r="AY4011" i="1"/>
  <c r="AY4012" i="1"/>
  <c r="AY4013" i="1"/>
  <c r="AY4014" i="1"/>
  <c r="AY4015" i="1"/>
  <c r="AY4016" i="1"/>
  <c r="AY4017" i="1"/>
  <c r="AY4018" i="1"/>
  <c r="AY4019" i="1"/>
  <c r="AY4020" i="1"/>
  <c r="AY4021" i="1"/>
  <c r="AY4022" i="1"/>
  <c r="AY4023" i="1"/>
  <c r="AY4024" i="1"/>
  <c r="AY4025" i="1"/>
  <c r="AY4026" i="1"/>
  <c r="AY4027" i="1"/>
  <c r="AY4028" i="1"/>
  <c r="AY4029" i="1"/>
  <c r="AY4030" i="1"/>
  <c r="AY4031" i="1"/>
  <c r="AY4032" i="1"/>
  <c r="AY4033" i="1"/>
  <c r="AY4034" i="1"/>
  <c r="AY4035" i="1"/>
  <c r="AY4036" i="1"/>
  <c r="AY4037" i="1"/>
  <c r="AY4038" i="1"/>
  <c r="AY4039" i="1"/>
  <c r="AY4040" i="1"/>
  <c r="AY4041" i="1"/>
  <c r="AY4042" i="1"/>
  <c r="AY4043" i="1"/>
  <c r="AY4044" i="1"/>
  <c r="AY4045" i="1"/>
  <c r="AY4046" i="1"/>
  <c r="AY4047" i="1"/>
  <c r="AY4048" i="1"/>
  <c r="AY4049" i="1"/>
  <c r="AY4050" i="1"/>
  <c r="AY4051" i="1"/>
  <c r="AY4052" i="1"/>
  <c r="AY4053" i="1"/>
  <c r="AY4054" i="1"/>
  <c r="AY4055" i="1"/>
  <c r="AY4056" i="1"/>
  <c r="AY4057" i="1"/>
  <c r="AY4058" i="1"/>
  <c r="AY4059" i="1"/>
  <c r="AY4060" i="1"/>
  <c r="AY4061" i="1"/>
  <c r="AY4062" i="1"/>
  <c r="AY4063" i="1"/>
  <c r="AY4064" i="1"/>
  <c r="AY4065" i="1"/>
  <c r="AY4066" i="1"/>
  <c r="AY4067" i="1"/>
  <c r="AY4068" i="1"/>
  <c r="AY4069" i="1"/>
  <c r="AY4070" i="1"/>
  <c r="AY4071" i="1"/>
  <c r="AY4072" i="1"/>
  <c r="AY4073" i="1"/>
  <c r="AY4074" i="1"/>
  <c r="AY4075" i="1"/>
  <c r="AY4076" i="1"/>
  <c r="AY4077" i="1"/>
  <c r="AY4078" i="1"/>
  <c r="AY4079" i="1"/>
  <c r="AY4080" i="1"/>
  <c r="AY4081" i="1"/>
  <c r="AY4082" i="1"/>
  <c r="AY4083" i="1"/>
  <c r="AY4084" i="1"/>
  <c r="AY4085" i="1"/>
  <c r="AY4086" i="1"/>
  <c r="AY4087" i="1"/>
  <c r="AY4088" i="1"/>
  <c r="AY4089" i="1"/>
  <c r="AY4090" i="1"/>
  <c r="AY4091" i="1"/>
  <c r="AY4092" i="1"/>
  <c r="AY4093" i="1"/>
  <c r="AY4094" i="1"/>
  <c r="AY4095" i="1"/>
  <c r="AY4096" i="1"/>
  <c r="AY4097" i="1"/>
  <c r="AY4098" i="1"/>
  <c r="AY4099" i="1"/>
  <c r="AY4100" i="1"/>
  <c r="AY4101" i="1"/>
  <c r="AY4102" i="1"/>
  <c r="AY4103" i="1"/>
  <c r="AY4104" i="1"/>
  <c r="AY4105" i="1"/>
  <c r="AY4106" i="1"/>
  <c r="AY4107" i="1"/>
  <c r="AY4108" i="1"/>
  <c r="AY4109" i="1"/>
  <c r="AY4110" i="1"/>
  <c r="AY4111" i="1"/>
  <c r="AY4112" i="1"/>
  <c r="AY4113" i="1"/>
  <c r="AY4114" i="1"/>
  <c r="AY4115" i="1"/>
  <c r="AY4116" i="1"/>
  <c r="AY4117" i="1"/>
  <c r="AY4118" i="1"/>
  <c r="AY4119" i="1"/>
  <c r="AY4120" i="1"/>
  <c r="AY4121" i="1"/>
  <c r="AY4122" i="1"/>
  <c r="AY4123" i="1"/>
  <c r="AY4124" i="1"/>
  <c r="AY4125" i="1"/>
  <c r="AY4126" i="1"/>
  <c r="AY4127" i="1"/>
  <c r="AY4128" i="1"/>
  <c r="AY4129" i="1"/>
  <c r="AY4130" i="1"/>
  <c r="AY4131" i="1"/>
  <c r="AY4132" i="1"/>
  <c r="AY4133" i="1"/>
  <c r="AY4134" i="1"/>
  <c r="AY4135" i="1"/>
  <c r="AY4136" i="1"/>
  <c r="AY4137" i="1"/>
  <c r="AY4138" i="1"/>
  <c r="AY4139" i="1"/>
  <c r="AY4140" i="1"/>
  <c r="AY4141" i="1"/>
  <c r="AY4142" i="1"/>
  <c r="AY4143" i="1"/>
  <c r="AY4144" i="1"/>
  <c r="AY4145" i="1"/>
  <c r="AY4146" i="1"/>
  <c r="AY4147" i="1"/>
  <c r="AY4148" i="1"/>
  <c r="AY4149" i="1"/>
  <c r="AY4150" i="1"/>
  <c r="AY4151" i="1"/>
  <c r="AY4152" i="1"/>
  <c r="AY4153" i="1"/>
  <c r="AY4154" i="1"/>
  <c r="AY4155" i="1"/>
  <c r="AY4156" i="1"/>
  <c r="AY4157" i="1"/>
  <c r="AY4158" i="1"/>
  <c r="AY4159" i="1"/>
  <c r="AY4160" i="1"/>
  <c r="AY4161" i="1"/>
  <c r="AY4162" i="1"/>
  <c r="AY4163" i="1"/>
  <c r="AY4164" i="1"/>
  <c r="AY4165" i="1"/>
  <c r="AY4166" i="1"/>
  <c r="AY4167" i="1"/>
  <c r="AY4168" i="1"/>
  <c r="AY4169" i="1"/>
  <c r="AY4170" i="1"/>
  <c r="AY4171" i="1"/>
  <c r="AY4172" i="1"/>
  <c r="AY4173" i="1"/>
  <c r="AY4174" i="1"/>
  <c r="AY4175" i="1"/>
  <c r="AY4176" i="1"/>
  <c r="AY4177" i="1"/>
  <c r="AY4178" i="1"/>
  <c r="AY4179" i="1"/>
  <c r="AY4180" i="1"/>
  <c r="AY4181" i="1"/>
  <c r="AY4182" i="1"/>
  <c r="AY4183" i="1"/>
  <c r="AY4184" i="1"/>
  <c r="AY4185" i="1"/>
  <c r="AY4186" i="1"/>
  <c r="AY4187" i="1"/>
  <c r="AY4188" i="1"/>
  <c r="AY4189" i="1"/>
  <c r="AY4190" i="1"/>
  <c r="AY4191" i="1"/>
  <c r="AY4192" i="1"/>
  <c r="AY4193" i="1"/>
  <c r="AY4194" i="1"/>
  <c r="AY4195" i="1"/>
  <c r="AY4196" i="1"/>
  <c r="AY4197" i="1"/>
  <c r="AY4198" i="1"/>
  <c r="AY4199" i="1"/>
  <c r="AY4200" i="1"/>
  <c r="AY4201" i="1"/>
  <c r="AY4202" i="1"/>
  <c r="AY4203" i="1"/>
  <c r="AY4204" i="1"/>
  <c r="AY4205" i="1"/>
  <c r="AY4206" i="1"/>
  <c r="AY4207" i="1"/>
  <c r="AY4208" i="1"/>
  <c r="AY4209" i="1"/>
  <c r="AY4210" i="1"/>
  <c r="AY4211" i="1"/>
  <c r="AY4212" i="1"/>
  <c r="AY4213" i="1"/>
  <c r="AY4214" i="1"/>
  <c r="AY4215" i="1"/>
  <c r="AY4216" i="1"/>
  <c r="AY4217" i="1"/>
  <c r="AY4218" i="1"/>
  <c r="AY4219" i="1"/>
  <c r="AY4220" i="1"/>
  <c r="AY4221" i="1"/>
  <c r="AY4222" i="1"/>
  <c r="AY4223" i="1"/>
  <c r="AY4224" i="1"/>
  <c r="AY4225" i="1"/>
  <c r="AY4226" i="1"/>
  <c r="AY4227" i="1"/>
  <c r="AY4228" i="1"/>
  <c r="AY4229" i="1"/>
  <c r="AY4230" i="1"/>
  <c r="AY4231" i="1"/>
  <c r="AY4232" i="1"/>
  <c r="AY4233" i="1"/>
  <c r="AY4234" i="1"/>
  <c r="AY4235" i="1"/>
  <c r="AY4236" i="1"/>
  <c r="AY4237" i="1"/>
  <c r="AY4238" i="1"/>
  <c r="AY4239" i="1"/>
  <c r="AY4240" i="1"/>
  <c r="AY4241" i="1"/>
  <c r="AY4242" i="1"/>
  <c r="AY4243" i="1"/>
  <c r="AY4244" i="1"/>
  <c r="AY4245" i="1"/>
  <c r="AY4246" i="1"/>
  <c r="AY4247" i="1"/>
  <c r="AY4248" i="1"/>
  <c r="AY4249" i="1"/>
  <c r="AY4250" i="1"/>
  <c r="AY4251" i="1"/>
  <c r="AY4252" i="1"/>
  <c r="AY4253" i="1"/>
  <c r="AY4254" i="1"/>
  <c r="AY4255" i="1"/>
  <c r="AY4256" i="1"/>
  <c r="AY4257" i="1"/>
  <c r="AY4258" i="1"/>
  <c r="AY4259" i="1"/>
  <c r="AY4260" i="1"/>
  <c r="AY4261" i="1"/>
  <c r="AY4262" i="1"/>
  <c r="AY4263" i="1"/>
  <c r="AY4264" i="1"/>
  <c r="AY4265" i="1"/>
  <c r="AY4266" i="1"/>
  <c r="AY4267" i="1"/>
  <c r="AY4268" i="1"/>
  <c r="AY4269" i="1"/>
  <c r="AY4270" i="1"/>
  <c r="AY4271" i="1"/>
  <c r="AY4272" i="1"/>
  <c r="AY4273" i="1"/>
  <c r="AY4274" i="1"/>
  <c r="AY4275" i="1"/>
  <c r="AY4276" i="1"/>
  <c r="AY4277" i="1"/>
  <c r="AY4278" i="1"/>
  <c r="AY4279" i="1"/>
  <c r="AY4280" i="1"/>
  <c r="AY4281" i="1"/>
  <c r="AY4282" i="1"/>
  <c r="AY4283" i="1"/>
  <c r="AY4284" i="1"/>
  <c r="AY4285" i="1"/>
  <c r="AY4286" i="1"/>
  <c r="AY4287" i="1"/>
  <c r="AY4288" i="1"/>
  <c r="AY4289" i="1"/>
  <c r="AY4290" i="1"/>
  <c r="AY4291" i="1"/>
  <c r="AY4292" i="1"/>
  <c r="AY4293" i="1"/>
  <c r="AY4294" i="1"/>
  <c r="AY4295" i="1"/>
  <c r="AY4296" i="1"/>
  <c r="AY4297" i="1"/>
  <c r="AY4298" i="1"/>
  <c r="AY4299" i="1"/>
  <c r="AY4300" i="1"/>
  <c r="AY4301" i="1"/>
  <c r="AY4302" i="1"/>
  <c r="AY4303" i="1"/>
  <c r="AY4304" i="1"/>
  <c r="AY4305" i="1"/>
  <c r="AY4306" i="1"/>
  <c r="AY4307" i="1"/>
  <c r="AY4308" i="1"/>
  <c r="AY4309" i="1"/>
  <c r="AY4310" i="1"/>
  <c r="AY4311" i="1"/>
  <c r="AY4312" i="1"/>
  <c r="AY4313" i="1"/>
  <c r="AY4314" i="1"/>
  <c r="AY4315" i="1"/>
  <c r="AY4316" i="1"/>
  <c r="AY4317" i="1"/>
  <c r="AY4318" i="1"/>
  <c r="AY4319" i="1"/>
  <c r="AY4320" i="1"/>
  <c r="AY4321" i="1"/>
  <c r="AY4322" i="1"/>
  <c r="AY4323" i="1"/>
  <c r="AY4324" i="1"/>
  <c r="AY4325" i="1"/>
  <c r="AY4326" i="1"/>
  <c r="AY4327" i="1"/>
  <c r="AY4328" i="1"/>
  <c r="AY4329" i="1"/>
  <c r="AY4330" i="1"/>
  <c r="AY4331" i="1"/>
  <c r="AY4332" i="1"/>
  <c r="AY4333" i="1"/>
  <c r="AY4334" i="1"/>
  <c r="AY4335" i="1"/>
  <c r="AY4336" i="1"/>
  <c r="AY4337" i="1"/>
  <c r="AY4338" i="1"/>
  <c r="AY4339" i="1"/>
  <c r="AY4340" i="1"/>
  <c r="AY4341" i="1"/>
  <c r="AY4342" i="1"/>
  <c r="AY4343" i="1"/>
  <c r="AY4344" i="1"/>
  <c r="AY4345" i="1"/>
  <c r="AY4346" i="1"/>
  <c r="AY4347" i="1"/>
  <c r="AY4348" i="1"/>
  <c r="AY4349" i="1"/>
  <c r="AY4350" i="1"/>
  <c r="AY4351" i="1"/>
  <c r="AY4352" i="1"/>
  <c r="AY4353" i="1"/>
  <c r="AY4354" i="1"/>
  <c r="AY4355" i="1"/>
  <c r="AY4356" i="1"/>
  <c r="AY4357" i="1"/>
  <c r="AY4358" i="1"/>
  <c r="AY4359" i="1"/>
  <c r="AY4360" i="1"/>
  <c r="AY4361" i="1"/>
  <c r="AY4362" i="1"/>
  <c r="AY4363" i="1"/>
  <c r="AY4364" i="1"/>
  <c r="AY4365" i="1"/>
  <c r="AY4366" i="1"/>
  <c r="AY4367" i="1"/>
  <c r="AY4368" i="1"/>
  <c r="AY4369" i="1"/>
  <c r="AY4370" i="1"/>
  <c r="AY4371" i="1"/>
  <c r="AY4372" i="1"/>
  <c r="AY4373" i="1"/>
  <c r="AY4374" i="1"/>
  <c r="AY4375" i="1"/>
  <c r="AY4376" i="1"/>
  <c r="AY4377" i="1"/>
  <c r="AY4378" i="1"/>
  <c r="AY4379" i="1"/>
  <c r="AY4380" i="1"/>
  <c r="AY4381" i="1"/>
  <c r="AY4382" i="1"/>
  <c r="AY4383" i="1"/>
  <c r="AY4384" i="1"/>
  <c r="AY4385" i="1"/>
  <c r="AY4386" i="1"/>
  <c r="AY4387" i="1"/>
  <c r="AY4388" i="1"/>
  <c r="AY4389" i="1"/>
  <c r="AY4390" i="1"/>
  <c r="AY4391" i="1"/>
  <c r="AY4392" i="1"/>
  <c r="AY4393" i="1"/>
  <c r="AY4394" i="1"/>
  <c r="AY4395" i="1"/>
  <c r="AY4396" i="1"/>
  <c r="AY4397" i="1"/>
  <c r="AY4398" i="1"/>
  <c r="AY4399" i="1"/>
  <c r="AY4400" i="1"/>
  <c r="AY4401" i="1"/>
  <c r="AY4402" i="1"/>
  <c r="AY4403" i="1"/>
  <c r="AY4404" i="1"/>
  <c r="AY4405" i="1"/>
  <c r="AY4406" i="1"/>
  <c r="AY4407" i="1"/>
  <c r="AY4408" i="1"/>
  <c r="AY4409" i="1"/>
  <c r="AY4410" i="1"/>
  <c r="AY4411" i="1"/>
  <c r="AY4412" i="1"/>
  <c r="AY4413" i="1"/>
  <c r="AY4414" i="1"/>
  <c r="AY4415" i="1"/>
  <c r="AY4416" i="1"/>
  <c r="AY4417" i="1"/>
  <c r="AY4418" i="1"/>
  <c r="AY4419" i="1"/>
  <c r="AY4420" i="1"/>
  <c r="AY4421" i="1"/>
  <c r="AY4422" i="1"/>
  <c r="AY4423" i="1"/>
  <c r="AY4424" i="1"/>
  <c r="AY4425" i="1"/>
  <c r="AY4426" i="1"/>
  <c r="AY4427" i="1"/>
  <c r="AY4428" i="1"/>
  <c r="AY4429" i="1"/>
  <c r="AY4430" i="1"/>
  <c r="AY4431" i="1"/>
  <c r="AY4432" i="1"/>
  <c r="AY4433" i="1"/>
  <c r="AY4434" i="1"/>
  <c r="AY4435" i="1"/>
  <c r="AY4436" i="1"/>
  <c r="AY4437" i="1"/>
  <c r="AY4438" i="1"/>
  <c r="AY4439" i="1"/>
  <c r="AY4440" i="1"/>
  <c r="AY4441" i="1"/>
  <c r="AY4442" i="1"/>
  <c r="AY4443" i="1"/>
  <c r="AY4444" i="1"/>
  <c r="AY4445" i="1"/>
  <c r="AY4446" i="1"/>
  <c r="AY4447" i="1"/>
  <c r="AY4448" i="1"/>
  <c r="AY4449" i="1"/>
  <c r="AY4450" i="1"/>
  <c r="AY4451" i="1"/>
  <c r="AY4452" i="1"/>
  <c r="AY4453" i="1"/>
  <c r="AY4454" i="1"/>
  <c r="AY4455" i="1"/>
  <c r="AY4456" i="1"/>
  <c r="AY4457" i="1"/>
  <c r="AY4458" i="1"/>
  <c r="AY4459" i="1"/>
  <c r="AY4460" i="1"/>
  <c r="AY4461" i="1"/>
  <c r="AY4462" i="1"/>
  <c r="AY4463" i="1"/>
  <c r="AY4464" i="1"/>
  <c r="AY4465" i="1"/>
  <c r="AY4466" i="1"/>
  <c r="AY4467" i="1"/>
  <c r="AY4468" i="1"/>
  <c r="AY4469" i="1"/>
  <c r="AY4470" i="1"/>
  <c r="AY4471" i="1"/>
  <c r="AY4472" i="1"/>
  <c r="AY4473" i="1"/>
  <c r="AY4474" i="1"/>
  <c r="AY4475" i="1"/>
  <c r="AY4476" i="1"/>
  <c r="AY4477" i="1"/>
  <c r="AY4478" i="1"/>
  <c r="AY4479" i="1"/>
  <c r="AY4480" i="1"/>
  <c r="AY4481" i="1"/>
  <c r="AY4482" i="1"/>
  <c r="AY4483" i="1"/>
  <c r="AY4484" i="1"/>
  <c r="AY4485" i="1"/>
  <c r="AY4486" i="1"/>
  <c r="AY4487" i="1"/>
  <c r="AY4488" i="1"/>
  <c r="AY4489" i="1"/>
  <c r="AY4490" i="1"/>
  <c r="AY4491" i="1"/>
  <c r="AY4492" i="1"/>
  <c r="AY4493" i="1"/>
  <c r="AY4494" i="1"/>
  <c r="AY4495" i="1"/>
  <c r="AY4496" i="1"/>
  <c r="AY4497" i="1"/>
  <c r="AY4498" i="1"/>
  <c r="AY4499" i="1"/>
  <c r="AY4500" i="1"/>
  <c r="AY4501" i="1"/>
  <c r="AY4502" i="1"/>
  <c r="AY4503" i="1"/>
  <c r="AY4504" i="1"/>
  <c r="AY4505" i="1"/>
  <c r="AY4506" i="1"/>
  <c r="AY4507" i="1"/>
  <c r="AY4508" i="1"/>
  <c r="AY4509" i="1"/>
  <c r="AY4510" i="1"/>
  <c r="AY4511" i="1"/>
  <c r="AY4512" i="1"/>
  <c r="AY4513" i="1"/>
  <c r="AY4514" i="1"/>
  <c r="AY4515" i="1"/>
  <c r="AY4516" i="1"/>
  <c r="AY4517" i="1"/>
  <c r="AY4518" i="1"/>
  <c r="AY4519" i="1"/>
  <c r="AY4520" i="1"/>
  <c r="AY4521" i="1"/>
  <c r="AY4522" i="1"/>
  <c r="AY4523" i="1"/>
  <c r="AY4524" i="1"/>
  <c r="AY4525" i="1"/>
  <c r="AY4526" i="1"/>
  <c r="AY4527" i="1"/>
  <c r="AY4528" i="1"/>
  <c r="AY4529" i="1"/>
  <c r="AY4530" i="1"/>
  <c r="AY4531" i="1"/>
  <c r="AY4532" i="1"/>
  <c r="AY4533" i="1"/>
  <c r="AY4534" i="1"/>
  <c r="AY4535" i="1"/>
  <c r="AY4536" i="1"/>
  <c r="AY4537" i="1"/>
  <c r="AY4538" i="1"/>
  <c r="AY4539" i="1"/>
  <c r="AY4540" i="1"/>
  <c r="AY4541" i="1"/>
  <c r="AY4542" i="1"/>
  <c r="AY4543" i="1"/>
  <c r="AY4544" i="1"/>
  <c r="AY4545" i="1"/>
  <c r="AY4546" i="1"/>
  <c r="AY4547" i="1"/>
  <c r="AY4548" i="1"/>
  <c r="AY4549" i="1"/>
  <c r="AY4550" i="1"/>
  <c r="AY4551" i="1"/>
  <c r="AY4552" i="1"/>
  <c r="AY4553" i="1"/>
  <c r="AY4554" i="1"/>
  <c r="AY4555" i="1"/>
  <c r="AY4556" i="1"/>
  <c r="AY4557" i="1"/>
  <c r="AY4558" i="1"/>
  <c r="AY4559" i="1"/>
  <c r="AY4560" i="1"/>
  <c r="AY4561" i="1"/>
  <c r="AY4562" i="1"/>
  <c r="AY4563" i="1"/>
  <c r="AY4564" i="1"/>
  <c r="AY4565" i="1"/>
  <c r="AY4566" i="1"/>
  <c r="AY4567" i="1"/>
  <c r="AY4568" i="1"/>
  <c r="AY4569" i="1"/>
  <c r="AY4570" i="1"/>
  <c r="AY4571" i="1"/>
  <c r="AY4572" i="1"/>
  <c r="AY4573" i="1"/>
  <c r="AY4574" i="1"/>
  <c r="AY4575" i="1"/>
  <c r="AY4576" i="1"/>
  <c r="AY4577" i="1"/>
  <c r="AY4578" i="1"/>
  <c r="AY4579" i="1"/>
  <c r="AY4580" i="1"/>
  <c r="AY4581" i="1"/>
  <c r="AY4582" i="1"/>
  <c r="AY4583" i="1"/>
  <c r="AY4584" i="1"/>
  <c r="AY4585" i="1"/>
  <c r="AY4586" i="1"/>
  <c r="AY4587" i="1"/>
  <c r="AY4588" i="1"/>
  <c r="AY4589" i="1"/>
  <c r="AY4590" i="1"/>
  <c r="AY4591" i="1"/>
  <c r="AY4592" i="1"/>
  <c r="AY4593" i="1"/>
  <c r="AY4594" i="1"/>
  <c r="AY4595" i="1"/>
  <c r="AY4596" i="1"/>
  <c r="AY4597" i="1"/>
  <c r="AY4598" i="1"/>
  <c r="AY4599" i="1"/>
  <c r="AY4600" i="1"/>
  <c r="AY4601" i="1"/>
  <c r="AY4602" i="1"/>
  <c r="AY4603" i="1"/>
  <c r="AY4604" i="1"/>
  <c r="AY4605" i="1"/>
  <c r="AY4606" i="1"/>
  <c r="AY4607" i="1"/>
  <c r="AY4608" i="1"/>
  <c r="AY4609" i="1"/>
  <c r="AY4610" i="1"/>
  <c r="AY4611" i="1"/>
  <c r="AY4612" i="1"/>
  <c r="AY4613" i="1"/>
  <c r="AY4614" i="1"/>
  <c r="AY4615" i="1"/>
  <c r="AY4616" i="1"/>
  <c r="AY4617" i="1"/>
  <c r="AY4618" i="1"/>
  <c r="AY4619" i="1"/>
  <c r="AY4620" i="1"/>
  <c r="AY4621" i="1"/>
  <c r="AY4622" i="1"/>
  <c r="AY4623" i="1"/>
  <c r="AY4624" i="1"/>
  <c r="AY4625" i="1"/>
  <c r="AY4626" i="1"/>
  <c r="AY4627" i="1"/>
  <c r="AY4628" i="1"/>
  <c r="AY4629" i="1"/>
  <c r="AY4630" i="1"/>
  <c r="AY4631" i="1"/>
  <c r="AY4632" i="1"/>
  <c r="AY4633" i="1"/>
  <c r="AY4634" i="1"/>
  <c r="AY4635" i="1"/>
  <c r="AY4636" i="1"/>
  <c r="AY4637" i="1"/>
  <c r="AY4638" i="1"/>
  <c r="AY4639" i="1"/>
  <c r="AY4640" i="1"/>
  <c r="AY4641" i="1"/>
  <c r="AY4642" i="1"/>
  <c r="AY4643" i="1"/>
  <c r="AY4644" i="1"/>
  <c r="AY4645" i="1"/>
  <c r="AY4646" i="1"/>
  <c r="AY4647" i="1"/>
  <c r="AY4648" i="1"/>
  <c r="AY4649" i="1"/>
  <c r="AY4650" i="1"/>
  <c r="AY4651" i="1"/>
  <c r="AY4652" i="1"/>
  <c r="AY4653" i="1"/>
  <c r="AY4654" i="1"/>
  <c r="AY4655" i="1"/>
  <c r="AY4656" i="1"/>
  <c r="AY4657" i="1"/>
  <c r="AY4658" i="1"/>
  <c r="AY4659" i="1"/>
  <c r="AY4660" i="1"/>
  <c r="AY4661" i="1"/>
  <c r="AY4662" i="1"/>
  <c r="AY4663" i="1"/>
  <c r="AY4664" i="1"/>
  <c r="AY4665" i="1"/>
  <c r="AY4666" i="1"/>
  <c r="AY4667" i="1"/>
  <c r="AY4668" i="1"/>
  <c r="AY4669" i="1"/>
  <c r="AY4670" i="1"/>
  <c r="AY4671" i="1"/>
  <c r="AY4672" i="1"/>
  <c r="AY4673" i="1"/>
  <c r="AY4674" i="1"/>
  <c r="AY4675" i="1"/>
  <c r="AY4676" i="1"/>
  <c r="AY4677" i="1"/>
  <c r="AY4678" i="1"/>
  <c r="AY4679" i="1"/>
  <c r="AY4680" i="1"/>
  <c r="AY4681" i="1"/>
  <c r="AY4682" i="1"/>
  <c r="AY4683" i="1"/>
  <c r="AY4684" i="1"/>
  <c r="AY4685" i="1"/>
  <c r="AY4686" i="1"/>
  <c r="AY4687" i="1"/>
  <c r="AY4688" i="1"/>
  <c r="AY4689" i="1"/>
  <c r="AY4690" i="1"/>
  <c r="AY4691" i="1"/>
  <c r="AY4692" i="1"/>
  <c r="AY4693" i="1"/>
  <c r="AY4694" i="1"/>
  <c r="AY4695" i="1"/>
  <c r="AY4696" i="1"/>
  <c r="AY4697" i="1"/>
  <c r="AY4698" i="1"/>
  <c r="AY4699" i="1"/>
  <c r="AY4700" i="1"/>
  <c r="AY4701" i="1"/>
  <c r="AY4702" i="1"/>
  <c r="AY4703" i="1"/>
  <c r="AY4704" i="1"/>
  <c r="AY4705" i="1"/>
  <c r="AY4706" i="1"/>
  <c r="AY4707" i="1"/>
  <c r="AY4708" i="1"/>
  <c r="AY4709" i="1"/>
  <c r="AY4710" i="1"/>
  <c r="AY4711" i="1"/>
  <c r="AY4712" i="1"/>
  <c r="AY4713" i="1"/>
  <c r="AY4714" i="1"/>
  <c r="AY4715" i="1"/>
  <c r="AY4716" i="1"/>
  <c r="AY4717" i="1"/>
  <c r="AY4718" i="1"/>
  <c r="AY4719" i="1"/>
  <c r="AY4720" i="1"/>
  <c r="AY4721" i="1"/>
  <c r="AY4722" i="1"/>
  <c r="AY4723" i="1"/>
  <c r="AY4724" i="1"/>
  <c r="AY4725" i="1"/>
  <c r="AY4726" i="1"/>
  <c r="AY4727" i="1"/>
  <c r="AY4728" i="1"/>
  <c r="AY4729" i="1"/>
  <c r="AY4730" i="1"/>
  <c r="AY4731" i="1"/>
  <c r="AY4732" i="1"/>
  <c r="AY4733" i="1"/>
  <c r="AY4734" i="1"/>
  <c r="AY4735" i="1"/>
  <c r="AY4736" i="1"/>
  <c r="AY4737" i="1"/>
  <c r="AY4738" i="1"/>
  <c r="AY4739" i="1"/>
  <c r="AY4740" i="1"/>
  <c r="AY4741" i="1"/>
  <c r="AY4742" i="1"/>
  <c r="AY4743" i="1"/>
  <c r="AY4744" i="1"/>
  <c r="AY4745" i="1"/>
  <c r="AY4746" i="1"/>
  <c r="AY4747" i="1"/>
  <c r="AY4748" i="1"/>
  <c r="AY4749" i="1"/>
  <c r="AY4750" i="1"/>
  <c r="AY4751" i="1"/>
  <c r="AY4752" i="1"/>
  <c r="AY4753" i="1"/>
  <c r="AY4754" i="1"/>
  <c r="AY4755" i="1"/>
  <c r="AY4756" i="1"/>
  <c r="AY4757" i="1"/>
  <c r="AY4758" i="1"/>
  <c r="AY4759" i="1"/>
  <c r="AY4760" i="1"/>
  <c r="AY4761" i="1"/>
  <c r="AY4762" i="1"/>
  <c r="AY4763" i="1"/>
  <c r="AY4764" i="1"/>
  <c r="AY4765" i="1"/>
  <c r="AY4766" i="1"/>
  <c r="AY4767" i="1"/>
  <c r="AY4768" i="1"/>
  <c r="AY4769" i="1"/>
  <c r="AY4770" i="1"/>
  <c r="AY4771" i="1"/>
  <c r="AY4772" i="1"/>
  <c r="AY4773" i="1"/>
  <c r="AY4774" i="1"/>
  <c r="AY4775" i="1"/>
  <c r="AY4776" i="1"/>
  <c r="AY4777" i="1"/>
  <c r="AY4778" i="1"/>
  <c r="AY4779" i="1"/>
  <c r="AY4780" i="1"/>
  <c r="AY4781" i="1"/>
  <c r="AY4782" i="1"/>
  <c r="AY4783" i="1"/>
  <c r="AY4784" i="1"/>
  <c r="AY4785" i="1"/>
  <c r="AY4786" i="1"/>
  <c r="AY4787" i="1"/>
  <c r="AY4788" i="1"/>
  <c r="AY4789" i="1"/>
  <c r="AY4790" i="1"/>
  <c r="AY4791" i="1"/>
  <c r="AY4792" i="1"/>
  <c r="AY4793" i="1"/>
  <c r="AY4794" i="1"/>
  <c r="AY4795" i="1"/>
  <c r="AY4796" i="1"/>
  <c r="AY4797" i="1"/>
  <c r="AY4798" i="1"/>
  <c r="AY4799" i="1"/>
  <c r="AY4800" i="1"/>
  <c r="AY4801" i="1"/>
  <c r="AY4802" i="1"/>
  <c r="AY4803" i="1"/>
  <c r="AY4804" i="1"/>
  <c r="AY4805" i="1"/>
  <c r="AY4806" i="1"/>
  <c r="AY4807" i="1"/>
  <c r="AY4808" i="1"/>
  <c r="AY4809" i="1"/>
  <c r="AY4810" i="1"/>
  <c r="AY4811" i="1"/>
  <c r="AY4812" i="1"/>
  <c r="AY4813" i="1"/>
  <c r="AY4814" i="1"/>
  <c r="AY4815" i="1"/>
  <c r="AY4816" i="1"/>
  <c r="AY4817" i="1"/>
  <c r="AY4818" i="1"/>
  <c r="AY4819" i="1"/>
  <c r="AY4820" i="1"/>
  <c r="AY4821" i="1"/>
  <c r="AY4822" i="1"/>
  <c r="AY4823" i="1"/>
  <c r="AY4824" i="1"/>
  <c r="AY4825" i="1"/>
  <c r="AY4826" i="1"/>
  <c r="AY4827" i="1"/>
  <c r="AY4828" i="1"/>
  <c r="AY4829" i="1"/>
  <c r="AY4830" i="1"/>
  <c r="AY4831" i="1"/>
  <c r="AY4832" i="1"/>
  <c r="AY4833" i="1"/>
  <c r="AY4834" i="1"/>
  <c r="AY4835" i="1"/>
  <c r="AY4836" i="1"/>
  <c r="AY4837" i="1"/>
  <c r="AY4838" i="1"/>
  <c r="AY4839" i="1"/>
  <c r="AY4840" i="1"/>
  <c r="AY4841" i="1"/>
  <c r="AY4842" i="1"/>
  <c r="AY4843" i="1"/>
  <c r="AY4844" i="1"/>
  <c r="AY4845" i="1"/>
  <c r="AY4846" i="1"/>
  <c r="AY4847" i="1"/>
  <c r="AY4848" i="1"/>
  <c r="AY4849" i="1"/>
  <c r="AY4850" i="1"/>
  <c r="AY4851" i="1"/>
  <c r="AY4852" i="1"/>
  <c r="AY4853" i="1"/>
  <c r="AY4854" i="1"/>
  <c r="AY4855" i="1"/>
  <c r="AY4856" i="1"/>
  <c r="AY4857" i="1"/>
  <c r="AY4858" i="1"/>
  <c r="AY4859" i="1"/>
  <c r="AY4860" i="1"/>
  <c r="AY4861" i="1"/>
  <c r="AY4862" i="1"/>
  <c r="AY4863" i="1"/>
  <c r="AY4864" i="1"/>
  <c r="AY4865" i="1"/>
  <c r="AY4866" i="1"/>
  <c r="AY4867" i="1"/>
  <c r="AY4868" i="1"/>
  <c r="AY4869" i="1"/>
  <c r="AY4870" i="1"/>
  <c r="AY4871" i="1"/>
  <c r="AY4872" i="1"/>
  <c r="AY4873" i="1"/>
  <c r="AY4874" i="1"/>
  <c r="AY4875" i="1"/>
  <c r="AY4876" i="1"/>
  <c r="AY4877" i="1"/>
  <c r="AY4878" i="1"/>
  <c r="AY4879" i="1"/>
  <c r="AY4880" i="1"/>
  <c r="AY4881" i="1"/>
  <c r="AY4882" i="1"/>
  <c r="AY4883" i="1"/>
  <c r="AY4884" i="1"/>
  <c r="AY4885" i="1"/>
  <c r="AY4886" i="1"/>
  <c r="AY4887" i="1"/>
  <c r="AY4888" i="1"/>
  <c r="AY4889" i="1"/>
  <c r="AY4890" i="1"/>
  <c r="AY4891" i="1"/>
  <c r="AY4892" i="1"/>
  <c r="AY4893" i="1"/>
  <c r="AY4894" i="1"/>
  <c r="AY4895" i="1"/>
  <c r="AY4896" i="1"/>
  <c r="AY4897" i="1"/>
  <c r="AY4898" i="1"/>
  <c r="AY4899" i="1"/>
  <c r="AY4900" i="1"/>
  <c r="AY4901" i="1"/>
  <c r="AY4902" i="1"/>
  <c r="AY4903" i="1"/>
  <c r="AY4904" i="1"/>
  <c r="AY4905" i="1"/>
  <c r="AY4906" i="1"/>
  <c r="AY4907" i="1"/>
  <c r="AY4908" i="1"/>
  <c r="AY4909" i="1"/>
  <c r="AY4910" i="1"/>
  <c r="AY4911" i="1"/>
  <c r="AY4912" i="1"/>
  <c r="AY4913" i="1"/>
  <c r="AY4914" i="1"/>
  <c r="AY4915" i="1"/>
  <c r="AY4916" i="1"/>
  <c r="AY4917" i="1"/>
  <c r="AY4918" i="1"/>
  <c r="AY4919" i="1"/>
  <c r="AY4920" i="1"/>
  <c r="AY4921" i="1"/>
  <c r="AY4922" i="1"/>
  <c r="AY4923" i="1"/>
  <c r="AY4924" i="1"/>
  <c r="AY4925" i="1"/>
  <c r="AY4926" i="1"/>
  <c r="AY4927" i="1"/>
  <c r="AY4928" i="1"/>
  <c r="AY4929" i="1"/>
  <c r="AY4930" i="1"/>
  <c r="AY4931" i="1"/>
  <c r="AY4932" i="1"/>
  <c r="AY4933" i="1"/>
  <c r="AY4934" i="1"/>
  <c r="AY4935" i="1"/>
  <c r="AY4936" i="1"/>
  <c r="AY4937" i="1"/>
  <c r="AY4938" i="1"/>
  <c r="AY4939" i="1"/>
  <c r="AY4940" i="1"/>
  <c r="AY4941" i="1"/>
  <c r="AY4942" i="1"/>
  <c r="AY4943" i="1"/>
  <c r="AY4944" i="1"/>
  <c r="AY4945" i="1"/>
  <c r="AY4946" i="1"/>
  <c r="AY4947" i="1"/>
  <c r="AY4948" i="1"/>
  <c r="AY4949" i="1"/>
  <c r="AY4950" i="1"/>
  <c r="AY4951" i="1"/>
  <c r="AY4952" i="1"/>
  <c r="AY4953" i="1"/>
  <c r="AY4954" i="1"/>
  <c r="AY4955" i="1"/>
  <c r="AY4956" i="1"/>
  <c r="AY4957" i="1"/>
  <c r="AY4958" i="1"/>
  <c r="AY4959" i="1"/>
  <c r="AY4960" i="1"/>
  <c r="AY4961" i="1"/>
  <c r="AY4962" i="1"/>
  <c r="AY4963" i="1"/>
  <c r="AY4964" i="1"/>
  <c r="AY4965" i="1"/>
  <c r="AY4966" i="1"/>
  <c r="AY4967" i="1"/>
  <c r="AY4968" i="1"/>
  <c r="AY4969" i="1"/>
  <c r="AY4970" i="1"/>
  <c r="AY4971" i="1"/>
  <c r="AY4972" i="1"/>
  <c r="AY4973" i="1"/>
  <c r="AY4974" i="1"/>
  <c r="AY4975" i="1"/>
  <c r="AY4976" i="1"/>
  <c r="AY4977" i="1"/>
  <c r="AY4978" i="1"/>
  <c r="AY4979" i="1"/>
  <c r="AY4980" i="1"/>
  <c r="AY4981" i="1"/>
  <c r="AY4982" i="1"/>
  <c r="AY4983" i="1"/>
  <c r="AY4984" i="1"/>
  <c r="AY4985" i="1"/>
  <c r="AY4986" i="1"/>
  <c r="AY4987" i="1"/>
  <c r="AY4988" i="1"/>
  <c r="AY4989" i="1"/>
  <c r="AY4990" i="1"/>
  <c r="AY4991" i="1"/>
  <c r="AY4992" i="1"/>
  <c r="AY4993" i="1"/>
  <c r="AY4994" i="1"/>
  <c r="AY4995" i="1"/>
  <c r="AY4996" i="1"/>
  <c r="AY4997" i="1"/>
  <c r="AY4998" i="1"/>
  <c r="AY4999" i="1"/>
  <c r="AY5000" i="1"/>
  <c r="AY5001" i="1"/>
  <c r="AY5002" i="1"/>
  <c r="AY5003" i="1"/>
  <c r="AY5004" i="1"/>
  <c r="AY5005" i="1"/>
  <c r="AY5006" i="1"/>
  <c r="AY5007" i="1"/>
  <c r="AY5008" i="1"/>
  <c r="AY5009" i="1"/>
  <c r="AY5010" i="1"/>
  <c r="AY5011" i="1"/>
  <c r="AY5012" i="1"/>
  <c r="AY5013" i="1"/>
  <c r="AY5014" i="1"/>
  <c r="AY5015" i="1"/>
  <c r="AY5016" i="1"/>
  <c r="AY5017" i="1"/>
  <c r="AY5018" i="1"/>
  <c r="AY5019" i="1"/>
  <c r="AY5020" i="1"/>
  <c r="AY5021" i="1"/>
  <c r="AY5022" i="1"/>
  <c r="AY5023" i="1"/>
  <c r="AY5024" i="1"/>
  <c r="AY5025" i="1"/>
  <c r="AY5026" i="1"/>
  <c r="AY5027" i="1"/>
  <c r="AY5028" i="1"/>
  <c r="AY5029" i="1"/>
  <c r="AY5030" i="1"/>
  <c r="AY5031" i="1"/>
  <c r="AY5032" i="1"/>
  <c r="AY5033" i="1"/>
  <c r="AY5034" i="1"/>
  <c r="AY5035" i="1"/>
  <c r="AY5036" i="1"/>
  <c r="AY5037" i="1"/>
  <c r="AY5038" i="1"/>
  <c r="AY5039" i="1"/>
  <c r="AY5040" i="1"/>
  <c r="AY5041" i="1"/>
  <c r="AY5042" i="1"/>
  <c r="AY5043" i="1"/>
  <c r="AY5044" i="1"/>
  <c r="AY5045" i="1"/>
  <c r="AY5046" i="1"/>
  <c r="AY5047" i="1"/>
  <c r="AY5048" i="1"/>
  <c r="AY5049" i="1"/>
  <c r="AY5050" i="1"/>
  <c r="AY5051" i="1"/>
  <c r="AY5052" i="1"/>
  <c r="AY5053" i="1"/>
  <c r="AY5054" i="1"/>
  <c r="AY5055" i="1"/>
  <c r="AY5056" i="1"/>
  <c r="AY5057" i="1"/>
  <c r="AY5058" i="1"/>
  <c r="AY5059" i="1"/>
  <c r="AY5060" i="1"/>
  <c r="AY5061" i="1"/>
  <c r="AY5062" i="1"/>
  <c r="AY5063" i="1"/>
  <c r="AY5064" i="1"/>
  <c r="AY5065" i="1"/>
  <c r="AY5066" i="1"/>
  <c r="AY5067" i="1"/>
  <c r="AY5068" i="1"/>
  <c r="AY5069" i="1"/>
  <c r="AY5070" i="1"/>
  <c r="AY5071" i="1"/>
  <c r="AY5072" i="1"/>
  <c r="AY5073" i="1"/>
  <c r="AY5074" i="1"/>
  <c r="AY5075" i="1"/>
  <c r="AY5076" i="1"/>
  <c r="AY5077" i="1"/>
  <c r="AY5078" i="1"/>
  <c r="AY5079" i="1"/>
  <c r="AY5080" i="1"/>
  <c r="AY5081" i="1"/>
  <c r="AY5082" i="1"/>
  <c r="AY5083" i="1"/>
  <c r="AY5084" i="1"/>
  <c r="AY5085" i="1"/>
  <c r="AY5086" i="1"/>
  <c r="AY5087" i="1"/>
  <c r="AY5088" i="1"/>
  <c r="AY5089" i="1"/>
  <c r="AY5090" i="1"/>
  <c r="AY5091" i="1"/>
  <c r="AY5092" i="1"/>
  <c r="AY5093" i="1"/>
  <c r="AY5094" i="1"/>
  <c r="AY5095" i="1"/>
  <c r="AY5096" i="1"/>
  <c r="AY5097" i="1"/>
  <c r="AY5098" i="1"/>
  <c r="AY5099" i="1"/>
  <c r="AY5100" i="1"/>
  <c r="AY5101" i="1"/>
  <c r="AY5102" i="1"/>
  <c r="AY5103" i="1"/>
  <c r="AY5104" i="1"/>
  <c r="AY5105" i="1"/>
  <c r="AY5106" i="1"/>
  <c r="AY5107" i="1"/>
  <c r="AY5108" i="1"/>
  <c r="AY5109" i="1"/>
  <c r="AY5110" i="1"/>
  <c r="AY5111" i="1"/>
  <c r="AY5112" i="1"/>
  <c r="AY5113" i="1"/>
  <c r="AY5114" i="1"/>
  <c r="AY5115" i="1"/>
  <c r="AY5116" i="1"/>
  <c r="AY5117" i="1"/>
  <c r="AY5118" i="1"/>
  <c r="AY5119" i="1"/>
  <c r="AY5120" i="1"/>
  <c r="AY5121" i="1"/>
  <c r="AY5122" i="1"/>
  <c r="AY5123" i="1"/>
  <c r="AY5124" i="1"/>
  <c r="AY5125" i="1"/>
  <c r="AY5126" i="1"/>
  <c r="AY5127" i="1"/>
  <c r="AY5128" i="1"/>
  <c r="AY5129" i="1"/>
  <c r="AY5130" i="1"/>
  <c r="AY5131" i="1"/>
  <c r="AY5132" i="1"/>
  <c r="AY5133" i="1"/>
  <c r="AY5134" i="1"/>
  <c r="AY5135" i="1"/>
  <c r="AY5136" i="1"/>
  <c r="AY5137" i="1"/>
  <c r="AY5138" i="1"/>
  <c r="AY5139" i="1"/>
  <c r="AY5140" i="1"/>
  <c r="AY5141" i="1"/>
  <c r="AY5142" i="1"/>
  <c r="AY5143" i="1"/>
  <c r="AY5144" i="1"/>
  <c r="AY5145" i="1"/>
  <c r="AY5146" i="1"/>
  <c r="AY5147" i="1"/>
  <c r="AY5148" i="1"/>
  <c r="AY5149" i="1"/>
  <c r="AY5150" i="1"/>
  <c r="AY5151" i="1"/>
  <c r="AY5152" i="1"/>
  <c r="AY5153" i="1"/>
  <c r="AY5154" i="1"/>
  <c r="AY5155" i="1"/>
  <c r="AY5156" i="1"/>
  <c r="AY5157" i="1"/>
  <c r="AY5158" i="1"/>
  <c r="AY5159" i="1"/>
  <c r="AY5160" i="1"/>
  <c r="AY5161" i="1"/>
  <c r="AY5162" i="1"/>
  <c r="AY5163" i="1"/>
  <c r="AY5164" i="1"/>
  <c r="AY5165" i="1"/>
  <c r="AY5166" i="1"/>
  <c r="AY5167" i="1"/>
  <c r="AY5168" i="1"/>
  <c r="AY5169" i="1"/>
  <c r="AY5170" i="1"/>
  <c r="AY5171" i="1"/>
  <c r="AY5172" i="1"/>
  <c r="AY5173" i="1"/>
  <c r="AY5174" i="1"/>
  <c r="AY5175" i="1"/>
  <c r="AY5176" i="1"/>
  <c r="AY5177" i="1"/>
  <c r="AY5178" i="1"/>
  <c r="AY5179" i="1"/>
  <c r="AY5180" i="1"/>
  <c r="AY5181" i="1"/>
  <c r="AY5182" i="1"/>
  <c r="AY5183" i="1"/>
  <c r="AY5184" i="1"/>
  <c r="AY5185" i="1"/>
  <c r="AY5186" i="1"/>
  <c r="AY5187" i="1"/>
  <c r="AY5188" i="1"/>
  <c r="AY5189" i="1"/>
  <c r="AY5190" i="1"/>
  <c r="AY5191" i="1"/>
  <c r="AY5192" i="1"/>
  <c r="AY5193" i="1"/>
  <c r="AY5194" i="1"/>
  <c r="AY5195" i="1"/>
  <c r="AY5196" i="1"/>
  <c r="AY5197" i="1"/>
  <c r="AY5198" i="1"/>
  <c r="AY5199" i="1"/>
  <c r="AY5200" i="1"/>
  <c r="AY5201" i="1"/>
  <c r="AY5202" i="1"/>
  <c r="AY5203" i="1"/>
  <c r="AY5204" i="1"/>
  <c r="AY5205" i="1"/>
  <c r="AY5206" i="1"/>
  <c r="AY5207" i="1"/>
  <c r="AY5208" i="1"/>
  <c r="AY5209" i="1"/>
  <c r="AY5210" i="1"/>
  <c r="AY5211" i="1"/>
  <c r="AY5212" i="1"/>
  <c r="AY5213" i="1"/>
  <c r="AY5214" i="1"/>
  <c r="AY5215" i="1"/>
  <c r="AY5216" i="1"/>
  <c r="AY5217" i="1"/>
  <c r="AY5218" i="1"/>
  <c r="AY5219" i="1"/>
  <c r="AY5220" i="1"/>
  <c r="AY5221" i="1"/>
  <c r="AY5222" i="1"/>
  <c r="AY5223" i="1"/>
  <c r="AY5224" i="1"/>
  <c r="AY5225" i="1"/>
  <c r="AY5226" i="1"/>
  <c r="AY5227" i="1"/>
  <c r="AY5228" i="1"/>
  <c r="AY5229" i="1"/>
  <c r="AY5230" i="1"/>
  <c r="AY5231" i="1"/>
  <c r="AY5232" i="1"/>
  <c r="AY5233" i="1"/>
  <c r="AY5234" i="1"/>
  <c r="AY5235" i="1"/>
  <c r="AY5236" i="1"/>
  <c r="AY5237" i="1"/>
  <c r="AY5238" i="1"/>
  <c r="AY5239" i="1"/>
  <c r="AY5240" i="1"/>
  <c r="AY5241" i="1"/>
  <c r="AY5242" i="1"/>
  <c r="AY5243" i="1"/>
  <c r="AY5244" i="1"/>
  <c r="AY5245" i="1"/>
  <c r="AY5246" i="1"/>
  <c r="AY5247" i="1"/>
  <c r="AY5248" i="1"/>
  <c r="AY5249" i="1"/>
  <c r="AY5250" i="1"/>
  <c r="AY5251" i="1"/>
  <c r="AY5252" i="1"/>
  <c r="AY5253" i="1"/>
  <c r="AY5254" i="1"/>
  <c r="AY5255" i="1"/>
  <c r="AY5256" i="1"/>
  <c r="AY5257" i="1"/>
  <c r="AY5258" i="1"/>
  <c r="AY5259" i="1"/>
  <c r="AY5260" i="1"/>
  <c r="AY5261" i="1"/>
  <c r="AY5262" i="1"/>
  <c r="AY5263" i="1"/>
  <c r="AY5264" i="1"/>
  <c r="AY5265" i="1"/>
  <c r="AY5266" i="1"/>
  <c r="AY5267" i="1"/>
  <c r="AY5268" i="1"/>
  <c r="AY5269" i="1"/>
  <c r="AY5270" i="1"/>
  <c r="AY5271" i="1"/>
  <c r="AY5272" i="1"/>
  <c r="AY5273" i="1"/>
  <c r="AY5274" i="1"/>
  <c r="AY5275" i="1"/>
  <c r="AY5276" i="1"/>
  <c r="AY5277" i="1"/>
  <c r="AY5278" i="1"/>
  <c r="AY5279" i="1"/>
  <c r="AY5280" i="1"/>
  <c r="AY5281" i="1"/>
  <c r="AY5282" i="1"/>
  <c r="AY5283" i="1"/>
  <c r="AY5284" i="1"/>
  <c r="AY5285" i="1"/>
  <c r="AY5286" i="1"/>
  <c r="AY5287" i="1"/>
  <c r="AY5288" i="1"/>
  <c r="AY5289" i="1"/>
  <c r="AY5290" i="1"/>
  <c r="AY5291" i="1"/>
  <c r="AY5292" i="1"/>
  <c r="AY5293" i="1"/>
  <c r="AY5294" i="1"/>
  <c r="AY5295" i="1"/>
  <c r="AY5296" i="1"/>
  <c r="AY5297" i="1"/>
  <c r="AY5298" i="1"/>
  <c r="AY5299" i="1"/>
  <c r="AY5300" i="1"/>
  <c r="AY5301" i="1"/>
  <c r="AY5302" i="1"/>
  <c r="AY5303" i="1"/>
  <c r="AY5304" i="1"/>
  <c r="AY5305" i="1"/>
  <c r="AY5306" i="1"/>
  <c r="AY5307" i="1"/>
  <c r="AY5308" i="1"/>
  <c r="AY5309" i="1"/>
  <c r="AY5310" i="1"/>
  <c r="AY5311" i="1"/>
  <c r="AY5312" i="1"/>
  <c r="AY5313" i="1"/>
  <c r="AY5314" i="1"/>
  <c r="AY5315" i="1"/>
  <c r="AY5316" i="1"/>
  <c r="AY5317" i="1"/>
  <c r="AY5318" i="1"/>
  <c r="AY5319" i="1"/>
  <c r="AY5320" i="1"/>
  <c r="AY5321" i="1"/>
  <c r="AY5322" i="1"/>
  <c r="AY5323" i="1"/>
  <c r="AY5324" i="1"/>
  <c r="AY5325" i="1"/>
  <c r="AY5326" i="1"/>
  <c r="AY5327" i="1"/>
  <c r="AY5328" i="1"/>
  <c r="AY5329" i="1"/>
  <c r="AY5330" i="1"/>
  <c r="AY5331" i="1"/>
  <c r="AY5332" i="1"/>
  <c r="AY5333" i="1"/>
  <c r="AY5334" i="1"/>
  <c r="AY5335" i="1"/>
  <c r="AY5336" i="1"/>
  <c r="AY5337" i="1"/>
  <c r="AY5338" i="1"/>
  <c r="AY5339" i="1"/>
  <c r="AY5340" i="1"/>
  <c r="AY5341" i="1"/>
  <c r="AY5342" i="1"/>
  <c r="AY5343" i="1"/>
  <c r="AY5344" i="1"/>
  <c r="AY5345" i="1"/>
  <c r="AY5346" i="1"/>
  <c r="AY5347" i="1"/>
  <c r="AY5348" i="1"/>
  <c r="AY5349" i="1"/>
  <c r="AY5350" i="1"/>
  <c r="AY5351" i="1"/>
  <c r="AY5352" i="1"/>
  <c r="AY5353" i="1"/>
  <c r="AY5354" i="1"/>
  <c r="AY5355" i="1"/>
  <c r="AY5356" i="1"/>
  <c r="AY5357" i="1"/>
  <c r="AY5358" i="1"/>
  <c r="AY5359" i="1"/>
  <c r="AY5360" i="1"/>
  <c r="AY5361" i="1"/>
  <c r="AY5362" i="1"/>
  <c r="AY5363" i="1"/>
  <c r="AY5364" i="1"/>
  <c r="AY5365" i="1"/>
  <c r="AY5366" i="1"/>
  <c r="AY5367" i="1"/>
  <c r="AY5368" i="1"/>
  <c r="AY5369" i="1"/>
  <c r="AY5370" i="1"/>
  <c r="AY5371" i="1"/>
  <c r="AY5372" i="1"/>
  <c r="AY5373" i="1"/>
  <c r="AY5374" i="1"/>
  <c r="AY5375" i="1"/>
  <c r="AY5376" i="1"/>
  <c r="AY5377" i="1"/>
  <c r="AY5378" i="1"/>
  <c r="AY5379" i="1"/>
  <c r="AY5380" i="1"/>
  <c r="AY5381" i="1"/>
  <c r="AY5382" i="1"/>
  <c r="AY5383" i="1"/>
  <c r="AY5384" i="1"/>
  <c r="AY5385" i="1"/>
  <c r="AY5386" i="1"/>
  <c r="AY5387" i="1"/>
  <c r="AY5388" i="1"/>
  <c r="AY5389" i="1"/>
  <c r="AY5390" i="1"/>
  <c r="AY5391" i="1"/>
  <c r="AY5392" i="1"/>
  <c r="AY5393" i="1"/>
  <c r="AY5394" i="1"/>
  <c r="AY5395" i="1"/>
  <c r="AY5396" i="1"/>
  <c r="AY5397" i="1"/>
  <c r="AY5398" i="1"/>
  <c r="AY5399" i="1"/>
  <c r="AY5400" i="1"/>
  <c r="AY5401" i="1"/>
  <c r="AY5402" i="1"/>
  <c r="AY5403" i="1"/>
  <c r="AY5404" i="1"/>
  <c r="AY5405" i="1"/>
  <c r="AY5406" i="1"/>
  <c r="AY5407" i="1"/>
  <c r="AY5408" i="1"/>
  <c r="AY5409" i="1"/>
  <c r="AY5410" i="1"/>
  <c r="AY5411" i="1"/>
  <c r="AY5412" i="1"/>
  <c r="AY5413" i="1"/>
  <c r="AY5414" i="1"/>
  <c r="AY5415" i="1"/>
  <c r="AY5416" i="1"/>
  <c r="AY5417" i="1"/>
  <c r="AY5418" i="1"/>
  <c r="AY5419" i="1"/>
  <c r="AY5420" i="1"/>
  <c r="AY5421" i="1"/>
  <c r="AY5422" i="1"/>
  <c r="AY5423" i="1"/>
  <c r="AY5424" i="1"/>
  <c r="AY5425" i="1"/>
  <c r="AY5426" i="1"/>
  <c r="AY5427" i="1"/>
  <c r="AY5428" i="1"/>
  <c r="AY5429" i="1"/>
  <c r="AY5430" i="1"/>
  <c r="AY5431" i="1"/>
  <c r="AY5432" i="1"/>
  <c r="AY5433" i="1"/>
  <c r="AY5434" i="1"/>
  <c r="AY5435" i="1"/>
  <c r="AY5436" i="1"/>
  <c r="AY5437" i="1"/>
  <c r="AY5438" i="1"/>
  <c r="AY5439" i="1"/>
  <c r="AY5440" i="1"/>
  <c r="AY5441" i="1"/>
  <c r="AY5442" i="1"/>
  <c r="AY5443" i="1"/>
  <c r="AY5444" i="1"/>
  <c r="AY5445" i="1"/>
  <c r="AY5446" i="1"/>
  <c r="AY5447" i="1"/>
  <c r="AY5448" i="1"/>
  <c r="AY5449" i="1"/>
  <c r="AY5450" i="1"/>
  <c r="AY5451" i="1"/>
  <c r="AY5452" i="1"/>
  <c r="AY5453" i="1"/>
  <c r="AY5454" i="1"/>
  <c r="AY5455" i="1"/>
  <c r="AY5456" i="1"/>
  <c r="AY5457" i="1"/>
  <c r="AY5458" i="1"/>
  <c r="AY5459" i="1"/>
  <c r="AY5460" i="1"/>
  <c r="AY5461" i="1"/>
  <c r="AY5462" i="1"/>
  <c r="AY5463" i="1"/>
  <c r="AY5464" i="1"/>
  <c r="AY5465" i="1"/>
  <c r="AY5466" i="1"/>
  <c r="AY5467" i="1"/>
  <c r="AY5468" i="1"/>
  <c r="AY5469" i="1"/>
  <c r="AY5470" i="1"/>
  <c r="AY5471" i="1"/>
  <c r="AY5472" i="1"/>
  <c r="AY5473" i="1"/>
  <c r="AY5474" i="1"/>
  <c r="AY5475" i="1"/>
  <c r="AY5476" i="1"/>
  <c r="AY5477" i="1"/>
  <c r="AY5478" i="1"/>
  <c r="AY5479" i="1"/>
  <c r="AY5480" i="1"/>
  <c r="AY5481" i="1"/>
  <c r="AY5482" i="1"/>
  <c r="AY5483" i="1"/>
  <c r="AY5484" i="1"/>
  <c r="AY5485" i="1"/>
  <c r="AY5486" i="1"/>
  <c r="AY5487" i="1"/>
  <c r="AY5488" i="1"/>
  <c r="AY5489" i="1"/>
  <c r="AY5490" i="1"/>
  <c r="AY5491" i="1"/>
  <c r="AY5492" i="1"/>
  <c r="AY5493" i="1"/>
  <c r="AY5494" i="1"/>
  <c r="AY5495" i="1"/>
  <c r="AY5496" i="1"/>
  <c r="AY5497" i="1"/>
  <c r="AY5498" i="1"/>
  <c r="AY5499" i="1"/>
  <c r="AY5500" i="1"/>
  <c r="AY5501" i="1"/>
  <c r="AY5502" i="1"/>
  <c r="AY5503" i="1"/>
  <c r="AY5504" i="1"/>
  <c r="AY5505" i="1"/>
  <c r="AY5506" i="1"/>
  <c r="AY5507" i="1"/>
  <c r="AY5508" i="1"/>
  <c r="AY5509" i="1"/>
  <c r="AY5510" i="1"/>
  <c r="AY5511" i="1"/>
  <c r="AY5512" i="1"/>
  <c r="AY5513" i="1"/>
  <c r="AY5514" i="1"/>
  <c r="AY5515" i="1"/>
  <c r="AY5516" i="1"/>
  <c r="AY5517" i="1"/>
  <c r="AY5518" i="1"/>
  <c r="AY5519" i="1"/>
  <c r="AY5520" i="1"/>
  <c r="AY5521" i="1"/>
  <c r="AY5522" i="1"/>
  <c r="AY5523" i="1"/>
  <c r="AY5524" i="1"/>
  <c r="AY5525" i="1"/>
  <c r="AY5526" i="1"/>
  <c r="AY5527" i="1"/>
  <c r="AY5528" i="1"/>
  <c r="AY5529" i="1"/>
  <c r="AY5530" i="1"/>
  <c r="AY5531" i="1"/>
  <c r="AY5532" i="1"/>
  <c r="AY5533" i="1"/>
  <c r="AY5534" i="1"/>
  <c r="AY5535" i="1"/>
  <c r="AY5536" i="1"/>
  <c r="AY5537" i="1"/>
  <c r="AY5538" i="1"/>
  <c r="AY5539" i="1"/>
  <c r="AY5540" i="1"/>
  <c r="AY5541" i="1"/>
  <c r="AY5542" i="1"/>
  <c r="AY5543" i="1"/>
  <c r="AY5544" i="1"/>
  <c r="AY5545" i="1"/>
  <c r="AY5546" i="1"/>
  <c r="AY5547" i="1"/>
  <c r="AY5548" i="1"/>
  <c r="AY5549" i="1"/>
  <c r="AY5550" i="1"/>
  <c r="AY5551" i="1"/>
  <c r="AY5552" i="1"/>
  <c r="AY5553" i="1"/>
  <c r="AY5554" i="1"/>
  <c r="AY5555" i="1"/>
  <c r="AY5556" i="1"/>
  <c r="AY5557" i="1"/>
  <c r="AY5558" i="1"/>
  <c r="AY5559" i="1"/>
  <c r="AY5560" i="1"/>
  <c r="AY5561" i="1"/>
  <c r="AY5562" i="1"/>
  <c r="AY5563" i="1"/>
  <c r="AY5564" i="1"/>
  <c r="AY5565" i="1"/>
  <c r="AY5566" i="1"/>
  <c r="AY5567" i="1"/>
  <c r="AY5568" i="1"/>
  <c r="AY5569" i="1"/>
  <c r="AY5570" i="1"/>
  <c r="AY5571" i="1"/>
  <c r="AY5572" i="1"/>
  <c r="AY5573" i="1"/>
  <c r="AY5574" i="1"/>
  <c r="AY5575" i="1"/>
  <c r="AY5576" i="1"/>
  <c r="AY5577" i="1"/>
  <c r="AY5578" i="1"/>
  <c r="AY5579" i="1"/>
  <c r="AY5580" i="1"/>
  <c r="AY5581" i="1"/>
  <c r="AY5582" i="1"/>
  <c r="AY5583" i="1"/>
  <c r="AY5584" i="1"/>
  <c r="AY5585" i="1"/>
  <c r="AY5586" i="1"/>
  <c r="AY5587" i="1"/>
  <c r="AY5588" i="1"/>
  <c r="AY5589" i="1"/>
  <c r="AY5590" i="1"/>
  <c r="AY5591" i="1"/>
  <c r="AY5592" i="1"/>
  <c r="AY5593" i="1"/>
  <c r="AY5594" i="1"/>
  <c r="AY5595" i="1"/>
  <c r="AY5596" i="1"/>
  <c r="AY5597" i="1"/>
  <c r="AY5598" i="1"/>
  <c r="AY5599" i="1"/>
  <c r="AY5600" i="1"/>
  <c r="AY5601" i="1"/>
  <c r="AY5602" i="1"/>
  <c r="AY5603" i="1"/>
  <c r="AY5604" i="1"/>
  <c r="AY5605" i="1"/>
  <c r="AY5606" i="1"/>
  <c r="AY5607" i="1"/>
  <c r="AY5608" i="1"/>
  <c r="AY5609" i="1"/>
  <c r="AY5610" i="1"/>
  <c r="AY5611" i="1"/>
  <c r="AY5612" i="1"/>
  <c r="AY5613" i="1"/>
  <c r="AY5614" i="1"/>
  <c r="AY5615" i="1"/>
  <c r="AY5616" i="1"/>
  <c r="AY5617" i="1"/>
  <c r="AY5618" i="1"/>
  <c r="AY5619" i="1"/>
  <c r="AY5620" i="1"/>
  <c r="AY5621" i="1"/>
  <c r="AY5622" i="1"/>
  <c r="AY5623" i="1"/>
  <c r="AY5624" i="1"/>
  <c r="AY5625" i="1"/>
  <c r="AY5626" i="1"/>
  <c r="AY5627" i="1"/>
  <c r="AY5628" i="1"/>
  <c r="AY5629" i="1"/>
  <c r="AY5630" i="1"/>
  <c r="AY5631" i="1"/>
  <c r="AY5632" i="1"/>
  <c r="AY5633" i="1"/>
  <c r="AY5634" i="1"/>
  <c r="AY5635" i="1"/>
  <c r="AY5636" i="1"/>
  <c r="AY5637" i="1"/>
  <c r="AY5638" i="1"/>
  <c r="AY5639" i="1"/>
  <c r="AY5640" i="1"/>
  <c r="AY5641" i="1"/>
  <c r="AY5642" i="1"/>
  <c r="AY5643" i="1"/>
  <c r="AY5644" i="1"/>
  <c r="AY5645" i="1"/>
  <c r="AY5646" i="1"/>
  <c r="AY5647" i="1"/>
  <c r="AY5648" i="1"/>
  <c r="AY5649" i="1"/>
  <c r="AY5650" i="1"/>
  <c r="AY5651" i="1"/>
  <c r="AY5652" i="1"/>
  <c r="AY5653" i="1"/>
  <c r="AY5654" i="1"/>
  <c r="AY5655" i="1"/>
  <c r="AY5656" i="1"/>
  <c r="AY5657" i="1"/>
  <c r="AY5658" i="1"/>
  <c r="AY5659" i="1"/>
  <c r="AY5660" i="1"/>
  <c r="AY5661" i="1"/>
  <c r="AY5662" i="1"/>
  <c r="AY5663" i="1"/>
  <c r="AY5664" i="1"/>
  <c r="AY5665" i="1"/>
  <c r="AY5666" i="1"/>
  <c r="AY5667" i="1"/>
  <c r="AY5668" i="1"/>
  <c r="AY5669" i="1"/>
  <c r="AY5670" i="1"/>
  <c r="AY5671" i="1"/>
  <c r="AY5672" i="1"/>
  <c r="AY5673" i="1"/>
  <c r="AY5674" i="1"/>
  <c r="AY5675" i="1"/>
  <c r="AY5676" i="1"/>
  <c r="AY5677" i="1"/>
  <c r="AY5678" i="1"/>
  <c r="AY5679" i="1"/>
  <c r="AY5680" i="1"/>
  <c r="AY5681" i="1"/>
  <c r="AY5682" i="1"/>
  <c r="AY5683" i="1"/>
  <c r="AY5684" i="1"/>
  <c r="AY5685" i="1"/>
  <c r="AY5686" i="1"/>
  <c r="AY5687" i="1"/>
  <c r="AY5688" i="1"/>
  <c r="AY5689" i="1"/>
  <c r="AY5690" i="1"/>
  <c r="AY5691" i="1"/>
  <c r="AY5692" i="1"/>
  <c r="AY5693" i="1"/>
  <c r="AY5694" i="1"/>
  <c r="AY5695" i="1"/>
  <c r="AY5696" i="1"/>
  <c r="AY5697" i="1"/>
  <c r="AY5698" i="1"/>
  <c r="AY5699" i="1"/>
  <c r="AY5700" i="1"/>
  <c r="AY5701" i="1"/>
  <c r="AY5702" i="1"/>
  <c r="AY5703" i="1"/>
  <c r="AY5704" i="1"/>
  <c r="AY5705" i="1"/>
  <c r="AY5706" i="1"/>
  <c r="AY5707" i="1"/>
  <c r="AY5708" i="1"/>
  <c r="AY5709" i="1"/>
  <c r="AY5710" i="1"/>
  <c r="AY5711" i="1"/>
  <c r="AY5712" i="1"/>
  <c r="AY5713" i="1"/>
  <c r="AY5714" i="1"/>
  <c r="AY5715" i="1"/>
  <c r="AY5716" i="1"/>
  <c r="AY5717" i="1"/>
  <c r="AY5718" i="1"/>
  <c r="AY5719" i="1"/>
  <c r="AY5720" i="1"/>
  <c r="AY5721" i="1"/>
  <c r="AY5722" i="1"/>
  <c r="AY5723" i="1"/>
  <c r="AY5724" i="1"/>
  <c r="AY5725" i="1"/>
  <c r="AY5726" i="1"/>
  <c r="AY5727" i="1"/>
  <c r="AY5728" i="1"/>
  <c r="AY5729" i="1"/>
  <c r="AY5730" i="1"/>
  <c r="AY5731" i="1"/>
  <c r="AY5732" i="1"/>
  <c r="AY5733" i="1"/>
  <c r="AY5734" i="1"/>
  <c r="AY5735" i="1"/>
  <c r="AY5736" i="1"/>
  <c r="AY5737" i="1"/>
  <c r="AY5738" i="1"/>
  <c r="AY5739" i="1"/>
  <c r="AY5740" i="1"/>
  <c r="AY5741" i="1"/>
  <c r="AY5742" i="1"/>
  <c r="AY5743" i="1"/>
  <c r="AY5744" i="1"/>
  <c r="AY5745" i="1"/>
  <c r="AY5746" i="1"/>
  <c r="AY5747" i="1"/>
  <c r="AY5748" i="1"/>
  <c r="AY5749" i="1"/>
  <c r="AY5750" i="1"/>
  <c r="AY5751" i="1"/>
  <c r="AY5752" i="1"/>
  <c r="AY5753" i="1"/>
  <c r="AY5754" i="1"/>
  <c r="AY5755" i="1"/>
  <c r="AY5756" i="1"/>
  <c r="AY5757" i="1"/>
  <c r="AY5758" i="1"/>
  <c r="AY5759" i="1"/>
  <c r="AY5760" i="1"/>
  <c r="AY5761" i="1"/>
  <c r="AY5762" i="1"/>
  <c r="AY5763" i="1"/>
  <c r="AY5764" i="1"/>
  <c r="AY5765" i="1"/>
  <c r="AY5766" i="1"/>
  <c r="AY5767" i="1"/>
  <c r="AY5768" i="1"/>
  <c r="AY5769" i="1"/>
  <c r="AY5770" i="1"/>
  <c r="AY5771" i="1"/>
  <c r="AY5772" i="1"/>
  <c r="AY5773" i="1"/>
  <c r="AY5774" i="1"/>
  <c r="AY5775" i="1"/>
  <c r="AY5776" i="1"/>
  <c r="AY5777" i="1"/>
  <c r="AY5778" i="1"/>
  <c r="AY5779" i="1"/>
  <c r="AY5780" i="1"/>
  <c r="AY5781" i="1"/>
  <c r="AY5782" i="1"/>
  <c r="AY5783" i="1"/>
  <c r="AY5784" i="1"/>
  <c r="AY5785" i="1"/>
  <c r="AY5786" i="1"/>
  <c r="AY5787" i="1"/>
  <c r="AY5788" i="1"/>
  <c r="AY5789" i="1"/>
  <c r="AY5790" i="1"/>
  <c r="AY5791" i="1"/>
  <c r="AY5792" i="1"/>
  <c r="AY5793" i="1"/>
  <c r="AY5794" i="1"/>
  <c r="AY5795" i="1"/>
  <c r="AY5796" i="1"/>
  <c r="AY5797" i="1"/>
  <c r="AY5798" i="1"/>
  <c r="AY5799" i="1"/>
  <c r="AY5800" i="1"/>
  <c r="AY5801" i="1"/>
  <c r="AY5802" i="1"/>
  <c r="AY5803" i="1"/>
  <c r="AY5804" i="1"/>
  <c r="AY5805" i="1"/>
  <c r="AY5806" i="1"/>
  <c r="AY5807" i="1"/>
  <c r="AY5808" i="1"/>
  <c r="AY5809" i="1"/>
  <c r="AY5810" i="1"/>
  <c r="AY5811" i="1"/>
  <c r="AY5812" i="1"/>
  <c r="AY5813" i="1"/>
  <c r="AY5814" i="1"/>
  <c r="AY5815" i="1"/>
  <c r="AY5816" i="1"/>
  <c r="AY5817" i="1"/>
  <c r="AY5818" i="1"/>
  <c r="AY5819" i="1"/>
  <c r="AY5820" i="1"/>
  <c r="AY5821" i="1"/>
  <c r="AY5822" i="1"/>
  <c r="AY5823" i="1"/>
  <c r="AY5824" i="1"/>
  <c r="AY5825" i="1"/>
  <c r="AY5826" i="1"/>
  <c r="AY5827" i="1"/>
  <c r="AY5828" i="1"/>
  <c r="AY5829" i="1"/>
  <c r="AY5830" i="1"/>
  <c r="AY5831" i="1"/>
  <c r="AY5832" i="1"/>
  <c r="AY5833" i="1"/>
  <c r="AY5834" i="1"/>
  <c r="AY5835" i="1"/>
  <c r="AY5836" i="1"/>
  <c r="AY5837" i="1"/>
  <c r="AY5838" i="1"/>
  <c r="AY5839" i="1"/>
  <c r="AY5840" i="1"/>
  <c r="AY5841" i="1"/>
  <c r="AY5842" i="1"/>
  <c r="AY5843" i="1"/>
  <c r="AY5844" i="1"/>
  <c r="AY5845" i="1"/>
  <c r="AY5846" i="1"/>
  <c r="AY5847" i="1"/>
  <c r="AY5848" i="1"/>
  <c r="AY5849" i="1"/>
  <c r="AY5850" i="1"/>
  <c r="AY5851" i="1"/>
  <c r="AY5852" i="1"/>
  <c r="AY5853" i="1"/>
  <c r="AY5854" i="1"/>
  <c r="AY5855" i="1"/>
  <c r="AY5856" i="1"/>
  <c r="AY5857" i="1"/>
  <c r="AY5858" i="1"/>
  <c r="AY5859" i="1"/>
  <c r="AY5860" i="1"/>
  <c r="AY5861" i="1"/>
  <c r="AY5862" i="1"/>
  <c r="AY5863" i="1"/>
  <c r="AY5864" i="1"/>
  <c r="AY5865" i="1"/>
  <c r="AY5866" i="1"/>
  <c r="AY5867" i="1"/>
  <c r="AY5868" i="1"/>
  <c r="AY5869" i="1"/>
  <c r="AY5870" i="1"/>
  <c r="AY5871" i="1"/>
  <c r="AY5872" i="1"/>
  <c r="AY5873" i="1"/>
  <c r="AY5874" i="1"/>
  <c r="AY5875" i="1"/>
  <c r="AY5876" i="1"/>
  <c r="AY5877" i="1"/>
  <c r="AY5878" i="1"/>
  <c r="AY5879" i="1"/>
  <c r="AY5880" i="1"/>
  <c r="AY5881" i="1"/>
  <c r="AY5882" i="1"/>
  <c r="AY5883" i="1"/>
  <c r="AY5884" i="1"/>
  <c r="AY5885" i="1"/>
  <c r="AY5886" i="1"/>
  <c r="AY5887" i="1"/>
  <c r="AY5888" i="1"/>
  <c r="AY5889" i="1"/>
  <c r="AY5890" i="1"/>
  <c r="AY5891" i="1"/>
  <c r="AY5892" i="1"/>
  <c r="AY5893" i="1"/>
  <c r="AY5894" i="1"/>
  <c r="AY5895" i="1"/>
  <c r="AY5896" i="1"/>
  <c r="AY5897" i="1"/>
  <c r="AY5898" i="1"/>
  <c r="AY5899" i="1"/>
  <c r="AY5900" i="1"/>
  <c r="AY5901" i="1"/>
  <c r="AY5902" i="1"/>
  <c r="AY5903" i="1"/>
  <c r="AY5904" i="1"/>
  <c r="AY5905" i="1"/>
  <c r="AY5906" i="1"/>
  <c r="AY5907" i="1"/>
  <c r="AY5908" i="1"/>
  <c r="AY5909" i="1"/>
  <c r="AY5910" i="1"/>
  <c r="AY5911" i="1"/>
  <c r="AY5912" i="1"/>
  <c r="AY5913" i="1"/>
  <c r="AY5914" i="1"/>
  <c r="AY5915" i="1"/>
  <c r="AY5916" i="1"/>
  <c r="AY5917" i="1"/>
  <c r="AY5918" i="1"/>
  <c r="AY5919" i="1"/>
  <c r="AY5920" i="1"/>
  <c r="AY5921" i="1"/>
  <c r="AY5922" i="1"/>
  <c r="AY5923" i="1"/>
  <c r="AY5924" i="1"/>
  <c r="AY5925" i="1"/>
  <c r="AY5926" i="1"/>
  <c r="AY5927" i="1"/>
  <c r="AY5928" i="1"/>
  <c r="AY5929" i="1"/>
  <c r="AY5930" i="1"/>
  <c r="AY5931" i="1"/>
  <c r="AY5932" i="1"/>
  <c r="AY5933" i="1"/>
  <c r="AY5934" i="1"/>
  <c r="AY5935" i="1"/>
  <c r="AY5936" i="1"/>
  <c r="AY5937" i="1"/>
  <c r="AY5938" i="1"/>
  <c r="AY5939" i="1"/>
  <c r="AY5940" i="1"/>
  <c r="AY5941" i="1"/>
  <c r="AY5942" i="1"/>
  <c r="AY5943" i="1"/>
  <c r="AY5944" i="1"/>
  <c r="AY5945" i="1"/>
  <c r="AY5946" i="1"/>
  <c r="AY5947" i="1"/>
  <c r="AY5948" i="1"/>
  <c r="AY5949" i="1"/>
  <c r="AY5950" i="1"/>
  <c r="AY5951" i="1"/>
  <c r="AY5952" i="1"/>
  <c r="AY5953" i="1"/>
  <c r="AY5954" i="1"/>
  <c r="AY5955" i="1"/>
  <c r="AY5956" i="1"/>
  <c r="AY5957" i="1"/>
  <c r="AY5958" i="1"/>
  <c r="AY5959" i="1"/>
  <c r="AY5960" i="1"/>
  <c r="AY5961" i="1"/>
  <c r="AY5962" i="1"/>
  <c r="AY5963" i="1"/>
  <c r="AY5964" i="1"/>
  <c r="AY5965" i="1"/>
  <c r="AY5966" i="1"/>
  <c r="AY5967" i="1"/>
  <c r="AY5968" i="1"/>
  <c r="AY5969" i="1"/>
  <c r="AY5970" i="1"/>
  <c r="AY5971" i="1"/>
  <c r="AY5972" i="1"/>
  <c r="AY5973" i="1"/>
  <c r="AY5974" i="1"/>
  <c r="AY5975" i="1"/>
  <c r="AY5976" i="1"/>
  <c r="AY5977" i="1"/>
  <c r="AY5978" i="1"/>
  <c r="AY5979" i="1"/>
  <c r="AY5980" i="1"/>
  <c r="AY5981" i="1"/>
  <c r="AY5982" i="1"/>
  <c r="AY5983" i="1"/>
  <c r="AY5984" i="1"/>
  <c r="AY5985" i="1"/>
  <c r="AY5986" i="1"/>
  <c r="AY5987" i="1"/>
  <c r="AY5988" i="1"/>
  <c r="AY5989" i="1"/>
  <c r="AY5990" i="1"/>
  <c r="AY5991" i="1"/>
  <c r="AY5992" i="1"/>
  <c r="AY5993" i="1"/>
  <c r="AY5994" i="1"/>
  <c r="AY5995" i="1"/>
  <c r="AY5996" i="1"/>
  <c r="AY5997" i="1"/>
  <c r="AY5998" i="1"/>
  <c r="AY5999" i="1"/>
  <c r="AY6000" i="1"/>
  <c r="AY6001" i="1"/>
  <c r="AY6002" i="1"/>
  <c r="AY6003" i="1"/>
  <c r="AY6004" i="1"/>
  <c r="AY6005" i="1"/>
  <c r="AY6006" i="1"/>
  <c r="AY6007" i="1"/>
  <c r="AY6008" i="1"/>
  <c r="AY6009" i="1"/>
  <c r="AY6010" i="1"/>
  <c r="AY6011" i="1"/>
  <c r="AY6012" i="1"/>
  <c r="AY6013" i="1"/>
  <c r="AY6014" i="1"/>
  <c r="AY6015" i="1"/>
  <c r="AY6016" i="1"/>
  <c r="AY6017" i="1"/>
  <c r="AY6018" i="1"/>
  <c r="AY6019" i="1"/>
  <c r="AY6020" i="1"/>
  <c r="AY6021" i="1"/>
  <c r="AY6022" i="1"/>
  <c r="AY6023" i="1"/>
  <c r="AY6024" i="1"/>
  <c r="AY6025" i="1"/>
  <c r="AY6026" i="1"/>
  <c r="AY6027" i="1"/>
  <c r="AY6028" i="1"/>
  <c r="AY6029" i="1"/>
  <c r="AY6030" i="1"/>
  <c r="AY6031" i="1"/>
  <c r="AY6032" i="1"/>
  <c r="AY6033" i="1"/>
  <c r="AY6034" i="1"/>
  <c r="AY6035" i="1"/>
  <c r="AY6036" i="1"/>
  <c r="AY6037" i="1"/>
  <c r="AY6038" i="1"/>
  <c r="AY6039" i="1"/>
  <c r="AY6040" i="1"/>
  <c r="AY6041" i="1"/>
  <c r="AY6042" i="1"/>
  <c r="AY6043" i="1"/>
  <c r="AY6044" i="1"/>
  <c r="AY6045" i="1"/>
  <c r="AY6046" i="1"/>
  <c r="AY6047" i="1"/>
  <c r="AY6048" i="1"/>
  <c r="AY6049" i="1"/>
  <c r="AY6050" i="1"/>
  <c r="AY6051" i="1"/>
  <c r="AY6052" i="1"/>
  <c r="AY6053" i="1"/>
  <c r="AY6054" i="1"/>
  <c r="AY6055" i="1"/>
  <c r="AY6056" i="1"/>
  <c r="AY6057" i="1"/>
  <c r="AY6058" i="1"/>
  <c r="AY6059" i="1"/>
  <c r="AY6060" i="1"/>
  <c r="AY6061" i="1"/>
  <c r="AY6062" i="1"/>
  <c r="AY6063" i="1"/>
  <c r="AY6064" i="1"/>
  <c r="AY6065" i="1"/>
  <c r="AY6066" i="1"/>
  <c r="AY6067" i="1"/>
  <c r="AY6068" i="1"/>
  <c r="AY6069" i="1"/>
  <c r="AY6070" i="1"/>
  <c r="AY6071" i="1"/>
  <c r="AY6072" i="1"/>
  <c r="AY6073" i="1"/>
  <c r="AY6074" i="1"/>
  <c r="AY6075" i="1"/>
  <c r="AY6076" i="1"/>
  <c r="AY6077" i="1"/>
  <c r="AY6078" i="1"/>
  <c r="AY6079" i="1"/>
  <c r="AY6080" i="1"/>
  <c r="AY6081" i="1"/>
  <c r="AY6082" i="1"/>
  <c r="AY6083" i="1"/>
  <c r="AY6084" i="1"/>
  <c r="AY6085" i="1"/>
  <c r="AY6086" i="1"/>
  <c r="AY6087" i="1"/>
  <c r="AY6088" i="1"/>
  <c r="AY6089" i="1"/>
  <c r="AY6090" i="1"/>
  <c r="AY6091" i="1"/>
  <c r="AY6092" i="1"/>
  <c r="AY6093" i="1"/>
  <c r="AY6094" i="1"/>
  <c r="AY6095" i="1"/>
  <c r="AY6096" i="1"/>
  <c r="AY6097" i="1"/>
  <c r="AY6098" i="1"/>
  <c r="AY6099" i="1"/>
  <c r="AY6100" i="1"/>
  <c r="AY6101" i="1"/>
  <c r="AY6102" i="1"/>
  <c r="AY6103" i="1"/>
  <c r="AY6104" i="1"/>
  <c r="AY6105" i="1"/>
  <c r="AY6106" i="1"/>
  <c r="AY6107" i="1"/>
  <c r="AY6108" i="1"/>
  <c r="AY6109" i="1"/>
  <c r="AY6110" i="1"/>
  <c r="AY6111" i="1"/>
  <c r="AY6112" i="1"/>
  <c r="AY6113" i="1"/>
  <c r="AY6114" i="1"/>
  <c r="AY6115" i="1"/>
  <c r="AY6116" i="1"/>
  <c r="AY6117" i="1"/>
  <c r="AY6118" i="1"/>
  <c r="AY6119" i="1"/>
  <c r="AY6120" i="1"/>
  <c r="AY6121" i="1"/>
  <c r="AY6122" i="1"/>
  <c r="AY6123" i="1"/>
  <c r="AY6124" i="1"/>
  <c r="AY6125" i="1"/>
  <c r="AY6126" i="1"/>
  <c r="AY6127" i="1"/>
  <c r="AY6128" i="1"/>
  <c r="AY6129" i="1"/>
  <c r="AY6130" i="1"/>
  <c r="AY6131" i="1"/>
  <c r="AY6132" i="1"/>
  <c r="AY6133" i="1"/>
  <c r="AY6134" i="1"/>
  <c r="AY6135" i="1"/>
  <c r="AY6136" i="1"/>
  <c r="AY6137" i="1"/>
  <c r="AY6138" i="1"/>
  <c r="AY6139" i="1"/>
  <c r="AY6140" i="1"/>
  <c r="AY6141" i="1"/>
  <c r="AY6142" i="1"/>
  <c r="AY6143" i="1"/>
  <c r="AY6144" i="1"/>
  <c r="AY6145" i="1"/>
  <c r="AY6146" i="1"/>
  <c r="AY6147" i="1"/>
  <c r="AY6148" i="1"/>
  <c r="AY6149" i="1"/>
  <c r="AY6150" i="1"/>
  <c r="AY6151" i="1"/>
  <c r="AY6152" i="1"/>
  <c r="AY6153" i="1"/>
  <c r="AY6154" i="1"/>
  <c r="AY6155" i="1"/>
  <c r="AY6156" i="1"/>
  <c r="AY6157" i="1"/>
  <c r="AY6158" i="1"/>
  <c r="AY6159" i="1"/>
  <c r="AY6160" i="1"/>
  <c r="AY6161" i="1"/>
  <c r="AY6162" i="1"/>
  <c r="AY6163" i="1"/>
  <c r="AY6164" i="1"/>
  <c r="AY6165" i="1"/>
  <c r="AY6166" i="1"/>
  <c r="AY6167" i="1"/>
  <c r="AY6168" i="1"/>
  <c r="AY6169" i="1"/>
  <c r="AY6170" i="1"/>
  <c r="AY6171" i="1"/>
  <c r="AY6172" i="1"/>
  <c r="AY6173" i="1"/>
  <c r="AY6174" i="1"/>
  <c r="AY6175" i="1"/>
  <c r="AY6176" i="1"/>
  <c r="AY6177" i="1"/>
  <c r="AY6178" i="1"/>
  <c r="AY6179" i="1"/>
  <c r="AY6180" i="1"/>
  <c r="AY6181" i="1"/>
  <c r="AY6182" i="1"/>
  <c r="AY6183" i="1"/>
  <c r="AY6184" i="1"/>
  <c r="AY6185" i="1"/>
  <c r="AY6186" i="1"/>
  <c r="AY6187" i="1"/>
  <c r="AY6188" i="1"/>
  <c r="AY6189" i="1"/>
  <c r="AY6190" i="1"/>
  <c r="AY6191" i="1"/>
  <c r="AY6192" i="1"/>
  <c r="AY6193" i="1"/>
  <c r="AY6194" i="1"/>
  <c r="AY6195" i="1"/>
  <c r="AY6196" i="1"/>
  <c r="AY6197" i="1"/>
  <c r="AY6198" i="1"/>
  <c r="AY6199" i="1"/>
  <c r="AY6200" i="1"/>
  <c r="AY6201" i="1"/>
  <c r="AY6202" i="1"/>
  <c r="AY6203" i="1"/>
  <c r="AY6204" i="1"/>
  <c r="AY6205" i="1"/>
  <c r="AY6206" i="1"/>
  <c r="AY6207" i="1"/>
  <c r="AY6208" i="1"/>
  <c r="AY6209" i="1"/>
  <c r="AY6210" i="1"/>
  <c r="AY6211" i="1"/>
  <c r="AY6212" i="1"/>
  <c r="AY6213" i="1"/>
  <c r="AY6214" i="1"/>
  <c r="AY6215" i="1"/>
  <c r="AY6216" i="1"/>
  <c r="AY6217" i="1"/>
  <c r="AY6218" i="1"/>
  <c r="AY6219" i="1"/>
  <c r="AY6220" i="1"/>
  <c r="AY6221" i="1"/>
  <c r="AY6222" i="1"/>
  <c r="AY6223" i="1"/>
  <c r="AY6224" i="1"/>
  <c r="AY6225" i="1"/>
  <c r="AY6226" i="1"/>
  <c r="AY6227" i="1"/>
  <c r="AY6228" i="1"/>
  <c r="AY6229" i="1"/>
  <c r="AY6230" i="1"/>
  <c r="AY6231" i="1"/>
  <c r="AY6232" i="1"/>
  <c r="AY6233" i="1"/>
  <c r="AY6234" i="1"/>
  <c r="AY6235" i="1"/>
  <c r="AY6236" i="1"/>
  <c r="AY6237" i="1"/>
  <c r="AY6238" i="1"/>
  <c r="AY6239" i="1"/>
  <c r="AY6240" i="1"/>
  <c r="AY6241" i="1"/>
  <c r="AY6242" i="1"/>
  <c r="AY6243" i="1"/>
  <c r="AY6244" i="1"/>
  <c r="AY6245" i="1"/>
  <c r="AY6246" i="1"/>
  <c r="AY6247" i="1"/>
  <c r="AY6248" i="1"/>
  <c r="AY6249" i="1"/>
  <c r="AY6250" i="1"/>
  <c r="AY6251" i="1"/>
  <c r="AY6252" i="1"/>
  <c r="AY6253" i="1"/>
  <c r="AY6254" i="1"/>
  <c r="AY6255" i="1"/>
  <c r="AY6256" i="1"/>
  <c r="AY6257" i="1"/>
  <c r="AY6258" i="1"/>
  <c r="AY6259" i="1"/>
  <c r="AY6260" i="1"/>
  <c r="AY6261" i="1"/>
  <c r="AY6262" i="1"/>
  <c r="AY6263" i="1"/>
  <c r="AY6264" i="1"/>
  <c r="AY6265" i="1"/>
  <c r="AY6266" i="1"/>
  <c r="AY6267" i="1"/>
  <c r="AY6268" i="1"/>
  <c r="AY6269" i="1"/>
  <c r="AY6270" i="1"/>
  <c r="AY6271" i="1"/>
  <c r="AY6272" i="1"/>
  <c r="AY6273" i="1"/>
  <c r="AY6274" i="1"/>
  <c r="AY6275" i="1"/>
  <c r="AY6276" i="1"/>
  <c r="AY6277" i="1"/>
  <c r="AY6278" i="1"/>
  <c r="AY6279" i="1"/>
  <c r="AY6280" i="1"/>
  <c r="AY6281" i="1"/>
  <c r="AY6282" i="1"/>
  <c r="AY6283" i="1"/>
  <c r="AY6284" i="1"/>
  <c r="AY6285" i="1"/>
  <c r="AY6286" i="1"/>
  <c r="AY6287" i="1"/>
  <c r="AY6288" i="1"/>
  <c r="AY6289" i="1"/>
  <c r="AY6290" i="1"/>
  <c r="AY6291" i="1"/>
  <c r="AY6292" i="1"/>
  <c r="AY6293" i="1"/>
  <c r="AY6294" i="1"/>
  <c r="AY6295" i="1"/>
  <c r="AY6296" i="1"/>
  <c r="AY6297" i="1"/>
  <c r="AY6298" i="1"/>
  <c r="AY6299" i="1"/>
  <c r="AY6300" i="1"/>
  <c r="AY6301" i="1"/>
  <c r="AY6302" i="1"/>
  <c r="AY6303" i="1"/>
  <c r="AY6304" i="1"/>
  <c r="AY6305" i="1"/>
  <c r="AY6306" i="1"/>
  <c r="AY6307" i="1"/>
  <c r="AY6308" i="1"/>
  <c r="AY6309" i="1"/>
  <c r="AY6310" i="1"/>
  <c r="AY6311" i="1"/>
  <c r="AY6312" i="1"/>
  <c r="AY6313" i="1"/>
  <c r="AY6314" i="1"/>
  <c r="AY6315" i="1"/>
  <c r="AY6316" i="1"/>
  <c r="AY6317" i="1"/>
  <c r="AY6318" i="1"/>
  <c r="AY6319" i="1"/>
  <c r="AY6320" i="1"/>
  <c r="AY6321" i="1"/>
  <c r="AY6322" i="1"/>
  <c r="AY6323" i="1"/>
  <c r="AY6324" i="1"/>
  <c r="AY6325" i="1"/>
  <c r="AY6326" i="1"/>
  <c r="AY6327" i="1"/>
  <c r="AY6328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00" i="1"/>
  <c r="AX301" i="1"/>
  <c r="AX302" i="1"/>
  <c r="AX303" i="1"/>
  <c r="AX304" i="1"/>
  <c r="AX305" i="1"/>
  <c r="AX306" i="1"/>
  <c r="AX307" i="1"/>
  <c r="AX308" i="1"/>
  <c r="AX309" i="1"/>
  <c r="AX310" i="1"/>
  <c r="AX311" i="1"/>
  <c r="AX312" i="1"/>
  <c r="AX313" i="1"/>
  <c r="AX314" i="1"/>
  <c r="AX315" i="1"/>
  <c r="AX316" i="1"/>
  <c r="AX317" i="1"/>
  <c r="AX318" i="1"/>
  <c r="AX319" i="1"/>
  <c r="AX320" i="1"/>
  <c r="AX321" i="1"/>
  <c r="AX322" i="1"/>
  <c r="AX323" i="1"/>
  <c r="AX324" i="1"/>
  <c r="AX325" i="1"/>
  <c r="AX326" i="1"/>
  <c r="AX327" i="1"/>
  <c r="AX328" i="1"/>
  <c r="AX329" i="1"/>
  <c r="AX330" i="1"/>
  <c r="AX331" i="1"/>
  <c r="AX332" i="1"/>
  <c r="AX333" i="1"/>
  <c r="AX334" i="1"/>
  <c r="AX335" i="1"/>
  <c r="AX336" i="1"/>
  <c r="AX337" i="1"/>
  <c r="AX338" i="1"/>
  <c r="AX339" i="1"/>
  <c r="AX340" i="1"/>
  <c r="AX341" i="1"/>
  <c r="AX342" i="1"/>
  <c r="AX343" i="1"/>
  <c r="AX344" i="1"/>
  <c r="AX345" i="1"/>
  <c r="AX346" i="1"/>
  <c r="AX347" i="1"/>
  <c r="AX348" i="1"/>
  <c r="AX349" i="1"/>
  <c r="AX350" i="1"/>
  <c r="AX351" i="1"/>
  <c r="AX352" i="1"/>
  <c r="AX353" i="1"/>
  <c r="AX354" i="1"/>
  <c r="AX355" i="1"/>
  <c r="AX356" i="1"/>
  <c r="AX357" i="1"/>
  <c r="AX358" i="1"/>
  <c r="AX359" i="1"/>
  <c r="AX360" i="1"/>
  <c r="AX361" i="1"/>
  <c r="AX362" i="1"/>
  <c r="AX363" i="1"/>
  <c r="AX364" i="1"/>
  <c r="AX365" i="1"/>
  <c r="AX366" i="1"/>
  <c r="AX367" i="1"/>
  <c r="AX368" i="1"/>
  <c r="AX369" i="1"/>
  <c r="AX370" i="1"/>
  <c r="AX371" i="1"/>
  <c r="AX372" i="1"/>
  <c r="AX373" i="1"/>
  <c r="AX374" i="1"/>
  <c r="AX375" i="1"/>
  <c r="AX376" i="1"/>
  <c r="AX377" i="1"/>
  <c r="AX378" i="1"/>
  <c r="AX379" i="1"/>
  <c r="AX380" i="1"/>
  <c r="AX381" i="1"/>
  <c r="AX382" i="1"/>
  <c r="AX383" i="1"/>
  <c r="AX384" i="1"/>
  <c r="AX385" i="1"/>
  <c r="AX386" i="1"/>
  <c r="AX387" i="1"/>
  <c r="AX388" i="1"/>
  <c r="AX389" i="1"/>
  <c r="AX390" i="1"/>
  <c r="AX391" i="1"/>
  <c r="AX392" i="1"/>
  <c r="AX393" i="1"/>
  <c r="AX394" i="1"/>
  <c r="AX395" i="1"/>
  <c r="AX396" i="1"/>
  <c r="AX397" i="1"/>
  <c r="AX398" i="1"/>
  <c r="AX399" i="1"/>
  <c r="AX400" i="1"/>
  <c r="AX401" i="1"/>
  <c r="AX402" i="1"/>
  <c r="AX403" i="1"/>
  <c r="AX404" i="1"/>
  <c r="AX405" i="1"/>
  <c r="AX406" i="1"/>
  <c r="AX407" i="1"/>
  <c r="AX408" i="1"/>
  <c r="AX409" i="1"/>
  <c r="AX410" i="1"/>
  <c r="AX411" i="1"/>
  <c r="AX412" i="1"/>
  <c r="AX413" i="1"/>
  <c r="AX414" i="1"/>
  <c r="AX415" i="1"/>
  <c r="AX416" i="1"/>
  <c r="AX417" i="1"/>
  <c r="AX418" i="1"/>
  <c r="AX419" i="1"/>
  <c r="AX420" i="1"/>
  <c r="AX421" i="1"/>
  <c r="AX422" i="1"/>
  <c r="AX423" i="1"/>
  <c r="AX424" i="1"/>
  <c r="AX425" i="1"/>
  <c r="AX426" i="1"/>
  <c r="AX427" i="1"/>
  <c r="AX428" i="1"/>
  <c r="AX429" i="1"/>
  <c r="AX430" i="1"/>
  <c r="AX431" i="1"/>
  <c r="AX432" i="1"/>
  <c r="AX433" i="1"/>
  <c r="AX434" i="1"/>
  <c r="AX435" i="1"/>
  <c r="AX436" i="1"/>
  <c r="AX437" i="1"/>
  <c r="AX438" i="1"/>
  <c r="AX439" i="1"/>
  <c r="AX440" i="1"/>
  <c r="AX441" i="1"/>
  <c r="AX442" i="1"/>
  <c r="AX443" i="1"/>
  <c r="AX444" i="1"/>
  <c r="AX445" i="1"/>
  <c r="AX446" i="1"/>
  <c r="AX447" i="1"/>
  <c r="AX448" i="1"/>
  <c r="AX449" i="1"/>
  <c r="AX450" i="1"/>
  <c r="AX451" i="1"/>
  <c r="AX452" i="1"/>
  <c r="AX453" i="1"/>
  <c r="AX454" i="1"/>
  <c r="AX455" i="1"/>
  <c r="AX456" i="1"/>
  <c r="AX457" i="1"/>
  <c r="AX458" i="1"/>
  <c r="AX459" i="1"/>
  <c r="AX460" i="1"/>
  <c r="AX461" i="1"/>
  <c r="AX462" i="1"/>
  <c r="AX463" i="1"/>
  <c r="AX464" i="1"/>
  <c r="AX465" i="1"/>
  <c r="AX466" i="1"/>
  <c r="AX467" i="1"/>
  <c r="AX468" i="1"/>
  <c r="AX469" i="1"/>
  <c r="AX470" i="1"/>
  <c r="AX471" i="1"/>
  <c r="AX472" i="1"/>
  <c r="AX473" i="1"/>
  <c r="AX474" i="1"/>
  <c r="AX475" i="1"/>
  <c r="AX476" i="1"/>
  <c r="AX477" i="1"/>
  <c r="AX478" i="1"/>
  <c r="AX479" i="1"/>
  <c r="AX480" i="1"/>
  <c r="AX481" i="1"/>
  <c r="AX482" i="1"/>
  <c r="AX483" i="1"/>
  <c r="AX484" i="1"/>
  <c r="AX485" i="1"/>
  <c r="AX486" i="1"/>
  <c r="AX487" i="1"/>
  <c r="AX488" i="1"/>
  <c r="AX489" i="1"/>
  <c r="AX490" i="1"/>
  <c r="AX491" i="1"/>
  <c r="AX492" i="1"/>
  <c r="AX493" i="1"/>
  <c r="AX494" i="1"/>
  <c r="AX495" i="1"/>
  <c r="AX496" i="1"/>
  <c r="AX497" i="1"/>
  <c r="AX498" i="1"/>
  <c r="AX499" i="1"/>
  <c r="AX500" i="1"/>
  <c r="AX501" i="1"/>
  <c r="AX502" i="1"/>
  <c r="AX503" i="1"/>
  <c r="AX504" i="1"/>
  <c r="AX505" i="1"/>
  <c r="AX506" i="1"/>
  <c r="AX507" i="1"/>
  <c r="AX508" i="1"/>
  <c r="AX509" i="1"/>
  <c r="AX510" i="1"/>
  <c r="AX511" i="1"/>
  <c r="AX512" i="1"/>
  <c r="AX513" i="1"/>
  <c r="AX514" i="1"/>
  <c r="AX515" i="1"/>
  <c r="AX516" i="1"/>
  <c r="AX517" i="1"/>
  <c r="AX518" i="1"/>
  <c r="AX519" i="1"/>
  <c r="AX520" i="1"/>
  <c r="AX521" i="1"/>
  <c r="AX522" i="1"/>
  <c r="AX523" i="1"/>
  <c r="AX524" i="1"/>
  <c r="AX525" i="1"/>
  <c r="AX526" i="1"/>
  <c r="AX527" i="1"/>
  <c r="AX528" i="1"/>
  <c r="AX529" i="1"/>
  <c r="AX530" i="1"/>
  <c r="AX531" i="1"/>
  <c r="AX532" i="1"/>
  <c r="AX533" i="1"/>
  <c r="AX534" i="1"/>
  <c r="AX535" i="1"/>
  <c r="AX536" i="1"/>
  <c r="AX537" i="1"/>
  <c r="AX538" i="1"/>
  <c r="AX539" i="1"/>
  <c r="AX540" i="1"/>
  <c r="AX541" i="1"/>
  <c r="AX542" i="1"/>
  <c r="AX543" i="1"/>
  <c r="AX544" i="1"/>
  <c r="AX545" i="1"/>
  <c r="AX546" i="1"/>
  <c r="AX547" i="1"/>
  <c r="AX548" i="1"/>
  <c r="AX549" i="1"/>
  <c r="AX550" i="1"/>
  <c r="AX551" i="1"/>
  <c r="AX552" i="1"/>
  <c r="AX553" i="1"/>
  <c r="AX554" i="1"/>
  <c r="AX555" i="1"/>
  <c r="AX556" i="1"/>
  <c r="AX557" i="1"/>
  <c r="AX558" i="1"/>
  <c r="AX559" i="1"/>
  <c r="AX560" i="1"/>
  <c r="AX561" i="1"/>
  <c r="AX562" i="1"/>
  <c r="AX563" i="1"/>
  <c r="AX564" i="1"/>
  <c r="AX565" i="1"/>
  <c r="AX566" i="1"/>
  <c r="AX567" i="1"/>
  <c r="AX568" i="1"/>
  <c r="AX569" i="1"/>
  <c r="AX570" i="1"/>
  <c r="AX571" i="1"/>
  <c r="AX572" i="1"/>
  <c r="AX573" i="1"/>
  <c r="AX574" i="1"/>
  <c r="AX575" i="1"/>
  <c r="AX576" i="1"/>
  <c r="AX577" i="1"/>
  <c r="AX578" i="1"/>
  <c r="AX579" i="1"/>
  <c r="AX580" i="1"/>
  <c r="AX581" i="1"/>
  <c r="AX582" i="1"/>
  <c r="AX583" i="1"/>
  <c r="AX584" i="1"/>
  <c r="AX585" i="1"/>
  <c r="AX586" i="1"/>
  <c r="AX587" i="1"/>
  <c r="AX588" i="1"/>
  <c r="AX589" i="1"/>
  <c r="AX590" i="1"/>
  <c r="AX591" i="1"/>
  <c r="AX592" i="1"/>
  <c r="AX593" i="1"/>
  <c r="AX594" i="1"/>
  <c r="AX595" i="1"/>
  <c r="AX596" i="1"/>
  <c r="AX597" i="1"/>
  <c r="AX598" i="1"/>
  <c r="AX599" i="1"/>
  <c r="AX600" i="1"/>
  <c r="AX601" i="1"/>
  <c r="AX602" i="1"/>
  <c r="AX603" i="1"/>
  <c r="AX604" i="1"/>
  <c r="AX605" i="1"/>
  <c r="AX606" i="1"/>
  <c r="AX607" i="1"/>
  <c r="AX608" i="1"/>
  <c r="AX609" i="1"/>
  <c r="AX610" i="1"/>
  <c r="AX611" i="1"/>
  <c r="AX612" i="1"/>
  <c r="AX613" i="1"/>
  <c r="AX614" i="1"/>
  <c r="AX615" i="1"/>
  <c r="AX616" i="1"/>
  <c r="AX617" i="1"/>
  <c r="AX618" i="1"/>
  <c r="AX619" i="1"/>
  <c r="AX620" i="1"/>
  <c r="AX621" i="1"/>
  <c r="AX622" i="1"/>
  <c r="AX623" i="1"/>
  <c r="AX624" i="1"/>
  <c r="AX625" i="1"/>
  <c r="AX626" i="1"/>
  <c r="AX627" i="1"/>
  <c r="AX628" i="1"/>
  <c r="AX629" i="1"/>
  <c r="AX630" i="1"/>
  <c r="AX631" i="1"/>
  <c r="AX632" i="1"/>
  <c r="AX633" i="1"/>
  <c r="AX634" i="1"/>
  <c r="AX635" i="1"/>
  <c r="AX636" i="1"/>
  <c r="AX637" i="1"/>
  <c r="AX638" i="1"/>
  <c r="AX639" i="1"/>
  <c r="AX640" i="1"/>
  <c r="AX641" i="1"/>
  <c r="AX642" i="1"/>
  <c r="AX643" i="1"/>
  <c r="AX644" i="1"/>
  <c r="AX645" i="1"/>
  <c r="AX646" i="1"/>
  <c r="AX647" i="1"/>
  <c r="AX648" i="1"/>
  <c r="AX649" i="1"/>
  <c r="AX650" i="1"/>
  <c r="AX651" i="1"/>
  <c r="AX652" i="1"/>
  <c r="AX653" i="1"/>
  <c r="AX654" i="1"/>
  <c r="AX655" i="1"/>
  <c r="AX656" i="1"/>
  <c r="AX657" i="1"/>
  <c r="AX658" i="1"/>
  <c r="AX659" i="1"/>
  <c r="AX660" i="1"/>
  <c r="AX661" i="1"/>
  <c r="AX662" i="1"/>
  <c r="AX663" i="1"/>
  <c r="AX664" i="1"/>
  <c r="AX665" i="1"/>
  <c r="AX666" i="1"/>
  <c r="AX667" i="1"/>
  <c r="AX668" i="1"/>
  <c r="AX669" i="1"/>
  <c r="AX670" i="1"/>
  <c r="AX671" i="1"/>
  <c r="AX672" i="1"/>
  <c r="AX673" i="1"/>
  <c r="AX674" i="1"/>
  <c r="AX675" i="1"/>
  <c r="AX676" i="1"/>
  <c r="AX677" i="1"/>
  <c r="AX678" i="1"/>
  <c r="AX679" i="1"/>
  <c r="AX680" i="1"/>
  <c r="AX681" i="1"/>
  <c r="AX682" i="1"/>
  <c r="AX683" i="1"/>
  <c r="AX684" i="1"/>
  <c r="AX685" i="1"/>
  <c r="AX686" i="1"/>
  <c r="AX687" i="1"/>
  <c r="AX688" i="1"/>
  <c r="AX689" i="1"/>
  <c r="AX690" i="1"/>
  <c r="AX691" i="1"/>
  <c r="AX692" i="1"/>
  <c r="AX693" i="1"/>
  <c r="AX694" i="1"/>
  <c r="AX695" i="1"/>
  <c r="AX696" i="1"/>
  <c r="AX697" i="1"/>
  <c r="AX698" i="1"/>
  <c r="AX699" i="1"/>
  <c r="AX700" i="1"/>
  <c r="AX701" i="1"/>
  <c r="AX702" i="1"/>
  <c r="AX703" i="1"/>
  <c r="AX704" i="1"/>
  <c r="AX705" i="1"/>
  <c r="AX706" i="1"/>
  <c r="AX707" i="1"/>
  <c r="AX708" i="1"/>
  <c r="AX709" i="1"/>
  <c r="AX710" i="1"/>
  <c r="AX711" i="1"/>
  <c r="AX712" i="1"/>
  <c r="AX713" i="1"/>
  <c r="AX714" i="1"/>
  <c r="AX715" i="1"/>
  <c r="AX716" i="1"/>
  <c r="AX717" i="1"/>
  <c r="AX718" i="1"/>
  <c r="AX719" i="1"/>
  <c r="AX720" i="1"/>
  <c r="AX721" i="1"/>
  <c r="AX722" i="1"/>
  <c r="AX723" i="1"/>
  <c r="AX724" i="1"/>
  <c r="AX725" i="1"/>
  <c r="AX726" i="1"/>
  <c r="AX727" i="1"/>
  <c r="AX728" i="1"/>
  <c r="AX729" i="1"/>
  <c r="AX730" i="1"/>
  <c r="AX731" i="1"/>
  <c r="AX732" i="1"/>
  <c r="AX733" i="1"/>
  <c r="AX734" i="1"/>
  <c r="AX735" i="1"/>
  <c r="AX736" i="1"/>
  <c r="AX737" i="1"/>
  <c r="AX738" i="1"/>
  <c r="AX739" i="1"/>
  <c r="AX740" i="1"/>
  <c r="AX741" i="1"/>
  <c r="AX742" i="1"/>
  <c r="AX743" i="1"/>
  <c r="AX744" i="1"/>
  <c r="AX745" i="1"/>
  <c r="AX746" i="1"/>
  <c r="AX747" i="1"/>
  <c r="AX748" i="1"/>
  <c r="AX749" i="1"/>
  <c r="AX750" i="1"/>
  <c r="AX751" i="1"/>
  <c r="AX752" i="1"/>
  <c r="AX753" i="1"/>
  <c r="AX754" i="1"/>
  <c r="AX755" i="1"/>
  <c r="AX756" i="1"/>
  <c r="AX757" i="1"/>
  <c r="AX758" i="1"/>
  <c r="AX759" i="1"/>
  <c r="AX760" i="1"/>
  <c r="AX761" i="1"/>
  <c r="AX762" i="1"/>
  <c r="AX763" i="1"/>
  <c r="AX764" i="1"/>
  <c r="AX765" i="1"/>
  <c r="AX766" i="1"/>
  <c r="AX767" i="1"/>
  <c r="AX768" i="1"/>
  <c r="AX769" i="1"/>
  <c r="AX770" i="1"/>
  <c r="AX771" i="1"/>
  <c r="AX772" i="1"/>
  <c r="AX773" i="1"/>
  <c r="AX774" i="1"/>
  <c r="AX775" i="1"/>
  <c r="AX776" i="1"/>
  <c r="AX777" i="1"/>
  <c r="AX778" i="1"/>
  <c r="AX779" i="1"/>
  <c r="AX780" i="1"/>
  <c r="AX781" i="1"/>
  <c r="AX782" i="1"/>
  <c r="AX783" i="1"/>
  <c r="AX784" i="1"/>
  <c r="AX785" i="1"/>
  <c r="AX786" i="1"/>
  <c r="AX787" i="1"/>
  <c r="AX788" i="1"/>
  <c r="AX789" i="1"/>
  <c r="AX790" i="1"/>
  <c r="AX791" i="1"/>
  <c r="AX792" i="1"/>
  <c r="AX793" i="1"/>
  <c r="AX794" i="1"/>
  <c r="AX795" i="1"/>
  <c r="AX796" i="1"/>
  <c r="AX797" i="1"/>
  <c r="AX798" i="1"/>
  <c r="AX799" i="1"/>
  <c r="AX800" i="1"/>
  <c r="AX801" i="1"/>
  <c r="AX802" i="1"/>
  <c r="AX803" i="1"/>
  <c r="AX804" i="1"/>
  <c r="AX805" i="1"/>
  <c r="AX806" i="1"/>
  <c r="AX807" i="1"/>
  <c r="AX808" i="1"/>
  <c r="AX809" i="1"/>
  <c r="AX810" i="1"/>
  <c r="AX811" i="1"/>
  <c r="AX812" i="1"/>
  <c r="AX813" i="1"/>
  <c r="AX814" i="1"/>
  <c r="AX815" i="1"/>
  <c r="AX816" i="1"/>
  <c r="AX817" i="1"/>
  <c r="AX818" i="1"/>
  <c r="AX819" i="1"/>
  <c r="AX820" i="1"/>
  <c r="AX821" i="1"/>
  <c r="AX822" i="1"/>
  <c r="AX823" i="1"/>
  <c r="AX824" i="1"/>
  <c r="AX825" i="1"/>
  <c r="AX826" i="1"/>
  <c r="AX827" i="1"/>
  <c r="AX828" i="1"/>
  <c r="AX829" i="1"/>
  <c r="AX830" i="1"/>
  <c r="AX831" i="1"/>
  <c r="AX832" i="1"/>
  <c r="AX833" i="1"/>
  <c r="AX834" i="1"/>
  <c r="AX835" i="1"/>
  <c r="AX836" i="1"/>
  <c r="AX837" i="1"/>
  <c r="AX838" i="1"/>
  <c r="AX839" i="1"/>
  <c r="AX840" i="1"/>
  <c r="AX841" i="1"/>
  <c r="AX842" i="1"/>
  <c r="AX843" i="1"/>
  <c r="AX844" i="1"/>
  <c r="AX845" i="1"/>
  <c r="AX846" i="1"/>
  <c r="AX847" i="1"/>
  <c r="AX848" i="1"/>
  <c r="AX849" i="1"/>
  <c r="AX850" i="1"/>
  <c r="AX851" i="1"/>
  <c r="AX852" i="1"/>
  <c r="AX853" i="1"/>
  <c r="AX854" i="1"/>
  <c r="AX855" i="1"/>
  <c r="AX856" i="1"/>
  <c r="AX857" i="1"/>
  <c r="AX858" i="1"/>
  <c r="AX859" i="1"/>
  <c r="AX860" i="1"/>
  <c r="AX861" i="1"/>
  <c r="AX862" i="1"/>
  <c r="AX863" i="1"/>
  <c r="AX864" i="1"/>
  <c r="AX865" i="1"/>
  <c r="AX866" i="1"/>
  <c r="AX867" i="1"/>
  <c r="AX868" i="1"/>
  <c r="AX869" i="1"/>
  <c r="AX870" i="1"/>
  <c r="AX871" i="1"/>
  <c r="AX872" i="1"/>
  <c r="AX873" i="1"/>
  <c r="AX874" i="1"/>
  <c r="AX875" i="1"/>
  <c r="AX876" i="1"/>
  <c r="AX877" i="1"/>
  <c r="AX878" i="1"/>
  <c r="AX879" i="1"/>
  <c r="AX880" i="1"/>
  <c r="AX881" i="1"/>
  <c r="AX882" i="1"/>
  <c r="AX883" i="1"/>
  <c r="AX884" i="1"/>
  <c r="AX885" i="1"/>
  <c r="AX886" i="1"/>
  <c r="AX887" i="1"/>
  <c r="AX888" i="1"/>
  <c r="AX889" i="1"/>
  <c r="AX890" i="1"/>
  <c r="AX891" i="1"/>
  <c r="AX892" i="1"/>
  <c r="AX893" i="1"/>
  <c r="AX894" i="1"/>
  <c r="AX895" i="1"/>
  <c r="AX896" i="1"/>
  <c r="AX897" i="1"/>
  <c r="AX898" i="1"/>
  <c r="AX899" i="1"/>
  <c r="AX900" i="1"/>
  <c r="AX901" i="1"/>
  <c r="AX902" i="1"/>
  <c r="AX903" i="1"/>
  <c r="AX904" i="1"/>
  <c r="AX905" i="1"/>
  <c r="AX906" i="1"/>
  <c r="AX907" i="1"/>
  <c r="AX908" i="1"/>
  <c r="AX909" i="1"/>
  <c r="AX910" i="1"/>
  <c r="AX911" i="1"/>
  <c r="AX912" i="1"/>
  <c r="AX913" i="1"/>
  <c r="AX914" i="1"/>
  <c r="AX915" i="1"/>
  <c r="AX916" i="1"/>
  <c r="AX917" i="1"/>
  <c r="AX918" i="1"/>
  <c r="AX919" i="1"/>
  <c r="AX920" i="1"/>
  <c r="AX921" i="1"/>
  <c r="AX922" i="1"/>
  <c r="AX923" i="1"/>
  <c r="AX924" i="1"/>
  <c r="AX925" i="1"/>
  <c r="AX926" i="1"/>
  <c r="AX927" i="1"/>
  <c r="AX928" i="1"/>
  <c r="AX929" i="1"/>
  <c r="AX930" i="1"/>
  <c r="AX931" i="1"/>
  <c r="AX932" i="1"/>
  <c r="AX933" i="1"/>
  <c r="AX934" i="1"/>
  <c r="AX935" i="1"/>
  <c r="AX936" i="1"/>
  <c r="AX937" i="1"/>
  <c r="AX938" i="1"/>
  <c r="AX939" i="1"/>
  <c r="AX940" i="1"/>
  <c r="AX941" i="1"/>
  <c r="AX942" i="1"/>
  <c r="AX943" i="1"/>
  <c r="AX944" i="1"/>
  <c r="AX945" i="1"/>
  <c r="AX946" i="1"/>
  <c r="AX947" i="1"/>
  <c r="AX948" i="1"/>
  <c r="AX949" i="1"/>
  <c r="AX950" i="1"/>
  <c r="AX951" i="1"/>
  <c r="AX952" i="1"/>
  <c r="AX953" i="1"/>
  <c r="AX954" i="1"/>
  <c r="AX955" i="1"/>
  <c r="AX956" i="1"/>
  <c r="AX957" i="1"/>
  <c r="AX958" i="1"/>
  <c r="AX959" i="1"/>
  <c r="AX960" i="1"/>
  <c r="AX961" i="1"/>
  <c r="AX962" i="1"/>
  <c r="AX963" i="1"/>
  <c r="AX964" i="1"/>
  <c r="AX965" i="1"/>
  <c r="AX966" i="1"/>
  <c r="AX967" i="1"/>
  <c r="AX968" i="1"/>
  <c r="AX969" i="1"/>
  <c r="AX970" i="1"/>
  <c r="AX971" i="1"/>
  <c r="AX972" i="1"/>
  <c r="AX973" i="1"/>
  <c r="AX974" i="1"/>
  <c r="AX975" i="1"/>
  <c r="AX976" i="1"/>
  <c r="AX977" i="1"/>
  <c r="AX978" i="1"/>
  <c r="AX979" i="1"/>
  <c r="AX980" i="1"/>
  <c r="AX981" i="1"/>
  <c r="AX982" i="1"/>
  <c r="AX983" i="1"/>
  <c r="AX984" i="1"/>
  <c r="AX985" i="1"/>
  <c r="AX986" i="1"/>
  <c r="AX987" i="1"/>
  <c r="AX988" i="1"/>
  <c r="AX989" i="1"/>
  <c r="AX990" i="1"/>
  <c r="AX991" i="1"/>
  <c r="AX992" i="1"/>
  <c r="AX993" i="1"/>
  <c r="AX994" i="1"/>
  <c r="AX995" i="1"/>
  <c r="AX996" i="1"/>
  <c r="AX997" i="1"/>
  <c r="AX998" i="1"/>
  <c r="AX999" i="1"/>
  <c r="AX1000" i="1"/>
  <c r="AX1001" i="1"/>
  <c r="AX1002" i="1"/>
  <c r="AX1003" i="1"/>
  <c r="AX1004" i="1"/>
  <c r="AX1005" i="1"/>
  <c r="AX1006" i="1"/>
  <c r="AX1007" i="1"/>
  <c r="AX1008" i="1"/>
  <c r="AX1009" i="1"/>
  <c r="AX1010" i="1"/>
  <c r="AX1011" i="1"/>
  <c r="AX1012" i="1"/>
  <c r="AX1013" i="1"/>
  <c r="AX1014" i="1"/>
  <c r="AX1015" i="1"/>
  <c r="AX1016" i="1"/>
  <c r="AX1017" i="1"/>
  <c r="AX1018" i="1"/>
  <c r="AX1019" i="1"/>
  <c r="AX1020" i="1"/>
  <c r="AX1021" i="1"/>
  <c r="AX1022" i="1"/>
  <c r="AX1023" i="1"/>
  <c r="AX1024" i="1"/>
  <c r="AX1025" i="1"/>
  <c r="AX1026" i="1"/>
  <c r="AX1027" i="1"/>
  <c r="AX1028" i="1"/>
  <c r="AX1029" i="1"/>
  <c r="AX1030" i="1"/>
  <c r="AX1031" i="1"/>
  <c r="AX1032" i="1"/>
  <c r="AX1033" i="1"/>
  <c r="AX1034" i="1"/>
  <c r="AX1035" i="1"/>
  <c r="AX1036" i="1"/>
  <c r="AX1037" i="1"/>
  <c r="AX1038" i="1"/>
  <c r="AX1039" i="1"/>
  <c r="AX1040" i="1"/>
  <c r="AX1041" i="1"/>
  <c r="AX1042" i="1"/>
  <c r="AX1043" i="1"/>
  <c r="AX1044" i="1"/>
  <c r="AX1045" i="1"/>
  <c r="AX1046" i="1"/>
  <c r="AX1047" i="1"/>
  <c r="AX1048" i="1"/>
  <c r="AX1049" i="1"/>
  <c r="AX1050" i="1"/>
  <c r="AX1051" i="1"/>
  <c r="AX1052" i="1"/>
  <c r="AX1053" i="1"/>
  <c r="AX1054" i="1"/>
  <c r="AX1055" i="1"/>
  <c r="AX1056" i="1"/>
  <c r="AX1057" i="1"/>
  <c r="AX1058" i="1"/>
  <c r="AX1059" i="1"/>
  <c r="AX1060" i="1"/>
  <c r="AX1061" i="1"/>
  <c r="AX1062" i="1"/>
  <c r="AX1063" i="1"/>
  <c r="AX1064" i="1"/>
  <c r="AX1065" i="1"/>
  <c r="AX1066" i="1"/>
  <c r="AX1067" i="1"/>
  <c r="AX1068" i="1"/>
  <c r="AX1069" i="1"/>
  <c r="AX1070" i="1"/>
  <c r="AX1071" i="1"/>
  <c r="AX1072" i="1"/>
  <c r="AX1073" i="1"/>
  <c r="AX1074" i="1"/>
  <c r="AX1075" i="1"/>
  <c r="AX1076" i="1"/>
  <c r="AX1077" i="1"/>
  <c r="AX1078" i="1"/>
  <c r="AX1079" i="1"/>
  <c r="AX1080" i="1"/>
  <c r="AX1081" i="1"/>
  <c r="AX1082" i="1"/>
  <c r="AX1083" i="1"/>
  <c r="AX1084" i="1"/>
  <c r="AX1085" i="1"/>
  <c r="AX1086" i="1"/>
  <c r="AX1087" i="1"/>
  <c r="AX1088" i="1"/>
  <c r="AX1089" i="1"/>
  <c r="AX1090" i="1"/>
  <c r="AX1091" i="1"/>
  <c r="AX1092" i="1"/>
  <c r="AX1093" i="1"/>
  <c r="AX1094" i="1"/>
  <c r="AX1095" i="1"/>
  <c r="AX1096" i="1"/>
  <c r="AX1097" i="1"/>
  <c r="AX1098" i="1"/>
  <c r="AX1099" i="1"/>
  <c r="AX1100" i="1"/>
  <c r="AX1101" i="1"/>
  <c r="AX1102" i="1"/>
  <c r="AX1103" i="1"/>
  <c r="AX1104" i="1"/>
  <c r="AX1105" i="1"/>
  <c r="AX1106" i="1"/>
  <c r="AX1107" i="1"/>
  <c r="AX1108" i="1"/>
  <c r="AX1109" i="1"/>
  <c r="AX1110" i="1"/>
  <c r="AX1111" i="1"/>
  <c r="AX1112" i="1"/>
  <c r="AX1113" i="1"/>
  <c r="AX1114" i="1"/>
  <c r="AX1115" i="1"/>
  <c r="AX1116" i="1"/>
  <c r="AX1117" i="1"/>
  <c r="AX1118" i="1"/>
  <c r="AX1119" i="1"/>
  <c r="AX1120" i="1"/>
  <c r="AX1121" i="1"/>
  <c r="AX1122" i="1"/>
  <c r="AX1123" i="1"/>
  <c r="AX1124" i="1"/>
  <c r="AX1125" i="1"/>
  <c r="AX1126" i="1"/>
  <c r="AX1127" i="1"/>
  <c r="AX1128" i="1"/>
  <c r="AX1129" i="1"/>
  <c r="AX1130" i="1"/>
  <c r="AX1131" i="1"/>
  <c r="AX1132" i="1"/>
  <c r="AX1133" i="1"/>
  <c r="AX1134" i="1"/>
  <c r="AX1135" i="1"/>
  <c r="AX1136" i="1"/>
  <c r="AX1137" i="1"/>
  <c r="AX1138" i="1"/>
  <c r="AX1139" i="1"/>
  <c r="AX1140" i="1"/>
  <c r="AX1141" i="1"/>
  <c r="AX1142" i="1"/>
  <c r="AX1143" i="1"/>
  <c r="AX1144" i="1"/>
  <c r="AX1145" i="1"/>
  <c r="AX1146" i="1"/>
  <c r="AX1147" i="1"/>
  <c r="AX1148" i="1"/>
  <c r="AX1149" i="1"/>
  <c r="AX1150" i="1"/>
  <c r="AX1151" i="1"/>
  <c r="AX1152" i="1"/>
  <c r="AX1153" i="1"/>
  <c r="AX1154" i="1"/>
  <c r="AX1155" i="1"/>
  <c r="AX1156" i="1"/>
  <c r="AX1157" i="1"/>
  <c r="AX1158" i="1"/>
  <c r="AX1159" i="1"/>
  <c r="AX1160" i="1"/>
  <c r="AX1161" i="1"/>
  <c r="AX1162" i="1"/>
  <c r="AX1163" i="1"/>
  <c r="AX1164" i="1"/>
  <c r="AX1165" i="1"/>
  <c r="AX1166" i="1"/>
  <c r="AX1167" i="1"/>
  <c r="AX1168" i="1"/>
  <c r="AX1169" i="1"/>
  <c r="AX1170" i="1"/>
  <c r="AX1171" i="1"/>
  <c r="AX1172" i="1"/>
  <c r="AX1173" i="1"/>
  <c r="AX1174" i="1"/>
  <c r="AX1175" i="1"/>
  <c r="AX1176" i="1"/>
  <c r="AX1177" i="1"/>
  <c r="AX1178" i="1"/>
  <c r="AX1179" i="1"/>
  <c r="AX1180" i="1"/>
  <c r="AX1181" i="1"/>
  <c r="AX1182" i="1"/>
  <c r="AX1183" i="1"/>
  <c r="AX1184" i="1"/>
  <c r="AX1185" i="1"/>
  <c r="AX1186" i="1"/>
  <c r="AX1187" i="1"/>
  <c r="AX1188" i="1"/>
  <c r="AX1189" i="1"/>
  <c r="AX1190" i="1"/>
  <c r="AX1191" i="1"/>
  <c r="AX1192" i="1"/>
  <c r="AX1193" i="1"/>
  <c r="AX1194" i="1"/>
  <c r="AX1195" i="1"/>
  <c r="AX1196" i="1"/>
  <c r="AX1197" i="1"/>
  <c r="AX1198" i="1"/>
  <c r="AX1199" i="1"/>
  <c r="AX1200" i="1"/>
  <c r="AX1201" i="1"/>
  <c r="AX1202" i="1"/>
  <c r="AX1203" i="1"/>
  <c r="AX1204" i="1"/>
  <c r="AX1205" i="1"/>
  <c r="AX1206" i="1"/>
  <c r="AX1207" i="1"/>
  <c r="AX1208" i="1"/>
  <c r="AX1209" i="1"/>
  <c r="AX1210" i="1"/>
  <c r="AX1211" i="1"/>
  <c r="AX1212" i="1"/>
  <c r="AX1213" i="1"/>
  <c r="AX1214" i="1"/>
  <c r="AX1215" i="1"/>
  <c r="AX1216" i="1"/>
  <c r="AX1217" i="1"/>
  <c r="AX1218" i="1"/>
  <c r="AX1219" i="1"/>
  <c r="AX1220" i="1"/>
  <c r="AX1221" i="1"/>
  <c r="AX1222" i="1"/>
  <c r="AX1223" i="1"/>
  <c r="AX1224" i="1"/>
  <c r="AX1225" i="1"/>
  <c r="AX1226" i="1"/>
  <c r="AX1227" i="1"/>
  <c r="AX1228" i="1"/>
  <c r="AX1229" i="1"/>
  <c r="AX1230" i="1"/>
  <c r="AX1231" i="1"/>
  <c r="AX1232" i="1"/>
  <c r="AX1233" i="1"/>
  <c r="AX1234" i="1"/>
  <c r="AX1235" i="1"/>
  <c r="AX1236" i="1"/>
  <c r="AX1237" i="1"/>
  <c r="AX1238" i="1"/>
  <c r="AX1239" i="1"/>
  <c r="AX1240" i="1"/>
  <c r="AX1241" i="1"/>
  <c r="AX1242" i="1"/>
  <c r="AX1243" i="1"/>
  <c r="AX1244" i="1"/>
  <c r="AX1245" i="1"/>
  <c r="AX1246" i="1"/>
  <c r="AX1247" i="1"/>
  <c r="AX1248" i="1"/>
  <c r="AX1249" i="1"/>
  <c r="AX1250" i="1"/>
  <c r="AX1251" i="1"/>
  <c r="AX1252" i="1"/>
  <c r="AX1253" i="1"/>
  <c r="AX1254" i="1"/>
  <c r="AX1255" i="1"/>
  <c r="AX1256" i="1"/>
  <c r="AX1257" i="1"/>
  <c r="AX1258" i="1"/>
  <c r="AX1259" i="1"/>
  <c r="AX1260" i="1"/>
  <c r="AX1261" i="1"/>
  <c r="AX1262" i="1"/>
  <c r="AX1263" i="1"/>
  <c r="AX1264" i="1"/>
  <c r="AX1265" i="1"/>
  <c r="AX1266" i="1"/>
  <c r="AX1267" i="1"/>
  <c r="AX1268" i="1"/>
  <c r="AX1269" i="1"/>
  <c r="AX1270" i="1"/>
  <c r="AX1271" i="1"/>
  <c r="AX1272" i="1"/>
  <c r="AX1273" i="1"/>
  <c r="AX1274" i="1"/>
  <c r="AX1275" i="1"/>
  <c r="AX1276" i="1"/>
  <c r="AX1277" i="1"/>
  <c r="AX1278" i="1"/>
  <c r="AX1279" i="1"/>
  <c r="AX1280" i="1"/>
  <c r="AX1281" i="1"/>
  <c r="AX1282" i="1"/>
  <c r="AX1283" i="1"/>
  <c r="AX1284" i="1"/>
  <c r="AX1285" i="1"/>
  <c r="AX1286" i="1"/>
  <c r="AX1287" i="1"/>
  <c r="AX1288" i="1"/>
  <c r="AX1289" i="1"/>
  <c r="AX1290" i="1"/>
  <c r="AX1291" i="1"/>
  <c r="AX1292" i="1"/>
  <c r="AX1293" i="1"/>
  <c r="AX1294" i="1"/>
  <c r="AX1295" i="1"/>
  <c r="AX1296" i="1"/>
  <c r="AX1297" i="1"/>
  <c r="AX1298" i="1"/>
  <c r="AX1299" i="1"/>
  <c r="AX1300" i="1"/>
  <c r="AX1301" i="1"/>
  <c r="AX1302" i="1"/>
  <c r="AX1303" i="1"/>
  <c r="AX1304" i="1"/>
  <c r="AX1305" i="1"/>
  <c r="AX1306" i="1"/>
  <c r="AX1307" i="1"/>
  <c r="AX1308" i="1"/>
  <c r="AX1309" i="1"/>
  <c r="AX1310" i="1"/>
  <c r="AX1311" i="1"/>
  <c r="AX1312" i="1"/>
  <c r="AX1313" i="1"/>
  <c r="AX1314" i="1"/>
  <c r="AX1315" i="1"/>
  <c r="AX1316" i="1"/>
  <c r="AX1317" i="1"/>
  <c r="AX1318" i="1"/>
  <c r="AX1319" i="1"/>
  <c r="AX1320" i="1"/>
  <c r="AX1321" i="1"/>
  <c r="AX1322" i="1"/>
  <c r="AX1323" i="1"/>
  <c r="AX1324" i="1"/>
  <c r="AX1325" i="1"/>
  <c r="AX1326" i="1"/>
  <c r="AX1327" i="1"/>
  <c r="AX1328" i="1"/>
  <c r="AX1329" i="1"/>
  <c r="AX1330" i="1"/>
  <c r="AX1331" i="1"/>
  <c r="AX1332" i="1"/>
  <c r="AX1333" i="1"/>
  <c r="AX1334" i="1"/>
  <c r="AX1335" i="1"/>
  <c r="AX1336" i="1"/>
  <c r="AX1337" i="1"/>
  <c r="AX1338" i="1"/>
  <c r="AX1339" i="1"/>
  <c r="AX1340" i="1"/>
  <c r="AX1341" i="1"/>
  <c r="AX1342" i="1"/>
  <c r="AX1343" i="1"/>
  <c r="AX1344" i="1"/>
  <c r="AX1345" i="1"/>
  <c r="AX1346" i="1"/>
  <c r="AX1347" i="1"/>
  <c r="AX1348" i="1"/>
  <c r="AX1349" i="1"/>
  <c r="AX1350" i="1"/>
  <c r="AX1351" i="1"/>
  <c r="AX1352" i="1"/>
  <c r="AX1353" i="1"/>
  <c r="AX1354" i="1"/>
  <c r="AX1355" i="1"/>
  <c r="AX1356" i="1"/>
  <c r="AX1357" i="1"/>
  <c r="AX1358" i="1"/>
  <c r="AX1359" i="1"/>
  <c r="AX1360" i="1"/>
  <c r="AX1361" i="1"/>
  <c r="AX1362" i="1"/>
  <c r="AX1363" i="1"/>
  <c r="AX1364" i="1"/>
  <c r="AX1365" i="1"/>
  <c r="AX1366" i="1"/>
  <c r="AX1367" i="1"/>
  <c r="AX1368" i="1"/>
  <c r="AX1369" i="1"/>
  <c r="AX1370" i="1"/>
  <c r="AX1371" i="1"/>
  <c r="AX1372" i="1"/>
  <c r="AX1373" i="1"/>
  <c r="AX1374" i="1"/>
  <c r="AX1375" i="1"/>
  <c r="AX1376" i="1"/>
  <c r="AX1377" i="1"/>
  <c r="AX1378" i="1"/>
  <c r="AX1379" i="1"/>
  <c r="AX1380" i="1"/>
  <c r="AX1381" i="1"/>
  <c r="AX1382" i="1"/>
  <c r="AX1383" i="1"/>
  <c r="AX1384" i="1"/>
  <c r="AX1385" i="1"/>
  <c r="AX1386" i="1"/>
  <c r="AX1387" i="1"/>
  <c r="AX1388" i="1"/>
  <c r="AX1389" i="1"/>
  <c r="AX1390" i="1"/>
  <c r="AX1391" i="1"/>
  <c r="AX1392" i="1"/>
  <c r="AX1393" i="1"/>
  <c r="AX1394" i="1"/>
  <c r="AX1395" i="1"/>
  <c r="AX1396" i="1"/>
  <c r="AX1397" i="1"/>
  <c r="AX1398" i="1"/>
  <c r="AX1399" i="1"/>
  <c r="AX1400" i="1"/>
  <c r="AX1401" i="1"/>
  <c r="AX1402" i="1"/>
  <c r="AX1403" i="1"/>
  <c r="AX1404" i="1"/>
  <c r="AX1405" i="1"/>
  <c r="AX1406" i="1"/>
  <c r="AX1407" i="1"/>
  <c r="AX1408" i="1"/>
  <c r="AX1409" i="1"/>
  <c r="AX1410" i="1"/>
  <c r="AX1411" i="1"/>
  <c r="AX1412" i="1"/>
  <c r="AX1413" i="1"/>
  <c r="AX1414" i="1"/>
  <c r="AX1415" i="1"/>
  <c r="AX1416" i="1"/>
  <c r="AX1417" i="1"/>
  <c r="AX1418" i="1"/>
  <c r="AX1419" i="1"/>
  <c r="AX1420" i="1"/>
  <c r="AX1421" i="1"/>
  <c r="AX1422" i="1"/>
  <c r="AX1423" i="1"/>
  <c r="AX1424" i="1"/>
  <c r="AX1425" i="1"/>
  <c r="AX1426" i="1"/>
  <c r="AX1427" i="1"/>
  <c r="AX1428" i="1"/>
  <c r="AX1429" i="1"/>
  <c r="AX1430" i="1"/>
  <c r="AX1431" i="1"/>
  <c r="AX1432" i="1"/>
  <c r="AX1433" i="1"/>
  <c r="AX1434" i="1"/>
  <c r="AX1435" i="1"/>
  <c r="AX1436" i="1"/>
  <c r="AX1437" i="1"/>
  <c r="AX1438" i="1"/>
  <c r="AX1439" i="1"/>
  <c r="AX1440" i="1"/>
  <c r="AX1441" i="1"/>
  <c r="AX1442" i="1"/>
  <c r="AX1443" i="1"/>
  <c r="AX1444" i="1"/>
  <c r="AX1445" i="1"/>
  <c r="AX1446" i="1"/>
  <c r="AX1447" i="1"/>
  <c r="AX1448" i="1"/>
  <c r="AX1449" i="1"/>
  <c r="AX1450" i="1"/>
  <c r="AX1451" i="1"/>
  <c r="AX1452" i="1"/>
  <c r="AX1453" i="1"/>
  <c r="AX1454" i="1"/>
  <c r="AX1455" i="1"/>
  <c r="AX1456" i="1"/>
  <c r="AX1457" i="1"/>
  <c r="AX1458" i="1"/>
  <c r="AX1459" i="1"/>
  <c r="AX1460" i="1"/>
  <c r="AX1461" i="1"/>
  <c r="AX1462" i="1"/>
  <c r="AX1463" i="1"/>
  <c r="AX1464" i="1"/>
  <c r="AX1465" i="1"/>
  <c r="AX1466" i="1"/>
  <c r="AX1467" i="1"/>
  <c r="AX1468" i="1"/>
  <c r="AX1469" i="1"/>
  <c r="AX1470" i="1"/>
  <c r="AX1471" i="1"/>
  <c r="AX1472" i="1"/>
  <c r="AX1473" i="1"/>
  <c r="AX1474" i="1"/>
  <c r="AX1475" i="1"/>
  <c r="AX1476" i="1"/>
  <c r="AX1477" i="1"/>
  <c r="AX1478" i="1"/>
  <c r="AX1479" i="1"/>
  <c r="AX1480" i="1"/>
  <c r="AX1481" i="1"/>
  <c r="AX1482" i="1"/>
  <c r="AX1483" i="1"/>
  <c r="AX1484" i="1"/>
  <c r="AX1485" i="1"/>
  <c r="AX1486" i="1"/>
  <c r="AX1487" i="1"/>
  <c r="AX1488" i="1"/>
  <c r="AX1489" i="1"/>
  <c r="AX1490" i="1"/>
  <c r="AX1491" i="1"/>
  <c r="AX1492" i="1"/>
  <c r="AX1493" i="1"/>
  <c r="AX1494" i="1"/>
  <c r="AX1495" i="1"/>
  <c r="AX1496" i="1"/>
  <c r="AX1497" i="1"/>
  <c r="AX1498" i="1"/>
  <c r="AX1499" i="1"/>
  <c r="AX1500" i="1"/>
  <c r="AX1501" i="1"/>
  <c r="AX1502" i="1"/>
  <c r="AX1503" i="1"/>
  <c r="AX1504" i="1"/>
  <c r="AX1505" i="1"/>
  <c r="AX1506" i="1"/>
  <c r="AX1507" i="1"/>
  <c r="AX1508" i="1"/>
  <c r="AX1509" i="1"/>
  <c r="AX1510" i="1"/>
  <c r="AX1511" i="1"/>
  <c r="AX1512" i="1"/>
  <c r="AX1513" i="1"/>
  <c r="AX1514" i="1"/>
  <c r="AX1515" i="1"/>
  <c r="AX1516" i="1"/>
  <c r="AX1517" i="1"/>
  <c r="AX1518" i="1"/>
  <c r="AX1519" i="1"/>
  <c r="AX1520" i="1"/>
  <c r="AX1521" i="1"/>
  <c r="AX1522" i="1"/>
  <c r="AX1523" i="1"/>
  <c r="AX1524" i="1"/>
  <c r="AX1525" i="1"/>
  <c r="AX1526" i="1"/>
  <c r="AX1527" i="1"/>
  <c r="AX1528" i="1"/>
  <c r="AX1529" i="1"/>
  <c r="AX1530" i="1"/>
  <c r="AX1531" i="1"/>
  <c r="AX1532" i="1"/>
  <c r="AX1533" i="1"/>
  <c r="AX1534" i="1"/>
  <c r="AX1535" i="1"/>
  <c r="AX1536" i="1"/>
  <c r="AX1537" i="1"/>
  <c r="AX1538" i="1"/>
  <c r="AX1539" i="1"/>
  <c r="AX1540" i="1"/>
  <c r="AX1541" i="1"/>
  <c r="AX1542" i="1"/>
  <c r="AX1543" i="1"/>
  <c r="AX1544" i="1"/>
  <c r="AX1545" i="1"/>
  <c r="AX1546" i="1"/>
  <c r="AX1547" i="1"/>
  <c r="AX1548" i="1"/>
  <c r="AX1549" i="1"/>
  <c r="AX1550" i="1"/>
  <c r="AX1551" i="1"/>
  <c r="AX1552" i="1"/>
  <c r="AX1553" i="1"/>
  <c r="AX1554" i="1"/>
  <c r="AX1555" i="1"/>
  <c r="AX1556" i="1"/>
  <c r="AX1557" i="1"/>
  <c r="AX1558" i="1"/>
  <c r="AX1559" i="1"/>
  <c r="AX1560" i="1"/>
  <c r="AX1561" i="1"/>
  <c r="AX1562" i="1"/>
  <c r="AX1563" i="1"/>
  <c r="AX1564" i="1"/>
  <c r="AX1565" i="1"/>
  <c r="AX1566" i="1"/>
  <c r="AX1567" i="1"/>
  <c r="AX1568" i="1"/>
  <c r="AX1569" i="1"/>
  <c r="AX1570" i="1"/>
  <c r="AX1571" i="1"/>
  <c r="AX1572" i="1"/>
  <c r="AX1573" i="1"/>
  <c r="AX1574" i="1"/>
  <c r="AX1575" i="1"/>
  <c r="AX1576" i="1"/>
  <c r="AX1577" i="1"/>
  <c r="AX1578" i="1"/>
  <c r="AX1579" i="1"/>
  <c r="AX1580" i="1"/>
  <c r="AX1581" i="1"/>
  <c r="AX1582" i="1"/>
  <c r="AX1583" i="1"/>
  <c r="AX1584" i="1"/>
  <c r="AX1585" i="1"/>
  <c r="AX1586" i="1"/>
  <c r="AX1587" i="1"/>
  <c r="AX1588" i="1"/>
  <c r="AX1589" i="1"/>
  <c r="AX1590" i="1"/>
  <c r="AX1591" i="1"/>
  <c r="AX1592" i="1"/>
  <c r="AX1593" i="1"/>
  <c r="AX1594" i="1"/>
  <c r="AX1595" i="1"/>
  <c r="AX1596" i="1"/>
  <c r="AX1597" i="1"/>
  <c r="AX1598" i="1"/>
  <c r="AX1599" i="1"/>
  <c r="AX1600" i="1"/>
  <c r="AX1601" i="1"/>
  <c r="AX1602" i="1"/>
  <c r="AX1603" i="1"/>
  <c r="AX1604" i="1"/>
  <c r="AX1605" i="1"/>
  <c r="AX1606" i="1"/>
  <c r="AX1607" i="1"/>
  <c r="AX1608" i="1"/>
  <c r="AX1609" i="1"/>
  <c r="AX1610" i="1"/>
  <c r="AX1611" i="1"/>
  <c r="AX1612" i="1"/>
  <c r="AX1613" i="1"/>
  <c r="AX1614" i="1"/>
  <c r="AX1615" i="1"/>
  <c r="AX1616" i="1"/>
  <c r="AX1617" i="1"/>
  <c r="AX1618" i="1"/>
  <c r="AX1619" i="1"/>
  <c r="AX1620" i="1"/>
  <c r="AX1621" i="1"/>
  <c r="AX1622" i="1"/>
  <c r="AX1623" i="1"/>
  <c r="AX1624" i="1"/>
  <c r="AX1625" i="1"/>
  <c r="AX1626" i="1"/>
  <c r="AX1627" i="1"/>
  <c r="AX1628" i="1"/>
  <c r="AX1629" i="1"/>
  <c r="AX1630" i="1"/>
  <c r="AX1631" i="1"/>
  <c r="AX1632" i="1"/>
  <c r="AX1633" i="1"/>
  <c r="AX1634" i="1"/>
  <c r="AX1635" i="1"/>
  <c r="AX1636" i="1"/>
  <c r="AX1637" i="1"/>
  <c r="AX1638" i="1"/>
  <c r="AX1639" i="1"/>
  <c r="AX1640" i="1"/>
  <c r="AX1641" i="1"/>
  <c r="AX1642" i="1"/>
  <c r="AX1643" i="1"/>
  <c r="AX1644" i="1"/>
  <c r="AX1645" i="1"/>
  <c r="AX1646" i="1"/>
  <c r="AX1647" i="1"/>
  <c r="AX1648" i="1"/>
  <c r="AX1649" i="1"/>
  <c r="AX1650" i="1"/>
  <c r="AX1651" i="1"/>
  <c r="AX1652" i="1"/>
  <c r="AX1653" i="1"/>
  <c r="AX1654" i="1"/>
  <c r="AX1655" i="1"/>
  <c r="AX1656" i="1"/>
  <c r="AX1657" i="1"/>
  <c r="AX1658" i="1"/>
  <c r="AX1659" i="1"/>
  <c r="AX1660" i="1"/>
  <c r="AX1661" i="1"/>
  <c r="AX1662" i="1"/>
  <c r="AX1663" i="1"/>
  <c r="AX1664" i="1"/>
  <c r="AX1665" i="1"/>
  <c r="AX1666" i="1"/>
  <c r="AX1667" i="1"/>
  <c r="AX1668" i="1"/>
  <c r="AX1669" i="1"/>
  <c r="AX1670" i="1"/>
  <c r="AX1671" i="1"/>
  <c r="AX1672" i="1"/>
  <c r="AX1673" i="1"/>
  <c r="AX1674" i="1"/>
  <c r="AX1675" i="1"/>
  <c r="AX1676" i="1"/>
  <c r="AX1677" i="1"/>
  <c r="AX1678" i="1"/>
  <c r="AX1679" i="1"/>
  <c r="AX1680" i="1"/>
  <c r="AX1681" i="1"/>
  <c r="AX1682" i="1"/>
  <c r="AX1683" i="1"/>
  <c r="AX1684" i="1"/>
  <c r="AX1685" i="1"/>
  <c r="AX1686" i="1"/>
  <c r="AX1687" i="1"/>
  <c r="AX1688" i="1"/>
  <c r="AX1689" i="1"/>
  <c r="AX1690" i="1"/>
  <c r="AX1691" i="1"/>
  <c r="AX1692" i="1"/>
  <c r="AX1693" i="1"/>
  <c r="AX1694" i="1"/>
  <c r="AX1695" i="1"/>
  <c r="AX1696" i="1"/>
  <c r="AX1697" i="1"/>
  <c r="AX1698" i="1"/>
  <c r="AX1699" i="1"/>
  <c r="AX1700" i="1"/>
  <c r="AX1701" i="1"/>
  <c r="AX1702" i="1"/>
  <c r="AX1703" i="1"/>
  <c r="AX1704" i="1"/>
  <c r="AX1705" i="1"/>
  <c r="AX1706" i="1"/>
  <c r="AX1707" i="1"/>
  <c r="AX1708" i="1"/>
  <c r="AX1709" i="1"/>
  <c r="AX1710" i="1"/>
  <c r="AX1711" i="1"/>
  <c r="AX1712" i="1"/>
  <c r="AX1713" i="1"/>
  <c r="AX1714" i="1"/>
  <c r="AX1715" i="1"/>
  <c r="AX1716" i="1"/>
  <c r="AX1717" i="1"/>
  <c r="AX1718" i="1"/>
  <c r="AX1719" i="1"/>
  <c r="AX1720" i="1"/>
  <c r="AX1721" i="1"/>
  <c r="AX1722" i="1"/>
  <c r="AX1723" i="1"/>
  <c r="AX1724" i="1"/>
  <c r="AX1725" i="1"/>
  <c r="AX1726" i="1"/>
  <c r="AX1727" i="1"/>
  <c r="AX1728" i="1"/>
  <c r="AX1729" i="1"/>
  <c r="AX1730" i="1"/>
  <c r="AX1731" i="1"/>
  <c r="AX1732" i="1"/>
  <c r="AX1733" i="1"/>
  <c r="AX1734" i="1"/>
  <c r="AX1735" i="1"/>
  <c r="AX1736" i="1"/>
  <c r="AX1737" i="1"/>
  <c r="AX1738" i="1"/>
  <c r="AX1739" i="1"/>
  <c r="AX1740" i="1"/>
  <c r="AX1741" i="1"/>
  <c r="AX1742" i="1"/>
  <c r="AX1743" i="1"/>
  <c r="AX1744" i="1"/>
  <c r="AX1745" i="1"/>
  <c r="AX1746" i="1"/>
  <c r="AX1747" i="1"/>
  <c r="AX1748" i="1"/>
  <c r="AX1749" i="1"/>
  <c r="AX1750" i="1"/>
  <c r="AX1751" i="1"/>
  <c r="AX1752" i="1"/>
  <c r="AX1753" i="1"/>
  <c r="AX1754" i="1"/>
  <c r="AX1755" i="1"/>
  <c r="AX1756" i="1"/>
  <c r="AX1757" i="1"/>
  <c r="AX1758" i="1"/>
  <c r="AX1759" i="1"/>
  <c r="AX1760" i="1"/>
  <c r="AX1761" i="1"/>
  <c r="AX1762" i="1"/>
  <c r="AX1763" i="1"/>
  <c r="AX1764" i="1"/>
  <c r="AX1765" i="1"/>
  <c r="AX1766" i="1"/>
  <c r="AX1767" i="1"/>
  <c r="AX1768" i="1"/>
  <c r="AX1769" i="1"/>
  <c r="AX1770" i="1"/>
  <c r="AX1771" i="1"/>
  <c r="AX1772" i="1"/>
  <c r="AX1773" i="1"/>
  <c r="AX1774" i="1"/>
  <c r="AX1775" i="1"/>
  <c r="AX1776" i="1"/>
  <c r="AX1777" i="1"/>
  <c r="AX1778" i="1"/>
  <c r="AX1779" i="1"/>
  <c r="AX1780" i="1"/>
  <c r="AX1781" i="1"/>
  <c r="AX1782" i="1"/>
  <c r="AX1783" i="1"/>
  <c r="AX1784" i="1"/>
  <c r="AX1785" i="1"/>
  <c r="AX1786" i="1"/>
  <c r="AX1787" i="1"/>
  <c r="AX1788" i="1"/>
  <c r="AX1789" i="1"/>
  <c r="AX1790" i="1"/>
  <c r="AX1791" i="1"/>
  <c r="AX1792" i="1"/>
  <c r="AX1793" i="1"/>
  <c r="AX1794" i="1"/>
  <c r="AX1795" i="1"/>
  <c r="AX1796" i="1"/>
  <c r="AX1797" i="1"/>
  <c r="AX1798" i="1"/>
  <c r="AX1799" i="1"/>
  <c r="AX1800" i="1"/>
  <c r="AX1801" i="1"/>
  <c r="AX1802" i="1"/>
  <c r="AX1803" i="1"/>
  <c r="AX1804" i="1"/>
  <c r="AX1805" i="1"/>
  <c r="AX1806" i="1"/>
  <c r="AX1807" i="1"/>
  <c r="AX1808" i="1"/>
  <c r="AX1809" i="1"/>
  <c r="AX1810" i="1"/>
  <c r="AX1811" i="1"/>
  <c r="AX1812" i="1"/>
  <c r="AX1813" i="1"/>
  <c r="AX1814" i="1"/>
  <c r="AX1815" i="1"/>
  <c r="AX1816" i="1"/>
  <c r="AX1817" i="1"/>
  <c r="AX1818" i="1"/>
  <c r="AX1819" i="1"/>
  <c r="AX1820" i="1"/>
  <c r="AX1821" i="1"/>
  <c r="AX1822" i="1"/>
  <c r="AX1823" i="1"/>
  <c r="AX1824" i="1"/>
  <c r="AX1825" i="1"/>
  <c r="AX1826" i="1"/>
  <c r="AX1827" i="1"/>
  <c r="AX1828" i="1"/>
  <c r="AX1829" i="1"/>
  <c r="AX1830" i="1"/>
  <c r="AX1831" i="1"/>
  <c r="AX1832" i="1"/>
  <c r="AX1833" i="1"/>
  <c r="AX1834" i="1"/>
  <c r="AX1835" i="1"/>
  <c r="AX1836" i="1"/>
  <c r="AX1837" i="1"/>
  <c r="AX1838" i="1"/>
  <c r="AX1839" i="1"/>
  <c r="AX1840" i="1"/>
  <c r="AX1841" i="1"/>
  <c r="AX1842" i="1"/>
  <c r="AX1843" i="1"/>
  <c r="AX1844" i="1"/>
  <c r="AX1845" i="1"/>
  <c r="AX1846" i="1"/>
  <c r="AX1847" i="1"/>
  <c r="AX1848" i="1"/>
  <c r="AX1849" i="1"/>
  <c r="AX1850" i="1"/>
  <c r="AX1851" i="1"/>
  <c r="AX1852" i="1"/>
  <c r="AX1853" i="1"/>
  <c r="AX1854" i="1"/>
  <c r="AX1855" i="1"/>
  <c r="AX1856" i="1"/>
  <c r="AX1857" i="1"/>
  <c r="AX1858" i="1"/>
  <c r="AX1859" i="1"/>
  <c r="AX1860" i="1"/>
  <c r="AX1861" i="1"/>
  <c r="AX1862" i="1"/>
  <c r="AX1863" i="1"/>
  <c r="AX1864" i="1"/>
  <c r="AX1865" i="1"/>
  <c r="AX1866" i="1"/>
  <c r="AX1867" i="1"/>
  <c r="AX1868" i="1"/>
  <c r="AX1869" i="1"/>
  <c r="AX1870" i="1"/>
  <c r="AX1871" i="1"/>
  <c r="AX1872" i="1"/>
  <c r="AX1873" i="1"/>
  <c r="AX1874" i="1"/>
  <c r="AX1875" i="1"/>
  <c r="AX1876" i="1"/>
  <c r="AX1877" i="1"/>
  <c r="AX1878" i="1"/>
  <c r="AX1879" i="1"/>
  <c r="AX1880" i="1"/>
  <c r="AX1881" i="1"/>
  <c r="AX1882" i="1"/>
  <c r="AX1883" i="1"/>
  <c r="AX1884" i="1"/>
  <c r="AX1885" i="1"/>
  <c r="AX1886" i="1"/>
  <c r="AX1887" i="1"/>
  <c r="AX1888" i="1"/>
  <c r="AX1889" i="1"/>
  <c r="AX1890" i="1"/>
  <c r="AX1891" i="1"/>
  <c r="AX1892" i="1"/>
  <c r="AX1893" i="1"/>
  <c r="AX1894" i="1"/>
  <c r="AX1895" i="1"/>
  <c r="AX1896" i="1"/>
  <c r="AX1897" i="1"/>
  <c r="AX1898" i="1"/>
  <c r="AX1899" i="1"/>
  <c r="AX1900" i="1"/>
  <c r="AX1901" i="1"/>
  <c r="AX1902" i="1"/>
  <c r="AX1903" i="1"/>
  <c r="AX1904" i="1"/>
  <c r="AX1905" i="1"/>
  <c r="AX1906" i="1"/>
  <c r="AX1907" i="1"/>
  <c r="AX1908" i="1"/>
  <c r="AX1909" i="1"/>
  <c r="AX1910" i="1"/>
  <c r="AX1911" i="1"/>
  <c r="AX1912" i="1"/>
  <c r="AX1913" i="1"/>
  <c r="AX1914" i="1"/>
  <c r="AX1915" i="1"/>
  <c r="AX1916" i="1"/>
  <c r="AX1917" i="1"/>
  <c r="AX1918" i="1"/>
  <c r="AX1919" i="1"/>
  <c r="AX1920" i="1"/>
  <c r="AX1921" i="1"/>
  <c r="AX1922" i="1"/>
  <c r="AX1923" i="1"/>
  <c r="AX1924" i="1"/>
  <c r="AX1925" i="1"/>
  <c r="AX1926" i="1"/>
  <c r="AX1927" i="1"/>
  <c r="AX1928" i="1"/>
  <c r="AX1929" i="1"/>
  <c r="AX1930" i="1"/>
  <c r="AX1931" i="1"/>
  <c r="AX1932" i="1"/>
  <c r="AX1933" i="1"/>
  <c r="AX1934" i="1"/>
  <c r="AX1935" i="1"/>
  <c r="AX1936" i="1"/>
  <c r="AX1937" i="1"/>
  <c r="AX1938" i="1"/>
  <c r="AX1939" i="1"/>
  <c r="AX1940" i="1"/>
  <c r="AX1941" i="1"/>
  <c r="AX1942" i="1"/>
  <c r="AX1943" i="1"/>
  <c r="AX1944" i="1"/>
  <c r="AX1945" i="1"/>
  <c r="AX1946" i="1"/>
  <c r="AX1947" i="1"/>
  <c r="AX1948" i="1"/>
  <c r="AX1949" i="1"/>
  <c r="AX1950" i="1"/>
  <c r="AX1951" i="1"/>
  <c r="AX1952" i="1"/>
  <c r="AX1953" i="1"/>
  <c r="AX1954" i="1"/>
  <c r="AX1955" i="1"/>
  <c r="AX1956" i="1"/>
  <c r="AX1957" i="1"/>
  <c r="AX1958" i="1"/>
  <c r="AX1959" i="1"/>
  <c r="AX1960" i="1"/>
  <c r="AX1961" i="1"/>
  <c r="AX1962" i="1"/>
  <c r="AX1963" i="1"/>
  <c r="AX1964" i="1"/>
  <c r="AX1965" i="1"/>
  <c r="AX1966" i="1"/>
  <c r="AX1967" i="1"/>
  <c r="AX1968" i="1"/>
  <c r="AX1969" i="1"/>
  <c r="AX1970" i="1"/>
  <c r="AX1971" i="1"/>
  <c r="AX1972" i="1"/>
  <c r="AX1973" i="1"/>
  <c r="AX1974" i="1"/>
  <c r="AX1975" i="1"/>
  <c r="AX1976" i="1"/>
  <c r="AX1977" i="1"/>
  <c r="AX1978" i="1"/>
  <c r="AX1979" i="1"/>
  <c r="AX1980" i="1"/>
  <c r="AX1981" i="1"/>
  <c r="AX1982" i="1"/>
  <c r="AX1983" i="1"/>
  <c r="AX1984" i="1"/>
  <c r="AX1985" i="1"/>
  <c r="AX1986" i="1"/>
  <c r="AX1987" i="1"/>
  <c r="AX1988" i="1"/>
  <c r="AX1989" i="1"/>
  <c r="AX1990" i="1"/>
  <c r="AX1991" i="1"/>
  <c r="AX1992" i="1"/>
  <c r="AX1993" i="1"/>
  <c r="AX1994" i="1"/>
  <c r="AX1995" i="1"/>
  <c r="AX1996" i="1"/>
  <c r="AX1997" i="1"/>
  <c r="AX1998" i="1"/>
  <c r="AX1999" i="1"/>
  <c r="AX2000" i="1"/>
  <c r="AX2001" i="1"/>
  <c r="AX2002" i="1"/>
  <c r="AX2003" i="1"/>
  <c r="AX2004" i="1"/>
  <c r="AX2005" i="1"/>
  <c r="AX2006" i="1"/>
  <c r="AX2007" i="1"/>
  <c r="AX2008" i="1"/>
  <c r="AX2009" i="1"/>
  <c r="AX2010" i="1"/>
  <c r="AX2011" i="1"/>
  <c r="AX2012" i="1"/>
  <c r="AX2013" i="1"/>
  <c r="AX2014" i="1"/>
  <c r="AX2015" i="1"/>
  <c r="AX2016" i="1"/>
  <c r="AX2017" i="1"/>
  <c r="AX2018" i="1"/>
  <c r="AX2019" i="1"/>
  <c r="AX2020" i="1"/>
  <c r="AX2021" i="1"/>
  <c r="AX2022" i="1"/>
  <c r="AX2023" i="1"/>
  <c r="AX2024" i="1"/>
  <c r="AX2025" i="1"/>
  <c r="AX2026" i="1"/>
  <c r="AX2027" i="1"/>
  <c r="AX2028" i="1"/>
  <c r="AX2029" i="1"/>
  <c r="AX2030" i="1"/>
  <c r="AX2031" i="1"/>
  <c r="AX2032" i="1"/>
  <c r="AX2033" i="1"/>
  <c r="AX2034" i="1"/>
  <c r="AX2035" i="1"/>
  <c r="AX2036" i="1"/>
  <c r="AX2037" i="1"/>
  <c r="AX2038" i="1"/>
  <c r="AX2039" i="1"/>
  <c r="AX2040" i="1"/>
  <c r="AX2041" i="1"/>
  <c r="AX2042" i="1"/>
  <c r="AX2043" i="1"/>
  <c r="AX2044" i="1"/>
  <c r="AX2045" i="1"/>
  <c r="AX2046" i="1"/>
  <c r="AX2047" i="1"/>
  <c r="AX2048" i="1"/>
  <c r="AX2049" i="1"/>
  <c r="AX2050" i="1"/>
  <c r="AX2051" i="1"/>
  <c r="AX2052" i="1"/>
  <c r="AX2053" i="1"/>
  <c r="AX2054" i="1"/>
  <c r="AX2055" i="1"/>
  <c r="AX2056" i="1"/>
  <c r="AX2057" i="1"/>
  <c r="AX2058" i="1"/>
  <c r="AX2059" i="1"/>
  <c r="AX2060" i="1"/>
  <c r="AX2061" i="1"/>
  <c r="AX2062" i="1"/>
  <c r="AX2063" i="1"/>
  <c r="AX2064" i="1"/>
  <c r="AX2065" i="1"/>
  <c r="AX2066" i="1"/>
  <c r="AX2067" i="1"/>
  <c r="AX2068" i="1"/>
  <c r="AX2069" i="1"/>
  <c r="AX2070" i="1"/>
  <c r="AX2071" i="1"/>
  <c r="AX2072" i="1"/>
  <c r="AX2073" i="1"/>
  <c r="AX2074" i="1"/>
  <c r="AX2075" i="1"/>
  <c r="AX2076" i="1"/>
  <c r="AX2077" i="1"/>
  <c r="AX2078" i="1"/>
  <c r="AX2079" i="1"/>
  <c r="AX2080" i="1"/>
  <c r="AX2081" i="1"/>
  <c r="AX2082" i="1"/>
  <c r="AX2083" i="1"/>
  <c r="AX2084" i="1"/>
  <c r="AX2085" i="1"/>
  <c r="AX2086" i="1"/>
  <c r="AX2087" i="1"/>
  <c r="AX2088" i="1"/>
  <c r="AX2089" i="1"/>
  <c r="AX2090" i="1"/>
  <c r="AX2091" i="1"/>
  <c r="AX2092" i="1"/>
  <c r="AX2093" i="1"/>
  <c r="AX2094" i="1"/>
  <c r="AX2095" i="1"/>
  <c r="AX2096" i="1"/>
  <c r="AX2097" i="1"/>
  <c r="AX2098" i="1"/>
  <c r="AX2099" i="1"/>
  <c r="AX2100" i="1"/>
  <c r="AX2101" i="1"/>
  <c r="AX2102" i="1"/>
  <c r="AX2103" i="1"/>
  <c r="AX2104" i="1"/>
  <c r="AX2105" i="1"/>
  <c r="AX2106" i="1"/>
  <c r="AX2107" i="1"/>
  <c r="AX2108" i="1"/>
  <c r="AX2109" i="1"/>
  <c r="AX2110" i="1"/>
  <c r="AX2111" i="1"/>
  <c r="AX2112" i="1"/>
  <c r="AX2113" i="1"/>
  <c r="AX2114" i="1"/>
  <c r="AX2115" i="1"/>
  <c r="AX2116" i="1"/>
  <c r="AX2117" i="1"/>
  <c r="AX2118" i="1"/>
  <c r="AX2119" i="1"/>
  <c r="AX2120" i="1"/>
  <c r="AX2121" i="1"/>
  <c r="AX2122" i="1"/>
  <c r="AX2123" i="1"/>
  <c r="AX2124" i="1"/>
  <c r="AX2125" i="1"/>
  <c r="AX2126" i="1"/>
  <c r="AX2127" i="1"/>
  <c r="AX2128" i="1"/>
  <c r="AX2129" i="1"/>
  <c r="AX2130" i="1"/>
  <c r="AX2131" i="1"/>
  <c r="AX2132" i="1"/>
  <c r="AX2133" i="1"/>
  <c r="AX2134" i="1"/>
  <c r="AX2135" i="1"/>
  <c r="AX2136" i="1"/>
  <c r="AX2137" i="1"/>
  <c r="AX2138" i="1"/>
  <c r="AX2139" i="1"/>
  <c r="AX2140" i="1"/>
  <c r="AX2141" i="1"/>
  <c r="AX2142" i="1"/>
  <c r="AX2143" i="1"/>
  <c r="AX2144" i="1"/>
  <c r="AX2145" i="1"/>
  <c r="AX2146" i="1"/>
  <c r="AX2147" i="1"/>
  <c r="AX2148" i="1"/>
  <c r="AX2149" i="1"/>
  <c r="AX2150" i="1"/>
  <c r="AX2151" i="1"/>
  <c r="AX2152" i="1"/>
  <c r="AX2153" i="1"/>
  <c r="AX2154" i="1"/>
  <c r="AX2155" i="1"/>
  <c r="AX2156" i="1"/>
  <c r="AX2157" i="1"/>
  <c r="AX2158" i="1"/>
  <c r="AX2159" i="1"/>
  <c r="AX2160" i="1"/>
  <c r="AX2161" i="1"/>
  <c r="AX2162" i="1"/>
  <c r="AX2163" i="1"/>
  <c r="AX2164" i="1"/>
  <c r="AX2165" i="1"/>
  <c r="AX2166" i="1"/>
  <c r="AX2167" i="1"/>
  <c r="AX2168" i="1"/>
  <c r="AX2169" i="1"/>
  <c r="AX2170" i="1"/>
  <c r="AX2171" i="1"/>
  <c r="AX2172" i="1"/>
  <c r="AX2173" i="1"/>
  <c r="AX2174" i="1"/>
  <c r="AX2175" i="1"/>
  <c r="AX2176" i="1"/>
  <c r="AX2177" i="1"/>
  <c r="AX2178" i="1"/>
  <c r="AX2179" i="1"/>
  <c r="AX2180" i="1"/>
  <c r="AX2181" i="1"/>
  <c r="AX2182" i="1"/>
  <c r="AX2183" i="1"/>
  <c r="AX2184" i="1"/>
  <c r="AX2185" i="1"/>
  <c r="AX2186" i="1"/>
  <c r="AX2187" i="1"/>
  <c r="AX2188" i="1"/>
  <c r="AX2189" i="1"/>
  <c r="AX2190" i="1"/>
  <c r="AX2191" i="1"/>
  <c r="AX2192" i="1"/>
  <c r="AX2193" i="1"/>
  <c r="AX2194" i="1"/>
  <c r="AX2195" i="1"/>
  <c r="AX2196" i="1"/>
  <c r="AX2197" i="1"/>
  <c r="AX2198" i="1"/>
  <c r="AX2199" i="1"/>
  <c r="AX2200" i="1"/>
  <c r="AX2201" i="1"/>
  <c r="AX2202" i="1"/>
  <c r="AX2203" i="1"/>
  <c r="AX2204" i="1"/>
  <c r="AX2205" i="1"/>
  <c r="AX2206" i="1"/>
  <c r="AX2207" i="1"/>
  <c r="AX2208" i="1"/>
  <c r="AX2209" i="1"/>
  <c r="AX2210" i="1"/>
  <c r="AX2211" i="1"/>
  <c r="AX2212" i="1"/>
  <c r="AX2213" i="1"/>
  <c r="AX2214" i="1"/>
  <c r="AX2215" i="1"/>
  <c r="AX2216" i="1"/>
  <c r="AX2217" i="1"/>
  <c r="AX2218" i="1"/>
  <c r="AX2219" i="1"/>
  <c r="AX2220" i="1"/>
  <c r="AX2221" i="1"/>
  <c r="AX2222" i="1"/>
  <c r="AX2223" i="1"/>
  <c r="AX2224" i="1"/>
  <c r="AX2225" i="1"/>
  <c r="AX2226" i="1"/>
  <c r="AX2227" i="1"/>
  <c r="AX2228" i="1"/>
  <c r="AX2229" i="1"/>
  <c r="AX2230" i="1"/>
  <c r="AX2231" i="1"/>
  <c r="AX2232" i="1"/>
  <c r="AX2233" i="1"/>
  <c r="AX2234" i="1"/>
  <c r="AX2235" i="1"/>
  <c r="AX2236" i="1"/>
  <c r="AX2237" i="1"/>
  <c r="AX2238" i="1"/>
  <c r="AX2239" i="1"/>
  <c r="AX2240" i="1"/>
  <c r="AX2241" i="1"/>
  <c r="AX2242" i="1"/>
  <c r="AX2243" i="1"/>
  <c r="AX2244" i="1"/>
  <c r="AX2245" i="1"/>
  <c r="AX2246" i="1"/>
  <c r="AX2247" i="1"/>
  <c r="AX2248" i="1"/>
  <c r="AX2249" i="1"/>
  <c r="AX2250" i="1"/>
  <c r="AX2251" i="1"/>
  <c r="AX2252" i="1"/>
  <c r="AX2253" i="1"/>
  <c r="AX2254" i="1"/>
  <c r="AX2255" i="1"/>
  <c r="AX2256" i="1"/>
  <c r="AX2257" i="1"/>
  <c r="AX2258" i="1"/>
  <c r="AX2259" i="1"/>
  <c r="AX2260" i="1"/>
  <c r="AX2261" i="1"/>
  <c r="AX2262" i="1"/>
  <c r="AX2263" i="1"/>
  <c r="AX2264" i="1"/>
  <c r="AX2265" i="1"/>
  <c r="AX2266" i="1"/>
  <c r="AX2267" i="1"/>
  <c r="AX2268" i="1"/>
  <c r="AX2269" i="1"/>
  <c r="AX2270" i="1"/>
  <c r="AX2271" i="1"/>
  <c r="AX2272" i="1"/>
  <c r="AX2273" i="1"/>
  <c r="AX2274" i="1"/>
  <c r="AX2275" i="1"/>
  <c r="AX2276" i="1"/>
  <c r="AX2277" i="1"/>
  <c r="AX2278" i="1"/>
  <c r="AX2279" i="1"/>
  <c r="AX2280" i="1"/>
  <c r="AX2281" i="1"/>
  <c r="AX2282" i="1"/>
  <c r="AX2283" i="1"/>
  <c r="AX2284" i="1"/>
  <c r="AX2285" i="1"/>
  <c r="AX2286" i="1"/>
  <c r="AX2287" i="1"/>
  <c r="AX2288" i="1"/>
  <c r="AX2289" i="1"/>
  <c r="AX2290" i="1"/>
  <c r="AX2291" i="1"/>
  <c r="AX2292" i="1"/>
  <c r="AX2293" i="1"/>
  <c r="AX2294" i="1"/>
  <c r="AX2295" i="1"/>
  <c r="AX2296" i="1"/>
  <c r="AX2297" i="1"/>
  <c r="AX2298" i="1"/>
  <c r="AX2299" i="1"/>
  <c r="AX2300" i="1"/>
  <c r="AX2301" i="1"/>
  <c r="AX2302" i="1"/>
  <c r="AX2303" i="1"/>
  <c r="AX2304" i="1"/>
  <c r="AX2305" i="1"/>
  <c r="AX2306" i="1"/>
  <c r="AX2307" i="1"/>
  <c r="AX2308" i="1"/>
  <c r="AX2309" i="1"/>
  <c r="AX2310" i="1"/>
  <c r="AX2311" i="1"/>
  <c r="AX2312" i="1"/>
  <c r="AX2313" i="1"/>
  <c r="AX2314" i="1"/>
  <c r="AX2315" i="1"/>
  <c r="AX2316" i="1"/>
  <c r="AX2317" i="1"/>
  <c r="AX2318" i="1"/>
  <c r="AX2319" i="1"/>
  <c r="AX2320" i="1"/>
  <c r="AX2321" i="1"/>
  <c r="AX2322" i="1"/>
  <c r="AX2323" i="1"/>
  <c r="AX2324" i="1"/>
  <c r="AX2325" i="1"/>
  <c r="AX2326" i="1"/>
  <c r="AX2327" i="1"/>
  <c r="AX2328" i="1"/>
  <c r="AX2329" i="1"/>
  <c r="AX2330" i="1"/>
  <c r="AX2331" i="1"/>
  <c r="AX2332" i="1"/>
  <c r="AX2333" i="1"/>
  <c r="AX2334" i="1"/>
  <c r="AX2335" i="1"/>
  <c r="AX2336" i="1"/>
  <c r="AX2337" i="1"/>
  <c r="AX2338" i="1"/>
  <c r="AX2339" i="1"/>
  <c r="AX2340" i="1"/>
  <c r="AX2341" i="1"/>
  <c r="AX2342" i="1"/>
  <c r="AX2343" i="1"/>
  <c r="AX2344" i="1"/>
  <c r="AX2345" i="1"/>
  <c r="AX2346" i="1"/>
  <c r="AX2347" i="1"/>
  <c r="AX2348" i="1"/>
  <c r="AX2349" i="1"/>
  <c r="AX2350" i="1"/>
  <c r="AX2351" i="1"/>
  <c r="AX2352" i="1"/>
  <c r="AX2353" i="1"/>
  <c r="AX2354" i="1"/>
  <c r="AX2355" i="1"/>
  <c r="AX2356" i="1"/>
  <c r="AX2357" i="1"/>
  <c r="AX2358" i="1"/>
  <c r="AX2359" i="1"/>
  <c r="AX2360" i="1"/>
  <c r="AX2361" i="1"/>
  <c r="AX2362" i="1"/>
  <c r="AX2363" i="1"/>
  <c r="AX2364" i="1"/>
  <c r="AX2365" i="1"/>
  <c r="AX2366" i="1"/>
  <c r="AX2367" i="1"/>
  <c r="AX2368" i="1"/>
  <c r="AX2369" i="1"/>
  <c r="AX2370" i="1"/>
  <c r="AX2371" i="1"/>
  <c r="AX2372" i="1"/>
  <c r="AX2373" i="1"/>
  <c r="AX2374" i="1"/>
  <c r="AX2375" i="1"/>
  <c r="AX2376" i="1"/>
  <c r="AX2377" i="1"/>
  <c r="AX2378" i="1"/>
  <c r="AX2379" i="1"/>
  <c r="AX2380" i="1"/>
  <c r="AX2381" i="1"/>
  <c r="AX2382" i="1"/>
  <c r="AX2383" i="1"/>
  <c r="AX2384" i="1"/>
  <c r="AX2385" i="1"/>
  <c r="AX2386" i="1"/>
  <c r="AX2387" i="1"/>
  <c r="AX2388" i="1"/>
  <c r="AX2389" i="1"/>
  <c r="AX2390" i="1"/>
  <c r="AX2391" i="1"/>
  <c r="AX2392" i="1"/>
  <c r="AX2393" i="1"/>
  <c r="AX2394" i="1"/>
  <c r="AX2395" i="1"/>
  <c r="AX2396" i="1"/>
  <c r="AX2397" i="1"/>
  <c r="AX2398" i="1"/>
  <c r="AX2399" i="1"/>
  <c r="AX2400" i="1"/>
  <c r="AX2401" i="1"/>
  <c r="AX2402" i="1"/>
  <c r="AX2403" i="1"/>
  <c r="AX2404" i="1"/>
  <c r="AX2405" i="1"/>
  <c r="AX2406" i="1"/>
  <c r="AX2407" i="1"/>
  <c r="AX2408" i="1"/>
  <c r="AX2409" i="1"/>
  <c r="AX2410" i="1"/>
  <c r="AX2411" i="1"/>
  <c r="AX2412" i="1"/>
  <c r="AX2413" i="1"/>
  <c r="AX2414" i="1"/>
  <c r="AX2415" i="1"/>
  <c r="AX2416" i="1"/>
  <c r="AX2417" i="1"/>
  <c r="AX2418" i="1"/>
  <c r="AX2419" i="1"/>
  <c r="AX2420" i="1"/>
  <c r="AX2421" i="1"/>
  <c r="AX2422" i="1"/>
  <c r="AX2423" i="1"/>
  <c r="AX2424" i="1"/>
  <c r="AX2425" i="1"/>
  <c r="AX2426" i="1"/>
  <c r="AX2427" i="1"/>
  <c r="AX2428" i="1"/>
  <c r="AX2429" i="1"/>
  <c r="AX2430" i="1"/>
  <c r="AX2431" i="1"/>
  <c r="AX2432" i="1"/>
  <c r="AX2433" i="1"/>
  <c r="AX2434" i="1"/>
  <c r="AX2435" i="1"/>
  <c r="AX2436" i="1"/>
  <c r="AX2437" i="1"/>
  <c r="AX2438" i="1"/>
  <c r="AX2439" i="1"/>
  <c r="AX2440" i="1"/>
  <c r="AX2441" i="1"/>
  <c r="AX2442" i="1"/>
  <c r="AX2443" i="1"/>
  <c r="AX2444" i="1"/>
  <c r="AX2445" i="1"/>
  <c r="AX2446" i="1"/>
  <c r="AX2447" i="1"/>
  <c r="AX2448" i="1"/>
  <c r="AX2449" i="1"/>
  <c r="AX2450" i="1"/>
  <c r="AX2451" i="1"/>
  <c r="AX2452" i="1"/>
  <c r="AX2453" i="1"/>
  <c r="AX2454" i="1"/>
  <c r="AX2455" i="1"/>
  <c r="AX2456" i="1"/>
  <c r="AX2457" i="1"/>
  <c r="AX2458" i="1"/>
  <c r="AX2459" i="1"/>
  <c r="AX2460" i="1"/>
  <c r="AX2461" i="1"/>
  <c r="AX2462" i="1"/>
  <c r="AX2463" i="1"/>
  <c r="AX2464" i="1"/>
  <c r="AX2465" i="1"/>
  <c r="AX2466" i="1"/>
  <c r="AX2467" i="1"/>
  <c r="AX2468" i="1"/>
  <c r="AX2469" i="1"/>
  <c r="AX2470" i="1"/>
  <c r="AX2471" i="1"/>
  <c r="AX2472" i="1"/>
  <c r="AX2473" i="1"/>
  <c r="AX2474" i="1"/>
  <c r="AX2475" i="1"/>
  <c r="AX2476" i="1"/>
  <c r="AX2477" i="1"/>
  <c r="AX2478" i="1"/>
  <c r="AX2479" i="1"/>
  <c r="AX2480" i="1"/>
  <c r="AX2481" i="1"/>
  <c r="AX2482" i="1"/>
  <c r="AX2483" i="1"/>
  <c r="AX2484" i="1"/>
  <c r="AX2485" i="1"/>
  <c r="AX2486" i="1"/>
  <c r="AX2487" i="1"/>
  <c r="AX2488" i="1"/>
  <c r="AX2489" i="1"/>
  <c r="AX2490" i="1"/>
  <c r="AX2491" i="1"/>
  <c r="AX2492" i="1"/>
  <c r="AX2493" i="1"/>
  <c r="AX2494" i="1"/>
  <c r="AX2495" i="1"/>
  <c r="AX2496" i="1"/>
  <c r="AX2497" i="1"/>
  <c r="AX2498" i="1"/>
  <c r="AX2499" i="1"/>
  <c r="AX2500" i="1"/>
  <c r="AX2501" i="1"/>
  <c r="AX2502" i="1"/>
  <c r="AX2503" i="1"/>
  <c r="AX2504" i="1"/>
  <c r="AX2505" i="1"/>
  <c r="AX2506" i="1"/>
  <c r="AX2507" i="1"/>
  <c r="AX2508" i="1"/>
  <c r="AX2509" i="1"/>
  <c r="AX2510" i="1"/>
  <c r="AX2511" i="1"/>
  <c r="AX2512" i="1"/>
  <c r="AX2513" i="1"/>
  <c r="AX2514" i="1"/>
  <c r="AX2515" i="1"/>
  <c r="AX2516" i="1"/>
  <c r="AX2517" i="1"/>
  <c r="AX2518" i="1"/>
  <c r="AX2519" i="1"/>
  <c r="AX2520" i="1"/>
  <c r="AX2521" i="1"/>
  <c r="AX2522" i="1"/>
  <c r="AX2523" i="1"/>
  <c r="AX2524" i="1"/>
  <c r="AX2525" i="1"/>
  <c r="AX2526" i="1"/>
  <c r="AX2527" i="1"/>
  <c r="AX2528" i="1"/>
  <c r="AX2529" i="1"/>
  <c r="AX2530" i="1"/>
  <c r="AX2531" i="1"/>
  <c r="AX2532" i="1"/>
  <c r="AX2533" i="1"/>
  <c r="AX2534" i="1"/>
  <c r="AX2535" i="1"/>
  <c r="AX2536" i="1"/>
  <c r="AX2537" i="1"/>
  <c r="AX2538" i="1"/>
  <c r="AX2539" i="1"/>
  <c r="AX2540" i="1"/>
  <c r="AX2541" i="1"/>
  <c r="AX2542" i="1"/>
  <c r="AX2543" i="1"/>
  <c r="AX2544" i="1"/>
  <c r="AX2545" i="1"/>
  <c r="AX2546" i="1"/>
  <c r="AX2547" i="1"/>
  <c r="AX2548" i="1"/>
  <c r="AX2549" i="1"/>
  <c r="AX2550" i="1"/>
  <c r="AX2551" i="1"/>
  <c r="AX2552" i="1"/>
  <c r="AX2553" i="1"/>
  <c r="AX2554" i="1"/>
  <c r="AX2555" i="1"/>
  <c r="AX2556" i="1"/>
  <c r="AX2557" i="1"/>
  <c r="AX2558" i="1"/>
  <c r="AX2559" i="1"/>
  <c r="AX2560" i="1"/>
  <c r="AX2561" i="1"/>
  <c r="AX2562" i="1"/>
  <c r="AX2563" i="1"/>
  <c r="AX2564" i="1"/>
  <c r="AX2565" i="1"/>
  <c r="AX2566" i="1"/>
  <c r="AX2567" i="1"/>
  <c r="AX2568" i="1"/>
  <c r="AX2569" i="1"/>
  <c r="AX2570" i="1"/>
  <c r="AX2571" i="1"/>
  <c r="AX2572" i="1"/>
  <c r="AX2573" i="1"/>
  <c r="AX2574" i="1"/>
  <c r="AX2575" i="1"/>
  <c r="AX2576" i="1"/>
  <c r="AX2577" i="1"/>
  <c r="AX2578" i="1"/>
  <c r="AX2579" i="1"/>
  <c r="AX2580" i="1"/>
  <c r="AX2581" i="1"/>
  <c r="AX2582" i="1"/>
  <c r="AX2583" i="1"/>
  <c r="AX2584" i="1"/>
  <c r="AX2585" i="1"/>
  <c r="AX2586" i="1"/>
  <c r="AX2587" i="1"/>
  <c r="AX2588" i="1"/>
  <c r="AX2589" i="1"/>
  <c r="AX2590" i="1"/>
  <c r="AX2591" i="1"/>
  <c r="AX2592" i="1"/>
  <c r="AX2593" i="1"/>
  <c r="AX2594" i="1"/>
  <c r="AX2595" i="1"/>
  <c r="AX2596" i="1"/>
  <c r="AX2597" i="1"/>
  <c r="AX2598" i="1"/>
  <c r="AX2599" i="1"/>
  <c r="AX2600" i="1"/>
  <c r="AX2601" i="1"/>
  <c r="AX2602" i="1"/>
  <c r="AX2603" i="1"/>
  <c r="AX2604" i="1"/>
  <c r="AX2605" i="1"/>
  <c r="AX2606" i="1"/>
  <c r="AX2607" i="1"/>
  <c r="AX2608" i="1"/>
  <c r="AX2609" i="1"/>
  <c r="AX2610" i="1"/>
  <c r="AX2611" i="1"/>
  <c r="AX2612" i="1"/>
  <c r="AX2613" i="1"/>
  <c r="AX2614" i="1"/>
  <c r="AX2615" i="1"/>
  <c r="AX2616" i="1"/>
  <c r="AX2617" i="1"/>
  <c r="AX2618" i="1"/>
  <c r="AX2619" i="1"/>
  <c r="AX2620" i="1"/>
  <c r="AX2621" i="1"/>
  <c r="AX2622" i="1"/>
  <c r="AX2623" i="1"/>
  <c r="AX2624" i="1"/>
  <c r="AX2625" i="1"/>
  <c r="AX2626" i="1"/>
  <c r="AX2627" i="1"/>
  <c r="AX2628" i="1"/>
  <c r="AX2629" i="1"/>
  <c r="AX2630" i="1"/>
  <c r="AX2631" i="1"/>
  <c r="AX2632" i="1"/>
  <c r="AX2633" i="1"/>
  <c r="AX2634" i="1"/>
  <c r="AX2635" i="1"/>
  <c r="AX2636" i="1"/>
  <c r="AX2637" i="1"/>
  <c r="AX2638" i="1"/>
  <c r="AX2639" i="1"/>
  <c r="AX2640" i="1"/>
  <c r="AX2641" i="1"/>
  <c r="AX2642" i="1"/>
  <c r="AX2643" i="1"/>
  <c r="AX2644" i="1"/>
  <c r="AX2645" i="1"/>
  <c r="AX2646" i="1"/>
  <c r="AX2647" i="1"/>
  <c r="AX2648" i="1"/>
  <c r="AX2649" i="1"/>
  <c r="AX2650" i="1"/>
  <c r="AX2651" i="1"/>
  <c r="AX2652" i="1"/>
  <c r="AX2653" i="1"/>
  <c r="AX2654" i="1"/>
  <c r="AX2655" i="1"/>
  <c r="AX2656" i="1"/>
  <c r="AX2657" i="1"/>
  <c r="AX2658" i="1"/>
  <c r="AX2659" i="1"/>
  <c r="AX2660" i="1"/>
  <c r="AX2661" i="1"/>
  <c r="AX2662" i="1"/>
  <c r="AX2663" i="1"/>
  <c r="AX2664" i="1"/>
  <c r="AX2665" i="1"/>
  <c r="AX2666" i="1"/>
  <c r="AX2667" i="1"/>
  <c r="AX2668" i="1"/>
  <c r="AX2669" i="1"/>
  <c r="AX2670" i="1"/>
  <c r="AX2671" i="1"/>
  <c r="AX2672" i="1"/>
  <c r="AX2673" i="1"/>
  <c r="AX2674" i="1"/>
  <c r="AX2675" i="1"/>
  <c r="AX2676" i="1"/>
  <c r="AX2677" i="1"/>
  <c r="AX2678" i="1"/>
  <c r="AX2679" i="1"/>
  <c r="AX2680" i="1"/>
  <c r="AX2681" i="1"/>
  <c r="AX2682" i="1"/>
  <c r="AX2683" i="1"/>
  <c r="AX2684" i="1"/>
  <c r="AX2685" i="1"/>
  <c r="AX2686" i="1"/>
  <c r="AX2687" i="1"/>
  <c r="AX2688" i="1"/>
  <c r="AX2689" i="1"/>
  <c r="AX2690" i="1"/>
  <c r="AX2691" i="1"/>
  <c r="AX2692" i="1"/>
  <c r="AX2693" i="1"/>
  <c r="AX2694" i="1"/>
  <c r="AX2695" i="1"/>
  <c r="AX2696" i="1"/>
  <c r="AX2697" i="1"/>
  <c r="AX2698" i="1"/>
  <c r="AX2699" i="1"/>
  <c r="AX2700" i="1"/>
  <c r="AX2701" i="1"/>
  <c r="AX2702" i="1"/>
  <c r="AX2703" i="1"/>
  <c r="AX2704" i="1"/>
  <c r="AX2705" i="1"/>
  <c r="AX2706" i="1"/>
  <c r="AX2707" i="1"/>
  <c r="AX2708" i="1"/>
  <c r="AX2709" i="1"/>
  <c r="AX2710" i="1"/>
  <c r="AX2711" i="1"/>
  <c r="AX2712" i="1"/>
  <c r="AX2713" i="1"/>
  <c r="AX2714" i="1"/>
  <c r="AX2715" i="1"/>
  <c r="AX2716" i="1"/>
  <c r="AX2717" i="1"/>
  <c r="AX2718" i="1"/>
  <c r="AX2719" i="1"/>
  <c r="AX2720" i="1"/>
  <c r="AX2721" i="1"/>
  <c r="AX2722" i="1"/>
  <c r="AX2723" i="1"/>
  <c r="AX2724" i="1"/>
  <c r="AX2725" i="1"/>
  <c r="AX2726" i="1"/>
  <c r="AX2727" i="1"/>
  <c r="AX2728" i="1"/>
  <c r="AX2729" i="1"/>
  <c r="AX2730" i="1"/>
  <c r="AX2731" i="1"/>
  <c r="AX2732" i="1"/>
  <c r="AX2733" i="1"/>
  <c r="AX2734" i="1"/>
  <c r="AX2735" i="1"/>
  <c r="AX2736" i="1"/>
  <c r="AX2737" i="1"/>
  <c r="AX2738" i="1"/>
  <c r="AX2739" i="1"/>
  <c r="AX2740" i="1"/>
  <c r="AX2741" i="1"/>
  <c r="AX2742" i="1"/>
  <c r="AX2743" i="1"/>
  <c r="AX2744" i="1"/>
  <c r="AX2745" i="1"/>
  <c r="AX2746" i="1"/>
  <c r="AX2747" i="1"/>
  <c r="AX2748" i="1"/>
  <c r="AX2749" i="1"/>
  <c r="AX2750" i="1"/>
  <c r="AX2751" i="1"/>
  <c r="AX2752" i="1"/>
  <c r="AX2753" i="1"/>
  <c r="AX2754" i="1"/>
  <c r="AX2755" i="1"/>
  <c r="AX2756" i="1"/>
  <c r="AX2757" i="1"/>
  <c r="AX2758" i="1"/>
  <c r="AX2759" i="1"/>
  <c r="AX2760" i="1"/>
  <c r="AX2761" i="1"/>
  <c r="AX2762" i="1"/>
  <c r="AX2763" i="1"/>
  <c r="AX2764" i="1"/>
  <c r="AX2765" i="1"/>
  <c r="AX2766" i="1"/>
  <c r="AX2767" i="1"/>
  <c r="AX2768" i="1"/>
  <c r="AX2769" i="1"/>
  <c r="AX2770" i="1"/>
  <c r="AX2771" i="1"/>
  <c r="AX2772" i="1"/>
  <c r="AX2773" i="1"/>
  <c r="AX2774" i="1"/>
  <c r="AX2775" i="1"/>
  <c r="AX2776" i="1"/>
  <c r="AX2777" i="1"/>
  <c r="AX2778" i="1"/>
  <c r="AX2779" i="1"/>
  <c r="AX2780" i="1"/>
  <c r="AX2781" i="1"/>
  <c r="AX2782" i="1"/>
  <c r="AX2783" i="1"/>
  <c r="AX2784" i="1"/>
  <c r="AX2785" i="1"/>
  <c r="AX2786" i="1"/>
  <c r="AX2787" i="1"/>
  <c r="AX2788" i="1"/>
  <c r="AX2789" i="1"/>
  <c r="AX2790" i="1"/>
  <c r="AX2791" i="1"/>
  <c r="AX2792" i="1"/>
  <c r="AX2793" i="1"/>
  <c r="AX2794" i="1"/>
  <c r="AX2795" i="1"/>
  <c r="AX2796" i="1"/>
  <c r="AX2797" i="1"/>
  <c r="AX2798" i="1"/>
  <c r="AX2799" i="1"/>
  <c r="AX2800" i="1"/>
  <c r="AX2801" i="1"/>
  <c r="AX2802" i="1"/>
  <c r="AX2803" i="1"/>
  <c r="AX2804" i="1"/>
  <c r="AX2805" i="1"/>
  <c r="AX2806" i="1"/>
  <c r="AX2807" i="1"/>
  <c r="AX2808" i="1"/>
  <c r="AX2809" i="1"/>
  <c r="AX2810" i="1"/>
  <c r="AX2811" i="1"/>
  <c r="AX2812" i="1"/>
  <c r="AX2813" i="1"/>
  <c r="AX2814" i="1"/>
  <c r="AX2815" i="1"/>
  <c r="AX2816" i="1"/>
  <c r="AX2817" i="1"/>
  <c r="AX2818" i="1"/>
  <c r="AX2819" i="1"/>
  <c r="AX2820" i="1"/>
  <c r="AX2821" i="1"/>
  <c r="AX2822" i="1"/>
  <c r="AX2823" i="1"/>
  <c r="AX2824" i="1"/>
  <c r="AX2825" i="1"/>
  <c r="AX2826" i="1"/>
  <c r="AX2827" i="1"/>
  <c r="AX2828" i="1"/>
  <c r="AX2829" i="1"/>
  <c r="AX2830" i="1"/>
  <c r="AX2831" i="1"/>
  <c r="AX2832" i="1"/>
  <c r="AX2833" i="1"/>
  <c r="AX2834" i="1"/>
  <c r="AX2835" i="1"/>
  <c r="AX2836" i="1"/>
  <c r="AX2837" i="1"/>
  <c r="AX2838" i="1"/>
  <c r="AX2839" i="1"/>
  <c r="AX2840" i="1"/>
  <c r="AX2841" i="1"/>
  <c r="AX2842" i="1"/>
  <c r="AX2843" i="1"/>
  <c r="AX2844" i="1"/>
  <c r="AX2845" i="1"/>
  <c r="AX2846" i="1"/>
  <c r="AX2847" i="1"/>
  <c r="AX2848" i="1"/>
  <c r="AX2849" i="1"/>
  <c r="AX2850" i="1"/>
  <c r="AX2851" i="1"/>
  <c r="AX2852" i="1"/>
  <c r="AX2853" i="1"/>
  <c r="AX2854" i="1"/>
  <c r="AX2855" i="1"/>
  <c r="AX2856" i="1"/>
  <c r="AX2857" i="1"/>
  <c r="AX2858" i="1"/>
  <c r="AX2859" i="1"/>
  <c r="AX2860" i="1"/>
  <c r="AX2861" i="1"/>
  <c r="AX2862" i="1"/>
  <c r="AX2863" i="1"/>
  <c r="AX2864" i="1"/>
  <c r="AX2865" i="1"/>
  <c r="AX2866" i="1"/>
  <c r="AX2867" i="1"/>
  <c r="AX2868" i="1"/>
  <c r="AX2869" i="1"/>
  <c r="AX2870" i="1"/>
  <c r="AX2871" i="1"/>
  <c r="AX2872" i="1"/>
  <c r="AX2873" i="1"/>
  <c r="AX2874" i="1"/>
  <c r="AX2875" i="1"/>
  <c r="AX2876" i="1"/>
  <c r="AX2877" i="1"/>
  <c r="AX2878" i="1"/>
  <c r="AX2879" i="1"/>
  <c r="AX2880" i="1"/>
  <c r="AX2881" i="1"/>
  <c r="AX2882" i="1"/>
  <c r="AX2883" i="1"/>
  <c r="AX2884" i="1"/>
  <c r="AX2885" i="1"/>
  <c r="AX2886" i="1"/>
  <c r="AX2887" i="1"/>
  <c r="AX2888" i="1"/>
  <c r="AX2889" i="1"/>
  <c r="AX2890" i="1"/>
  <c r="AX2891" i="1"/>
  <c r="AX2892" i="1"/>
  <c r="AX2893" i="1"/>
  <c r="AX2894" i="1"/>
  <c r="AX2895" i="1"/>
  <c r="AX2896" i="1"/>
  <c r="AX2897" i="1"/>
  <c r="AX2898" i="1"/>
  <c r="AX2899" i="1"/>
  <c r="AX2900" i="1"/>
  <c r="AX2901" i="1"/>
  <c r="AX2902" i="1"/>
  <c r="AX2903" i="1"/>
  <c r="AX2904" i="1"/>
  <c r="AX2905" i="1"/>
  <c r="AX2906" i="1"/>
  <c r="AX2907" i="1"/>
  <c r="AX2908" i="1"/>
  <c r="AX2909" i="1"/>
  <c r="AX2910" i="1"/>
  <c r="AX2911" i="1"/>
  <c r="AX2912" i="1"/>
  <c r="AX2913" i="1"/>
  <c r="AX2914" i="1"/>
  <c r="AX2915" i="1"/>
  <c r="AX2916" i="1"/>
  <c r="AX2917" i="1"/>
  <c r="AX2918" i="1"/>
  <c r="AX2919" i="1"/>
  <c r="AX2920" i="1"/>
  <c r="AX2921" i="1"/>
  <c r="AX2922" i="1"/>
  <c r="AX2923" i="1"/>
  <c r="AX2924" i="1"/>
  <c r="AX2925" i="1"/>
  <c r="AX2926" i="1"/>
  <c r="AX2927" i="1"/>
  <c r="AX2928" i="1"/>
  <c r="AX2929" i="1"/>
  <c r="AX2930" i="1"/>
  <c r="AX2931" i="1"/>
  <c r="AX2932" i="1"/>
  <c r="AX2933" i="1"/>
  <c r="AX2934" i="1"/>
  <c r="AX2935" i="1"/>
  <c r="AX2936" i="1"/>
  <c r="AX2937" i="1"/>
  <c r="AX2938" i="1"/>
  <c r="AX2939" i="1"/>
  <c r="AX2940" i="1"/>
  <c r="AX2941" i="1"/>
  <c r="AX2942" i="1"/>
  <c r="AX2943" i="1"/>
  <c r="AX2944" i="1"/>
  <c r="AX2945" i="1"/>
  <c r="AX2946" i="1"/>
  <c r="AX2947" i="1"/>
  <c r="AX2948" i="1"/>
  <c r="AX2949" i="1"/>
  <c r="AX2950" i="1"/>
  <c r="AX2951" i="1"/>
  <c r="AX2952" i="1"/>
  <c r="AX2953" i="1"/>
  <c r="AX2954" i="1"/>
  <c r="AX2955" i="1"/>
  <c r="AX2956" i="1"/>
  <c r="AX2957" i="1"/>
  <c r="AX2958" i="1"/>
  <c r="AX2959" i="1"/>
  <c r="AX2960" i="1"/>
  <c r="AX2961" i="1"/>
  <c r="AX2962" i="1"/>
  <c r="AX2963" i="1"/>
  <c r="AX2964" i="1"/>
  <c r="AX2965" i="1"/>
  <c r="AX2966" i="1"/>
  <c r="AX2967" i="1"/>
  <c r="AX2968" i="1"/>
  <c r="AX2969" i="1"/>
  <c r="AX2970" i="1"/>
  <c r="AX2971" i="1"/>
  <c r="AX2972" i="1"/>
  <c r="AX2973" i="1"/>
  <c r="AX2974" i="1"/>
  <c r="AX2975" i="1"/>
  <c r="AX2976" i="1"/>
  <c r="AX2977" i="1"/>
  <c r="AX2978" i="1"/>
  <c r="AX2979" i="1"/>
  <c r="AX2980" i="1"/>
  <c r="AX2981" i="1"/>
  <c r="AX2982" i="1"/>
  <c r="AX2983" i="1"/>
  <c r="AX2984" i="1"/>
  <c r="AX2985" i="1"/>
  <c r="AX2986" i="1"/>
  <c r="AX2987" i="1"/>
  <c r="AX2988" i="1"/>
  <c r="AX2989" i="1"/>
  <c r="AX2990" i="1"/>
  <c r="AX2991" i="1"/>
  <c r="AX2992" i="1"/>
  <c r="AX2993" i="1"/>
  <c r="AX2994" i="1"/>
  <c r="AX2995" i="1"/>
  <c r="AX2996" i="1"/>
  <c r="AX2997" i="1"/>
  <c r="AX2998" i="1"/>
  <c r="AX2999" i="1"/>
  <c r="AX3000" i="1"/>
  <c r="AX3001" i="1"/>
  <c r="AX3002" i="1"/>
  <c r="AX3003" i="1"/>
  <c r="AX3004" i="1"/>
  <c r="AX3005" i="1"/>
  <c r="AX3006" i="1"/>
  <c r="AX3007" i="1"/>
  <c r="AX3008" i="1"/>
  <c r="AX3009" i="1"/>
  <c r="AX3010" i="1"/>
  <c r="AX3011" i="1"/>
  <c r="AX3012" i="1"/>
  <c r="AX3013" i="1"/>
  <c r="AX3014" i="1"/>
  <c r="AX3015" i="1"/>
  <c r="AX3016" i="1"/>
  <c r="AX3017" i="1"/>
  <c r="AX3018" i="1"/>
  <c r="AX3019" i="1"/>
  <c r="AX3020" i="1"/>
  <c r="AX3021" i="1"/>
  <c r="AX3022" i="1"/>
  <c r="AX3023" i="1"/>
  <c r="AX3024" i="1"/>
  <c r="AX3025" i="1"/>
  <c r="AX3026" i="1"/>
  <c r="AX3027" i="1"/>
  <c r="AX3028" i="1"/>
  <c r="AX3029" i="1"/>
  <c r="AX3030" i="1"/>
  <c r="AX3031" i="1"/>
  <c r="AX3032" i="1"/>
  <c r="AX3033" i="1"/>
  <c r="AX3034" i="1"/>
  <c r="AX3035" i="1"/>
  <c r="AX3036" i="1"/>
  <c r="AX3037" i="1"/>
  <c r="AX3038" i="1"/>
  <c r="AX3039" i="1"/>
  <c r="AX3040" i="1"/>
  <c r="AX3041" i="1"/>
  <c r="AX3042" i="1"/>
  <c r="AX3043" i="1"/>
  <c r="AX3044" i="1"/>
  <c r="AX3045" i="1"/>
  <c r="AX3046" i="1"/>
  <c r="AX3047" i="1"/>
  <c r="AX3048" i="1"/>
  <c r="AX3049" i="1"/>
  <c r="AX3050" i="1"/>
  <c r="AX3051" i="1"/>
  <c r="AX3052" i="1"/>
  <c r="AX3053" i="1"/>
  <c r="AX3054" i="1"/>
  <c r="AX3055" i="1"/>
  <c r="AX3056" i="1"/>
  <c r="AX3057" i="1"/>
  <c r="AX3058" i="1"/>
  <c r="AX3059" i="1"/>
  <c r="AX3060" i="1"/>
  <c r="AX3061" i="1"/>
  <c r="AX3062" i="1"/>
  <c r="AX3063" i="1"/>
  <c r="AX3064" i="1"/>
  <c r="AX3065" i="1"/>
  <c r="AX3066" i="1"/>
  <c r="AX3067" i="1"/>
  <c r="AX3068" i="1"/>
  <c r="AX3069" i="1"/>
  <c r="AX3070" i="1"/>
  <c r="AX3071" i="1"/>
  <c r="AX3072" i="1"/>
  <c r="AX3073" i="1"/>
  <c r="AX3074" i="1"/>
  <c r="AX3075" i="1"/>
  <c r="AX3076" i="1"/>
  <c r="AX3077" i="1"/>
  <c r="AX3078" i="1"/>
  <c r="AX3079" i="1"/>
  <c r="AX3080" i="1"/>
  <c r="AX3081" i="1"/>
  <c r="AX3082" i="1"/>
  <c r="AX3083" i="1"/>
  <c r="AX3084" i="1"/>
  <c r="AX3085" i="1"/>
  <c r="AX3086" i="1"/>
  <c r="AX3087" i="1"/>
  <c r="AX3088" i="1"/>
  <c r="AX3089" i="1"/>
  <c r="AX3090" i="1"/>
  <c r="AX3091" i="1"/>
  <c r="AX3092" i="1"/>
  <c r="AX3093" i="1"/>
  <c r="AX3094" i="1"/>
  <c r="AX3095" i="1"/>
  <c r="AX3096" i="1"/>
  <c r="AX3097" i="1"/>
  <c r="AX3098" i="1"/>
  <c r="AX3099" i="1"/>
  <c r="AX3100" i="1"/>
  <c r="AX3101" i="1"/>
  <c r="AX3102" i="1"/>
  <c r="AX3103" i="1"/>
  <c r="AX3104" i="1"/>
  <c r="AX3105" i="1"/>
  <c r="AX3106" i="1"/>
  <c r="AX3107" i="1"/>
  <c r="AX3108" i="1"/>
  <c r="AX3109" i="1"/>
  <c r="AX3110" i="1"/>
  <c r="AX3111" i="1"/>
  <c r="AX3112" i="1"/>
  <c r="AX3113" i="1"/>
  <c r="AX3114" i="1"/>
  <c r="AX3115" i="1"/>
  <c r="AX3116" i="1"/>
  <c r="AX3117" i="1"/>
  <c r="AX3118" i="1"/>
  <c r="AX3119" i="1"/>
  <c r="AX3120" i="1"/>
  <c r="AX3121" i="1"/>
  <c r="AX3122" i="1"/>
  <c r="AX3123" i="1"/>
  <c r="AX3124" i="1"/>
  <c r="AX3125" i="1"/>
  <c r="AX3126" i="1"/>
  <c r="AX3127" i="1"/>
  <c r="AX3128" i="1"/>
  <c r="AX3129" i="1"/>
  <c r="AX3130" i="1"/>
  <c r="AX3131" i="1"/>
  <c r="AX3132" i="1"/>
  <c r="AX3133" i="1"/>
  <c r="AX3134" i="1"/>
  <c r="AX3135" i="1"/>
  <c r="AX3136" i="1"/>
  <c r="AX3137" i="1"/>
  <c r="AX3138" i="1"/>
  <c r="AX3139" i="1"/>
  <c r="AX3140" i="1"/>
  <c r="AX3141" i="1"/>
  <c r="AX3142" i="1"/>
  <c r="AX3143" i="1"/>
  <c r="AX3144" i="1"/>
  <c r="AX3145" i="1"/>
  <c r="AX3146" i="1"/>
  <c r="AX3147" i="1"/>
  <c r="AX3148" i="1"/>
  <c r="AX3149" i="1"/>
  <c r="AX3150" i="1"/>
  <c r="AX3151" i="1"/>
  <c r="AX3152" i="1"/>
  <c r="AX3153" i="1"/>
  <c r="AX3154" i="1"/>
  <c r="AX3155" i="1"/>
  <c r="AX3156" i="1"/>
  <c r="AX3157" i="1"/>
  <c r="AX3158" i="1"/>
  <c r="AX3159" i="1"/>
  <c r="AX3160" i="1"/>
  <c r="AX3161" i="1"/>
  <c r="AX3162" i="1"/>
  <c r="AX3163" i="1"/>
  <c r="AX3164" i="1"/>
  <c r="AX3165" i="1"/>
  <c r="AX3166" i="1"/>
  <c r="AX3167" i="1"/>
  <c r="AX3168" i="1"/>
  <c r="AX3169" i="1"/>
  <c r="AX3170" i="1"/>
  <c r="AX3171" i="1"/>
  <c r="AX3172" i="1"/>
  <c r="AX3173" i="1"/>
  <c r="AX3174" i="1"/>
  <c r="AX3175" i="1"/>
  <c r="AX3176" i="1"/>
  <c r="AX3177" i="1"/>
  <c r="AX3178" i="1"/>
  <c r="AX3179" i="1"/>
  <c r="AX3180" i="1"/>
  <c r="AX3181" i="1"/>
  <c r="AX3182" i="1"/>
  <c r="AX3183" i="1"/>
  <c r="AX3184" i="1"/>
  <c r="AX3185" i="1"/>
  <c r="AX3186" i="1"/>
  <c r="AX3187" i="1"/>
  <c r="AX3188" i="1"/>
  <c r="AX3189" i="1"/>
  <c r="AX3190" i="1"/>
  <c r="AX3191" i="1"/>
  <c r="AX3192" i="1"/>
  <c r="AX3193" i="1"/>
  <c r="AX3194" i="1"/>
  <c r="AX3195" i="1"/>
  <c r="AX3196" i="1"/>
  <c r="AX3197" i="1"/>
  <c r="AX3198" i="1"/>
  <c r="AX3199" i="1"/>
  <c r="AX3200" i="1"/>
  <c r="AX3201" i="1"/>
  <c r="AX3202" i="1"/>
  <c r="AX3203" i="1"/>
  <c r="AX3204" i="1"/>
  <c r="AX3205" i="1"/>
  <c r="AX3206" i="1"/>
  <c r="AX3207" i="1"/>
  <c r="AX3208" i="1"/>
  <c r="AX3209" i="1"/>
  <c r="AX3210" i="1"/>
  <c r="AX3211" i="1"/>
  <c r="AX3212" i="1"/>
  <c r="AX3213" i="1"/>
  <c r="AX3214" i="1"/>
  <c r="AX3215" i="1"/>
  <c r="AX3216" i="1"/>
  <c r="AX3217" i="1"/>
  <c r="AX3218" i="1"/>
  <c r="AX3219" i="1"/>
  <c r="AX3220" i="1"/>
  <c r="AX3221" i="1"/>
  <c r="AX3222" i="1"/>
  <c r="AX3223" i="1"/>
  <c r="AX3224" i="1"/>
  <c r="AX3225" i="1"/>
  <c r="AX3226" i="1"/>
  <c r="AX3227" i="1"/>
  <c r="AX3228" i="1"/>
  <c r="AX3229" i="1"/>
  <c r="AX3230" i="1"/>
  <c r="AX3231" i="1"/>
  <c r="AX3232" i="1"/>
  <c r="AX3233" i="1"/>
  <c r="AX3234" i="1"/>
  <c r="AX3235" i="1"/>
  <c r="AX3236" i="1"/>
  <c r="AX3237" i="1"/>
  <c r="AX3238" i="1"/>
  <c r="AX3239" i="1"/>
  <c r="AX3240" i="1"/>
  <c r="AX3241" i="1"/>
  <c r="AX3242" i="1"/>
  <c r="AX3243" i="1"/>
  <c r="AX3244" i="1"/>
  <c r="AX3245" i="1"/>
  <c r="AX3246" i="1"/>
  <c r="AX3247" i="1"/>
  <c r="AX3248" i="1"/>
  <c r="AX3249" i="1"/>
  <c r="AX3250" i="1"/>
  <c r="AX3251" i="1"/>
  <c r="AX3252" i="1"/>
  <c r="AX3253" i="1"/>
  <c r="AX3254" i="1"/>
  <c r="AX3255" i="1"/>
  <c r="AX3256" i="1"/>
  <c r="AX3257" i="1"/>
  <c r="AX3258" i="1"/>
  <c r="AX3259" i="1"/>
  <c r="AX3260" i="1"/>
  <c r="AX3261" i="1"/>
  <c r="AX3262" i="1"/>
  <c r="AX3263" i="1"/>
  <c r="AX3264" i="1"/>
  <c r="AX3265" i="1"/>
  <c r="AX3266" i="1"/>
  <c r="AX3267" i="1"/>
  <c r="AX3268" i="1"/>
  <c r="AX3269" i="1"/>
  <c r="AX3270" i="1"/>
  <c r="AX3271" i="1"/>
  <c r="AX3272" i="1"/>
  <c r="AX3273" i="1"/>
  <c r="AX3274" i="1"/>
  <c r="AX3275" i="1"/>
  <c r="AX3276" i="1"/>
  <c r="AX3277" i="1"/>
  <c r="AX3278" i="1"/>
  <c r="AX3279" i="1"/>
  <c r="AX3280" i="1"/>
  <c r="AX3281" i="1"/>
  <c r="AX3282" i="1"/>
  <c r="AX3283" i="1"/>
  <c r="AX3284" i="1"/>
  <c r="AX3285" i="1"/>
  <c r="AX3286" i="1"/>
  <c r="AX3287" i="1"/>
  <c r="AX3288" i="1"/>
  <c r="AX3289" i="1"/>
  <c r="AX3290" i="1"/>
  <c r="AX3291" i="1"/>
  <c r="AX3292" i="1"/>
  <c r="AX3293" i="1"/>
  <c r="AX3294" i="1"/>
  <c r="AX3295" i="1"/>
  <c r="AX3296" i="1"/>
  <c r="AX3297" i="1"/>
  <c r="AX3298" i="1"/>
  <c r="AX3299" i="1"/>
  <c r="AX3300" i="1"/>
  <c r="AX3301" i="1"/>
  <c r="AX3302" i="1"/>
  <c r="AX3303" i="1"/>
  <c r="AX3304" i="1"/>
  <c r="AX3305" i="1"/>
  <c r="AX3306" i="1"/>
  <c r="AX3307" i="1"/>
  <c r="AX3308" i="1"/>
  <c r="AX3309" i="1"/>
  <c r="AX3310" i="1"/>
  <c r="AX3311" i="1"/>
  <c r="AX3312" i="1"/>
  <c r="AX3313" i="1"/>
  <c r="AX3314" i="1"/>
  <c r="AX3315" i="1"/>
  <c r="AX3316" i="1"/>
  <c r="AX3317" i="1"/>
  <c r="AX3318" i="1"/>
  <c r="AX3319" i="1"/>
  <c r="AX3320" i="1"/>
  <c r="AX3321" i="1"/>
  <c r="AX3322" i="1"/>
  <c r="AX3323" i="1"/>
  <c r="AX3324" i="1"/>
  <c r="AX3325" i="1"/>
  <c r="AX3326" i="1"/>
  <c r="AX3327" i="1"/>
  <c r="AX3328" i="1"/>
  <c r="AX3329" i="1"/>
  <c r="AX3330" i="1"/>
  <c r="AX3331" i="1"/>
  <c r="AX3332" i="1"/>
  <c r="AX3333" i="1"/>
  <c r="AX3334" i="1"/>
  <c r="AX3335" i="1"/>
  <c r="AX3336" i="1"/>
  <c r="AX3337" i="1"/>
  <c r="AX3338" i="1"/>
  <c r="AX3339" i="1"/>
  <c r="AX3340" i="1"/>
  <c r="AX3341" i="1"/>
  <c r="AX3342" i="1"/>
  <c r="AX3343" i="1"/>
  <c r="AX3344" i="1"/>
  <c r="AX3345" i="1"/>
  <c r="AX3346" i="1"/>
  <c r="AX3347" i="1"/>
  <c r="AX3348" i="1"/>
  <c r="AX3349" i="1"/>
  <c r="AX3350" i="1"/>
  <c r="AX3351" i="1"/>
  <c r="AX3352" i="1"/>
  <c r="AX3353" i="1"/>
  <c r="AX3354" i="1"/>
  <c r="AX3355" i="1"/>
  <c r="AX3356" i="1"/>
  <c r="AX3357" i="1"/>
  <c r="AX3358" i="1"/>
  <c r="AX3359" i="1"/>
  <c r="AX3360" i="1"/>
  <c r="AX3361" i="1"/>
  <c r="AX3362" i="1"/>
  <c r="AX3363" i="1"/>
  <c r="AX3364" i="1"/>
  <c r="AX3365" i="1"/>
  <c r="AX3366" i="1"/>
  <c r="AX3367" i="1"/>
  <c r="AX3368" i="1"/>
  <c r="AX3369" i="1"/>
  <c r="AX3370" i="1"/>
  <c r="AX3371" i="1"/>
  <c r="AX3372" i="1"/>
  <c r="AX3373" i="1"/>
  <c r="AX3374" i="1"/>
  <c r="AX3375" i="1"/>
  <c r="AX3376" i="1"/>
  <c r="AX3377" i="1"/>
  <c r="AX3378" i="1"/>
  <c r="AX3379" i="1"/>
  <c r="AX3380" i="1"/>
  <c r="AX3381" i="1"/>
  <c r="AX3382" i="1"/>
  <c r="AX3383" i="1"/>
  <c r="AX3384" i="1"/>
  <c r="AX3385" i="1"/>
  <c r="AX3386" i="1"/>
  <c r="AX3387" i="1"/>
  <c r="AX3388" i="1"/>
  <c r="AX3389" i="1"/>
  <c r="AX3390" i="1"/>
  <c r="AX3391" i="1"/>
  <c r="AX3392" i="1"/>
  <c r="AX3393" i="1"/>
  <c r="AX3394" i="1"/>
  <c r="AX3395" i="1"/>
  <c r="AX3396" i="1"/>
  <c r="AX3397" i="1"/>
  <c r="AX3398" i="1"/>
  <c r="AX3399" i="1"/>
  <c r="AX3400" i="1"/>
  <c r="AX3401" i="1"/>
  <c r="AX3402" i="1"/>
  <c r="AX3403" i="1"/>
  <c r="AX3404" i="1"/>
  <c r="AX3405" i="1"/>
  <c r="AX3406" i="1"/>
  <c r="AX3407" i="1"/>
  <c r="AX3408" i="1"/>
  <c r="AX3409" i="1"/>
  <c r="AX3410" i="1"/>
  <c r="AX3411" i="1"/>
  <c r="AX3412" i="1"/>
  <c r="AX3413" i="1"/>
  <c r="AX3414" i="1"/>
  <c r="AX3415" i="1"/>
  <c r="AX3416" i="1"/>
  <c r="AX3417" i="1"/>
  <c r="AX3418" i="1"/>
  <c r="AX3419" i="1"/>
  <c r="AX3420" i="1"/>
  <c r="AX3421" i="1"/>
  <c r="AX3422" i="1"/>
  <c r="AX3423" i="1"/>
  <c r="AX3424" i="1"/>
  <c r="AX3425" i="1"/>
  <c r="AX3426" i="1"/>
  <c r="AX3427" i="1"/>
  <c r="AX3428" i="1"/>
  <c r="AX3429" i="1"/>
  <c r="AX3430" i="1"/>
  <c r="AX3431" i="1"/>
  <c r="AX3432" i="1"/>
  <c r="AX3433" i="1"/>
  <c r="AX3434" i="1"/>
  <c r="AX3435" i="1"/>
  <c r="AX3436" i="1"/>
  <c r="AX3437" i="1"/>
  <c r="AX3438" i="1"/>
  <c r="AX3439" i="1"/>
  <c r="AX3440" i="1"/>
  <c r="AX3441" i="1"/>
  <c r="AX3442" i="1"/>
  <c r="AX3443" i="1"/>
  <c r="AX3444" i="1"/>
  <c r="AX3445" i="1"/>
  <c r="AX3446" i="1"/>
  <c r="AX3447" i="1"/>
  <c r="AX3448" i="1"/>
  <c r="AX3449" i="1"/>
  <c r="AX3450" i="1"/>
  <c r="AX3451" i="1"/>
  <c r="AX3452" i="1"/>
  <c r="AX3453" i="1"/>
  <c r="AX3454" i="1"/>
  <c r="AX3455" i="1"/>
  <c r="AX3456" i="1"/>
  <c r="AX3457" i="1"/>
  <c r="AX3458" i="1"/>
  <c r="AX3459" i="1"/>
  <c r="AX3460" i="1"/>
  <c r="AX3461" i="1"/>
  <c r="AX3462" i="1"/>
  <c r="AX3463" i="1"/>
  <c r="AX3464" i="1"/>
  <c r="AX3465" i="1"/>
  <c r="AX3466" i="1"/>
  <c r="AX3467" i="1"/>
  <c r="AX3468" i="1"/>
  <c r="AX3469" i="1"/>
  <c r="AX3470" i="1"/>
  <c r="AX3471" i="1"/>
  <c r="AX3472" i="1"/>
  <c r="AX3473" i="1"/>
  <c r="AX3474" i="1"/>
  <c r="AX3475" i="1"/>
  <c r="AX3476" i="1"/>
  <c r="AX3477" i="1"/>
  <c r="AX3478" i="1"/>
  <c r="AX3479" i="1"/>
  <c r="AX3480" i="1"/>
  <c r="AX3481" i="1"/>
  <c r="AX3482" i="1"/>
  <c r="AX3483" i="1"/>
  <c r="AX3484" i="1"/>
  <c r="AX3485" i="1"/>
  <c r="AX3486" i="1"/>
  <c r="AX3487" i="1"/>
  <c r="AX3488" i="1"/>
  <c r="AX3489" i="1"/>
  <c r="AX3490" i="1"/>
  <c r="AX3491" i="1"/>
  <c r="AX3492" i="1"/>
  <c r="AX3493" i="1"/>
  <c r="AX3494" i="1"/>
  <c r="AX3495" i="1"/>
  <c r="AX3496" i="1"/>
  <c r="AX3497" i="1"/>
  <c r="AX3498" i="1"/>
  <c r="AX3499" i="1"/>
  <c r="AX3500" i="1"/>
  <c r="AX3501" i="1"/>
  <c r="AX3502" i="1"/>
  <c r="AX3503" i="1"/>
  <c r="AX3504" i="1"/>
  <c r="AX3505" i="1"/>
  <c r="AX3506" i="1"/>
  <c r="AX3507" i="1"/>
  <c r="AX3508" i="1"/>
  <c r="AX3509" i="1"/>
  <c r="AX3510" i="1"/>
  <c r="AX3511" i="1"/>
  <c r="AX3512" i="1"/>
  <c r="AX3513" i="1"/>
  <c r="AX3514" i="1"/>
  <c r="AX3515" i="1"/>
  <c r="AX3516" i="1"/>
  <c r="AX3517" i="1"/>
  <c r="AX3518" i="1"/>
  <c r="AX3519" i="1"/>
  <c r="AX3520" i="1"/>
  <c r="AX3521" i="1"/>
  <c r="AX3522" i="1"/>
  <c r="AX3523" i="1"/>
  <c r="AX3524" i="1"/>
  <c r="AX3525" i="1"/>
  <c r="AX3526" i="1"/>
  <c r="AX3527" i="1"/>
  <c r="AX3528" i="1"/>
  <c r="AX3529" i="1"/>
  <c r="AX3530" i="1"/>
  <c r="AX3531" i="1"/>
  <c r="AX3532" i="1"/>
  <c r="AX3533" i="1"/>
  <c r="AX3534" i="1"/>
  <c r="AX3535" i="1"/>
  <c r="AX3536" i="1"/>
  <c r="AX3537" i="1"/>
  <c r="AX3538" i="1"/>
  <c r="AX3539" i="1"/>
  <c r="AX3540" i="1"/>
  <c r="AX3541" i="1"/>
  <c r="AX3542" i="1"/>
  <c r="AX3543" i="1"/>
  <c r="AX3544" i="1"/>
  <c r="AX3545" i="1"/>
  <c r="AX3546" i="1"/>
  <c r="AX3547" i="1"/>
  <c r="AX3548" i="1"/>
  <c r="AX3549" i="1"/>
  <c r="AX3550" i="1"/>
  <c r="AX3551" i="1"/>
  <c r="AX3552" i="1"/>
  <c r="AX3553" i="1"/>
  <c r="AX3554" i="1"/>
  <c r="AX3555" i="1"/>
  <c r="AX3556" i="1"/>
  <c r="AX3557" i="1"/>
  <c r="AX3558" i="1"/>
  <c r="AX3559" i="1"/>
  <c r="AX3560" i="1"/>
  <c r="AX3561" i="1"/>
  <c r="AX3562" i="1"/>
  <c r="AX3563" i="1"/>
  <c r="AX3564" i="1"/>
  <c r="AX3565" i="1"/>
  <c r="AX3566" i="1"/>
  <c r="AX3567" i="1"/>
  <c r="AX3568" i="1"/>
  <c r="AX3569" i="1"/>
  <c r="AX3570" i="1"/>
  <c r="AX3571" i="1"/>
  <c r="AX3572" i="1"/>
  <c r="AX3573" i="1"/>
  <c r="AX3574" i="1"/>
  <c r="AX3575" i="1"/>
  <c r="AX3576" i="1"/>
  <c r="AX3577" i="1"/>
  <c r="AX3578" i="1"/>
  <c r="AX3579" i="1"/>
  <c r="AX3580" i="1"/>
  <c r="AX3581" i="1"/>
  <c r="AX3582" i="1"/>
  <c r="AX3583" i="1"/>
  <c r="AX3584" i="1"/>
  <c r="AX3585" i="1"/>
  <c r="AX3586" i="1"/>
  <c r="AX3587" i="1"/>
  <c r="AX3588" i="1"/>
  <c r="AX3589" i="1"/>
  <c r="AX3590" i="1"/>
  <c r="AX3591" i="1"/>
  <c r="AX3592" i="1"/>
  <c r="AX3593" i="1"/>
  <c r="AX3594" i="1"/>
  <c r="AX3595" i="1"/>
  <c r="AX3596" i="1"/>
  <c r="AX3597" i="1"/>
  <c r="AX3598" i="1"/>
  <c r="AX3599" i="1"/>
  <c r="AX3600" i="1"/>
  <c r="AX3601" i="1"/>
  <c r="AX3602" i="1"/>
  <c r="AX3603" i="1"/>
  <c r="AX3604" i="1"/>
  <c r="AX3605" i="1"/>
  <c r="AX3606" i="1"/>
  <c r="AX3607" i="1"/>
  <c r="AX3608" i="1"/>
  <c r="AX3609" i="1"/>
  <c r="AX3610" i="1"/>
  <c r="AX3611" i="1"/>
  <c r="AX3612" i="1"/>
  <c r="AX3613" i="1"/>
  <c r="AX3614" i="1"/>
  <c r="AX3615" i="1"/>
  <c r="AX3616" i="1"/>
  <c r="AX3617" i="1"/>
  <c r="AX3618" i="1"/>
  <c r="AX3619" i="1"/>
  <c r="AX3620" i="1"/>
  <c r="AX3621" i="1"/>
  <c r="AX3622" i="1"/>
  <c r="AX3623" i="1"/>
  <c r="AX3624" i="1"/>
  <c r="AX3625" i="1"/>
  <c r="AX3626" i="1"/>
  <c r="AX3627" i="1"/>
  <c r="AX3628" i="1"/>
  <c r="AX3629" i="1"/>
  <c r="AX3630" i="1"/>
  <c r="AX3631" i="1"/>
  <c r="AX3632" i="1"/>
  <c r="AX3633" i="1"/>
  <c r="AX3634" i="1"/>
  <c r="AX3635" i="1"/>
  <c r="AX3636" i="1"/>
  <c r="AX3637" i="1"/>
  <c r="AX3638" i="1"/>
  <c r="AX3639" i="1"/>
  <c r="AX3640" i="1"/>
  <c r="AX3641" i="1"/>
  <c r="AX3642" i="1"/>
  <c r="AX3643" i="1"/>
  <c r="AX3644" i="1"/>
  <c r="AX3645" i="1"/>
  <c r="AX3646" i="1"/>
  <c r="AX3647" i="1"/>
  <c r="AX3648" i="1"/>
  <c r="AX3649" i="1"/>
  <c r="AX3650" i="1"/>
  <c r="AX3651" i="1"/>
  <c r="AX3652" i="1"/>
  <c r="AX3653" i="1"/>
  <c r="AX3654" i="1"/>
  <c r="AX3655" i="1"/>
  <c r="AX3656" i="1"/>
  <c r="AX3657" i="1"/>
  <c r="AX3658" i="1"/>
  <c r="AX3659" i="1"/>
  <c r="AX3660" i="1"/>
  <c r="AX3661" i="1"/>
  <c r="AX3662" i="1"/>
  <c r="AX3663" i="1"/>
  <c r="AX3664" i="1"/>
  <c r="AX3665" i="1"/>
  <c r="AX3666" i="1"/>
  <c r="AX3667" i="1"/>
  <c r="AX3668" i="1"/>
  <c r="AX3669" i="1"/>
  <c r="AX3670" i="1"/>
  <c r="AX3671" i="1"/>
  <c r="AX3672" i="1"/>
  <c r="AX3673" i="1"/>
  <c r="AX3674" i="1"/>
  <c r="AX3675" i="1"/>
  <c r="AX3676" i="1"/>
  <c r="AX3677" i="1"/>
  <c r="AX3678" i="1"/>
  <c r="AX3679" i="1"/>
  <c r="AX3680" i="1"/>
  <c r="AX3681" i="1"/>
  <c r="AX3682" i="1"/>
  <c r="AX3683" i="1"/>
  <c r="AX3684" i="1"/>
  <c r="AX3685" i="1"/>
  <c r="AX3686" i="1"/>
  <c r="AX3687" i="1"/>
  <c r="AX3688" i="1"/>
  <c r="AX3689" i="1"/>
  <c r="AX3690" i="1"/>
  <c r="AX3691" i="1"/>
  <c r="AX3692" i="1"/>
  <c r="AX3693" i="1"/>
  <c r="AX3694" i="1"/>
  <c r="AX3695" i="1"/>
  <c r="AX3696" i="1"/>
  <c r="AX3697" i="1"/>
  <c r="AX3698" i="1"/>
  <c r="AX3699" i="1"/>
  <c r="AX3700" i="1"/>
  <c r="AX3701" i="1"/>
  <c r="AX3702" i="1"/>
  <c r="AX3703" i="1"/>
  <c r="AX3704" i="1"/>
  <c r="AX3705" i="1"/>
  <c r="AX3706" i="1"/>
  <c r="AX3707" i="1"/>
  <c r="AX3708" i="1"/>
  <c r="AX3709" i="1"/>
  <c r="AX3710" i="1"/>
  <c r="AX3711" i="1"/>
  <c r="AX3712" i="1"/>
  <c r="AX3713" i="1"/>
  <c r="AX3714" i="1"/>
  <c r="AX3715" i="1"/>
  <c r="AX3716" i="1"/>
  <c r="AX3717" i="1"/>
  <c r="AX3718" i="1"/>
  <c r="AX3719" i="1"/>
  <c r="AX3720" i="1"/>
  <c r="AX3721" i="1"/>
  <c r="AX3722" i="1"/>
  <c r="AX3723" i="1"/>
  <c r="AX3724" i="1"/>
  <c r="AX3725" i="1"/>
  <c r="AX3726" i="1"/>
  <c r="AX3727" i="1"/>
  <c r="AX3728" i="1"/>
  <c r="AX3729" i="1"/>
  <c r="AX3730" i="1"/>
  <c r="AX3731" i="1"/>
  <c r="AX3732" i="1"/>
  <c r="AX3733" i="1"/>
  <c r="AX3734" i="1"/>
  <c r="AX3735" i="1"/>
  <c r="AX3736" i="1"/>
  <c r="AX3737" i="1"/>
  <c r="AX3738" i="1"/>
  <c r="AX3739" i="1"/>
  <c r="AX3740" i="1"/>
  <c r="AX3741" i="1"/>
  <c r="AX3742" i="1"/>
  <c r="AX3743" i="1"/>
  <c r="AX3744" i="1"/>
  <c r="AX3745" i="1"/>
  <c r="AX3746" i="1"/>
  <c r="AX3747" i="1"/>
  <c r="AX3748" i="1"/>
  <c r="AX3749" i="1"/>
  <c r="AX3750" i="1"/>
  <c r="AX3751" i="1"/>
  <c r="AX3752" i="1"/>
  <c r="AX3753" i="1"/>
  <c r="AX3754" i="1"/>
  <c r="AX3755" i="1"/>
  <c r="AX3756" i="1"/>
  <c r="AX3757" i="1"/>
  <c r="AX3758" i="1"/>
  <c r="AX3759" i="1"/>
  <c r="AX3760" i="1"/>
  <c r="AX3761" i="1"/>
  <c r="AX3762" i="1"/>
  <c r="AX3763" i="1"/>
  <c r="AX3764" i="1"/>
  <c r="AX3765" i="1"/>
  <c r="AX3766" i="1"/>
  <c r="AX3767" i="1"/>
  <c r="AX3768" i="1"/>
  <c r="AX3769" i="1"/>
  <c r="AX3770" i="1"/>
  <c r="AX3771" i="1"/>
  <c r="AX3772" i="1"/>
  <c r="AX3773" i="1"/>
  <c r="AX3774" i="1"/>
  <c r="AX3775" i="1"/>
  <c r="AX3776" i="1"/>
  <c r="AX3777" i="1"/>
  <c r="AX3778" i="1"/>
  <c r="AX3779" i="1"/>
  <c r="AX3780" i="1"/>
  <c r="AX3781" i="1"/>
  <c r="AX3782" i="1"/>
  <c r="AX3783" i="1"/>
  <c r="AX3784" i="1"/>
  <c r="AX3785" i="1"/>
  <c r="AX3786" i="1"/>
  <c r="AX3787" i="1"/>
  <c r="AX3788" i="1"/>
  <c r="AX3789" i="1"/>
  <c r="AX3790" i="1"/>
  <c r="AX3791" i="1"/>
  <c r="AX3792" i="1"/>
  <c r="AX3793" i="1"/>
  <c r="AX3794" i="1"/>
  <c r="AX3795" i="1"/>
  <c r="AX3796" i="1"/>
  <c r="AX3797" i="1"/>
  <c r="AX3798" i="1"/>
  <c r="AX3799" i="1"/>
  <c r="AX3800" i="1"/>
  <c r="AX3801" i="1"/>
  <c r="AX3802" i="1"/>
  <c r="AX3803" i="1"/>
  <c r="AX3804" i="1"/>
  <c r="AX3805" i="1"/>
  <c r="AX3806" i="1"/>
  <c r="AX3807" i="1"/>
  <c r="AX3808" i="1"/>
  <c r="AX3809" i="1"/>
  <c r="AX3810" i="1"/>
  <c r="AX3811" i="1"/>
  <c r="AX3812" i="1"/>
  <c r="AX3813" i="1"/>
  <c r="AX3814" i="1"/>
  <c r="AX3815" i="1"/>
  <c r="AX3816" i="1"/>
  <c r="AX3817" i="1"/>
  <c r="AX3818" i="1"/>
  <c r="AX3819" i="1"/>
  <c r="AX3820" i="1"/>
  <c r="AX3821" i="1"/>
  <c r="AX3822" i="1"/>
  <c r="AX3823" i="1"/>
  <c r="AX3824" i="1"/>
  <c r="AX3825" i="1"/>
  <c r="AX3826" i="1"/>
  <c r="AX3827" i="1"/>
  <c r="AX3828" i="1"/>
  <c r="AX3829" i="1"/>
  <c r="AX3830" i="1"/>
  <c r="AX3831" i="1"/>
  <c r="AX3832" i="1"/>
  <c r="AX3833" i="1"/>
  <c r="AX3834" i="1"/>
  <c r="AX3835" i="1"/>
  <c r="AX3836" i="1"/>
  <c r="AX3837" i="1"/>
  <c r="AX3838" i="1"/>
  <c r="AX3839" i="1"/>
  <c r="AX3840" i="1"/>
  <c r="AX3841" i="1"/>
  <c r="AX3842" i="1"/>
  <c r="AX3843" i="1"/>
  <c r="AX3844" i="1"/>
  <c r="AX3845" i="1"/>
  <c r="AX3846" i="1"/>
  <c r="AX3847" i="1"/>
  <c r="AX3848" i="1"/>
  <c r="AX3849" i="1"/>
  <c r="AX3850" i="1"/>
  <c r="AX3851" i="1"/>
  <c r="AX3852" i="1"/>
  <c r="AX3853" i="1"/>
  <c r="AX3854" i="1"/>
  <c r="AX3855" i="1"/>
  <c r="AX3856" i="1"/>
  <c r="AX3857" i="1"/>
  <c r="AX3858" i="1"/>
  <c r="AX3859" i="1"/>
  <c r="AX3860" i="1"/>
  <c r="AX3861" i="1"/>
  <c r="AX3862" i="1"/>
  <c r="AX3863" i="1"/>
  <c r="AX3864" i="1"/>
  <c r="AX3865" i="1"/>
  <c r="AX3866" i="1"/>
  <c r="AX3867" i="1"/>
  <c r="AX3868" i="1"/>
  <c r="AX3869" i="1"/>
  <c r="AX3870" i="1"/>
  <c r="AX3871" i="1"/>
  <c r="AX3872" i="1"/>
  <c r="AX3873" i="1"/>
  <c r="AX3874" i="1"/>
  <c r="AX3875" i="1"/>
  <c r="AX3876" i="1"/>
  <c r="AX3877" i="1"/>
  <c r="AX3878" i="1"/>
  <c r="AX3879" i="1"/>
  <c r="AX3880" i="1"/>
  <c r="AX3881" i="1"/>
  <c r="AX3882" i="1"/>
  <c r="AX3883" i="1"/>
  <c r="AX3884" i="1"/>
  <c r="AX3885" i="1"/>
  <c r="AX3886" i="1"/>
  <c r="AX3887" i="1"/>
  <c r="AX3888" i="1"/>
  <c r="AX3889" i="1"/>
  <c r="AX3890" i="1"/>
  <c r="AX3891" i="1"/>
  <c r="AX3892" i="1"/>
  <c r="AX3893" i="1"/>
  <c r="AX3894" i="1"/>
  <c r="AX3895" i="1"/>
  <c r="AX3896" i="1"/>
  <c r="AX3897" i="1"/>
  <c r="AX3898" i="1"/>
  <c r="AX3899" i="1"/>
  <c r="AX3900" i="1"/>
  <c r="AX3901" i="1"/>
  <c r="AX3902" i="1"/>
  <c r="AX3903" i="1"/>
  <c r="AX3904" i="1"/>
  <c r="AX3905" i="1"/>
  <c r="AX3906" i="1"/>
  <c r="AX3907" i="1"/>
  <c r="AX3908" i="1"/>
  <c r="AX3909" i="1"/>
  <c r="AX3910" i="1"/>
  <c r="AX3911" i="1"/>
  <c r="AX3912" i="1"/>
  <c r="AX3913" i="1"/>
  <c r="AX3914" i="1"/>
  <c r="AX3915" i="1"/>
  <c r="AX3916" i="1"/>
  <c r="AX3917" i="1"/>
  <c r="AX3918" i="1"/>
  <c r="AX3919" i="1"/>
  <c r="AX3920" i="1"/>
  <c r="AX3921" i="1"/>
  <c r="AX3922" i="1"/>
  <c r="AX3923" i="1"/>
  <c r="AX3924" i="1"/>
  <c r="AX3925" i="1"/>
  <c r="AX3926" i="1"/>
  <c r="AX3927" i="1"/>
  <c r="AX3928" i="1"/>
  <c r="AX3929" i="1"/>
  <c r="AX3930" i="1"/>
  <c r="AX3931" i="1"/>
  <c r="AX3932" i="1"/>
  <c r="AX3933" i="1"/>
  <c r="AX3934" i="1"/>
  <c r="AX3935" i="1"/>
  <c r="AX3936" i="1"/>
  <c r="AX3937" i="1"/>
  <c r="AX3938" i="1"/>
  <c r="AX3939" i="1"/>
  <c r="AX3940" i="1"/>
  <c r="AX3941" i="1"/>
  <c r="AX3942" i="1"/>
  <c r="AX3943" i="1"/>
  <c r="AX3944" i="1"/>
  <c r="AX3945" i="1"/>
  <c r="AX3946" i="1"/>
  <c r="AX3947" i="1"/>
  <c r="AX3948" i="1"/>
  <c r="AX3949" i="1"/>
  <c r="AX3950" i="1"/>
  <c r="AX3951" i="1"/>
  <c r="AX3952" i="1"/>
  <c r="AX3953" i="1"/>
  <c r="AX3954" i="1"/>
  <c r="AX3955" i="1"/>
  <c r="AX3956" i="1"/>
  <c r="AX3957" i="1"/>
  <c r="AX3958" i="1"/>
  <c r="AX3959" i="1"/>
  <c r="AX3960" i="1"/>
  <c r="AX3961" i="1"/>
  <c r="AX3962" i="1"/>
  <c r="AX3963" i="1"/>
  <c r="AX3964" i="1"/>
  <c r="AX3965" i="1"/>
  <c r="AX3966" i="1"/>
  <c r="AX3967" i="1"/>
  <c r="AX3968" i="1"/>
  <c r="AX3969" i="1"/>
  <c r="AX3970" i="1"/>
  <c r="AX3971" i="1"/>
  <c r="AX3972" i="1"/>
  <c r="AX3973" i="1"/>
  <c r="AX3974" i="1"/>
  <c r="AX3975" i="1"/>
  <c r="AX3976" i="1"/>
  <c r="AX3977" i="1"/>
  <c r="AX3978" i="1"/>
  <c r="AX3979" i="1"/>
  <c r="AX3980" i="1"/>
  <c r="AX3981" i="1"/>
  <c r="AX3982" i="1"/>
  <c r="AX3983" i="1"/>
  <c r="AX3984" i="1"/>
  <c r="AX3985" i="1"/>
  <c r="AX3986" i="1"/>
  <c r="AX3987" i="1"/>
  <c r="AX3988" i="1"/>
  <c r="AX3989" i="1"/>
  <c r="AX3990" i="1"/>
  <c r="AX3991" i="1"/>
  <c r="AX3992" i="1"/>
  <c r="AX3993" i="1"/>
  <c r="AX3994" i="1"/>
  <c r="AX3995" i="1"/>
  <c r="AX3996" i="1"/>
  <c r="AX3997" i="1"/>
  <c r="AX3998" i="1"/>
  <c r="AX3999" i="1"/>
  <c r="AX4000" i="1"/>
  <c r="AX4001" i="1"/>
  <c r="AX4002" i="1"/>
  <c r="AX4003" i="1"/>
  <c r="AX4004" i="1"/>
  <c r="AX4005" i="1"/>
  <c r="AX4006" i="1"/>
  <c r="AX4007" i="1"/>
  <c r="AX4008" i="1"/>
  <c r="AX4009" i="1"/>
  <c r="AX4010" i="1"/>
  <c r="AX4011" i="1"/>
  <c r="AX4012" i="1"/>
  <c r="AX4013" i="1"/>
  <c r="AX4014" i="1"/>
  <c r="AX4015" i="1"/>
  <c r="AX4016" i="1"/>
  <c r="AX4017" i="1"/>
  <c r="AX4018" i="1"/>
  <c r="AX4019" i="1"/>
  <c r="AX4020" i="1"/>
  <c r="AX4021" i="1"/>
  <c r="AX4022" i="1"/>
  <c r="AX4023" i="1"/>
  <c r="AX4024" i="1"/>
  <c r="AX4025" i="1"/>
  <c r="AX4026" i="1"/>
  <c r="AX4027" i="1"/>
  <c r="AX4028" i="1"/>
  <c r="AX4029" i="1"/>
  <c r="AX4030" i="1"/>
  <c r="AX4031" i="1"/>
  <c r="AX4032" i="1"/>
  <c r="AX4033" i="1"/>
  <c r="AX4034" i="1"/>
  <c r="AX4035" i="1"/>
  <c r="AX4036" i="1"/>
  <c r="AX4037" i="1"/>
  <c r="AX4038" i="1"/>
  <c r="AX4039" i="1"/>
  <c r="AX4040" i="1"/>
  <c r="AX4041" i="1"/>
  <c r="AX4042" i="1"/>
  <c r="AX4043" i="1"/>
  <c r="AX4044" i="1"/>
  <c r="AX4045" i="1"/>
  <c r="AX4046" i="1"/>
  <c r="AX4047" i="1"/>
  <c r="AX4048" i="1"/>
  <c r="AX4049" i="1"/>
  <c r="AX4050" i="1"/>
  <c r="AX4051" i="1"/>
  <c r="AX4052" i="1"/>
  <c r="AX4053" i="1"/>
  <c r="AX4054" i="1"/>
  <c r="AX4055" i="1"/>
  <c r="AX4056" i="1"/>
  <c r="AX4057" i="1"/>
  <c r="AX4058" i="1"/>
  <c r="AX4059" i="1"/>
  <c r="AX4060" i="1"/>
  <c r="AX4061" i="1"/>
  <c r="AX4062" i="1"/>
  <c r="AX4063" i="1"/>
  <c r="AX4064" i="1"/>
  <c r="AX4065" i="1"/>
  <c r="AX4066" i="1"/>
  <c r="AX4067" i="1"/>
  <c r="AX4068" i="1"/>
  <c r="AX4069" i="1"/>
  <c r="AX4070" i="1"/>
  <c r="AX4071" i="1"/>
  <c r="AX4072" i="1"/>
  <c r="AX4073" i="1"/>
  <c r="AX4074" i="1"/>
  <c r="AX4075" i="1"/>
  <c r="AX4076" i="1"/>
  <c r="AX4077" i="1"/>
  <c r="AX4078" i="1"/>
  <c r="AX4079" i="1"/>
  <c r="AX4080" i="1"/>
  <c r="AX4081" i="1"/>
  <c r="AX4082" i="1"/>
  <c r="AX4083" i="1"/>
  <c r="AX4084" i="1"/>
  <c r="AX4085" i="1"/>
  <c r="AX4086" i="1"/>
  <c r="AX4087" i="1"/>
  <c r="AX4088" i="1"/>
  <c r="AX4089" i="1"/>
  <c r="AX4090" i="1"/>
  <c r="AX4091" i="1"/>
  <c r="AX4092" i="1"/>
  <c r="AX4093" i="1"/>
  <c r="AX4094" i="1"/>
  <c r="AX4095" i="1"/>
  <c r="AX4096" i="1"/>
  <c r="AX4097" i="1"/>
  <c r="AX4098" i="1"/>
  <c r="AX4099" i="1"/>
  <c r="AX4100" i="1"/>
  <c r="AX4101" i="1"/>
  <c r="AX4102" i="1"/>
  <c r="AX4103" i="1"/>
  <c r="AX4104" i="1"/>
  <c r="AX4105" i="1"/>
  <c r="AX4106" i="1"/>
  <c r="AX4107" i="1"/>
  <c r="AX4108" i="1"/>
  <c r="AX4109" i="1"/>
  <c r="AX4110" i="1"/>
  <c r="AX4111" i="1"/>
  <c r="AX4112" i="1"/>
  <c r="AX4113" i="1"/>
  <c r="AX4114" i="1"/>
  <c r="AX4115" i="1"/>
  <c r="AX4116" i="1"/>
  <c r="AX4117" i="1"/>
  <c r="AX4118" i="1"/>
  <c r="AX4119" i="1"/>
  <c r="AX4120" i="1"/>
  <c r="AX4121" i="1"/>
  <c r="AX4122" i="1"/>
  <c r="AX4123" i="1"/>
  <c r="AX4124" i="1"/>
  <c r="AX4125" i="1"/>
  <c r="AX4126" i="1"/>
  <c r="AX4127" i="1"/>
  <c r="AX4128" i="1"/>
  <c r="AX4129" i="1"/>
  <c r="AX4130" i="1"/>
  <c r="AX4131" i="1"/>
  <c r="AX4132" i="1"/>
  <c r="AX4133" i="1"/>
  <c r="AX4134" i="1"/>
  <c r="AX4135" i="1"/>
  <c r="AX4136" i="1"/>
  <c r="AX4137" i="1"/>
  <c r="AX4138" i="1"/>
  <c r="AX4139" i="1"/>
  <c r="AX4140" i="1"/>
  <c r="AX4141" i="1"/>
  <c r="AX4142" i="1"/>
  <c r="AX4143" i="1"/>
  <c r="AX4144" i="1"/>
  <c r="AX4145" i="1"/>
  <c r="AX4146" i="1"/>
  <c r="AX4147" i="1"/>
  <c r="AX4148" i="1"/>
  <c r="AX4149" i="1"/>
  <c r="AX4150" i="1"/>
  <c r="AX4151" i="1"/>
  <c r="AX4152" i="1"/>
  <c r="AX4153" i="1"/>
  <c r="AX4154" i="1"/>
  <c r="AX4155" i="1"/>
  <c r="AX4156" i="1"/>
  <c r="AX4157" i="1"/>
  <c r="AX4158" i="1"/>
  <c r="AX4159" i="1"/>
  <c r="AX4160" i="1"/>
  <c r="AX4161" i="1"/>
  <c r="AX4162" i="1"/>
  <c r="AX4163" i="1"/>
  <c r="AX4164" i="1"/>
  <c r="AX4165" i="1"/>
  <c r="AX4166" i="1"/>
  <c r="AX4167" i="1"/>
  <c r="AX4168" i="1"/>
  <c r="AX4169" i="1"/>
  <c r="AX4170" i="1"/>
  <c r="AX4171" i="1"/>
  <c r="AX4172" i="1"/>
  <c r="AX4173" i="1"/>
  <c r="AX4174" i="1"/>
  <c r="AX4175" i="1"/>
  <c r="AX4176" i="1"/>
  <c r="AX4177" i="1"/>
  <c r="AX4178" i="1"/>
  <c r="AX4179" i="1"/>
  <c r="AX4180" i="1"/>
  <c r="AX4181" i="1"/>
  <c r="AX4182" i="1"/>
  <c r="AX4183" i="1"/>
  <c r="AX4184" i="1"/>
  <c r="AX4185" i="1"/>
  <c r="AX4186" i="1"/>
  <c r="AX4187" i="1"/>
  <c r="AX4188" i="1"/>
  <c r="AX4189" i="1"/>
  <c r="AX4190" i="1"/>
  <c r="AX4191" i="1"/>
  <c r="AX4192" i="1"/>
  <c r="AX4193" i="1"/>
  <c r="AX4194" i="1"/>
  <c r="AX4195" i="1"/>
  <c r="AX4196" i="1"/>
  <c r="AX4197" i="1"/>
  <c r="AX4198" i="1"/>
  <c r="AX4199" i="1"/>
  <c r="AX4200" i="1"/>
  <c r="AX4201" i="1"/>
  <c r="AX4202" i="1"/>
  <c r="AX4203" i="1"/>
  <c r="AX4204" i="1"/>
  <c r="AX4205" i="1"/>
  <c r="AX4206" i="1"/>
  <c r="AX4207" i="1"/>
  <c r="AX4208" i="1"/>
  <c r="AX4209" i="1"/>
  <c r="AX4210" i="1"/>
  <c r="AX4211" i="1"/>
  <c r="AX4212" i="1"/>
  <c r="AX4213" i="1"/>
  <c r="AX4214" i="1"/>
  <c r="AX4215" i="1"/>
  <c r="AX4216" i="1"/>
  <c r="AX4217" i="1"/>
  <c r="AX4218" i="1"/>
  <c r="AX4219" i="1"/>
  <c r="AX4220" i="1"/>
  <c r="AX4221" i="1"/>
  <c r="AX4222" i="1"/>
  <c r="AX4223" i="1"/>
  <c r="AX4224" i="1"/>
  <c r="AX4225" i="1"/>
  <c r="AX4226" i="1"/>
  <c r="AX4227" i="1"/>
  <c r="AX4228" i="1"/>
  <c r="AX4229" i="1"/>
  <c r="AX4230" i="1"/>
  <c r="AX4231" i="1"/>
  <c r="AX4232" i="1"/>
  <c r="AX4233" i="1"/>
  <c r="AX4234" i="1"/>
  <c r="AX4235" i="1"/>
  <c r="AX4236" i="1"/>
  <c r="AX4237" i="1"/>
  <c r="AX4238" i="1"/>
  <c r="AX4239" i="1"/>
  <c r="AX4240" i="1"/>
  <c r="AX4241" i="1"/>
  <c r="AX4242" i="1"/>
  <c r="AX4243" i="1"/>
  <c r="AX4244" i="1"/>
  <c r="AX4245" i="1"/>
  <c r="AX4246" i="1"/>
  <c r="AX4247" i="1"/>
  <c r="AX4248" i="1"/>
  <c r="AX4249" i="1"/>
  <c r="AX4250" i="1"/>
  <c r="AX4251" i="1"/>
  <c r="AX4252" i="1"/>
  <c r="AX4253" i="1"/>
  <c r="AX4254" i="1"/>
  <c r="AX4255" i="1"/>
  <c r="AX4256" i="1"/>
  <c r="AX4257" i="1"/>
  <c r="AX4258" i="1"/>
  <c r="AX4259" i="1"/>
  <c r="AX4260" i="1"/>
  <c r="AX4261" i="1"/>
  <c r="AX4262" i="1"/>
  <c r="AX4263" i="1"/>
  <c r="AX4264" i="1"/>
  <c r="AX4265" i="1"/>
  <c r="AX4266" i="1"/>
  <c r="AX4267" i="1"/>
  <c r="AX4268" i="1"/>
  <c r="AX4269" i="1"/>
  <c r="AX4270" i="1"/>
  <c r="AX4271" i="1"/>
  <c r="AX4272" i="1"/>
  <c r="AX4273" i="1"/>
  <c r="AX4274" i="1"/>
  <c r="AX4275" i="1"/>
  <c r="AX4276" i="1"/>
  <c r="AX4277" i="1"/>
  <c r="AX4278" i="1"/>
  <c r="AX4279" i="1"/>
  <c r="AX4280" i="1"/>
  <c r="AX4281" i="1"/>
  <c r="AX4282" i="1"/>
  <c r="AX4283" i="1"/>
  <c r="AX4284" i="1"/>
  <c r="AX4285" i="1"/>
  <c r="AX4286" i="1"/>
  <c r="AX4287" i="1"/>
  <c r="AX4288" i="1"/>
  <c r="AX4289" i="1"/>
  <c r="AX4290" i="1"/>
  <c r="AX4291" i="1"/>
  <c r="AX4292" i="1"/>
  <c r="AX4293" i="1"/>
  <c r="AX4294" i="1"/>
  <c r="AX4295" i="1"/>
  <c r="AX4296" i="1"/>
  <c r="AX4297" i="1"/>
  <c r="AX4298" i="1"/>
  <c r="AX4299" i="1"/>
  <c r="AX4300" i="1"/>
  <c r="AX4301" i="1"/>
  <c r="AX4302" i="1"/>
  <c r="AX4303" i="1"/>
  <c r="AX4304" i="1"/>
  <c r="AX4305" i="1"/>
  <c r="AX4306" i="1"/>
  <c r="AX4307" i="1"/>
  <c r="AX4308" i="1"/>
  <c r="AX4309" i="1"/>
  <c r="AX4310" i="1"/>
  <c r="AX4311" i="1"/>
  <c r="AX4312" i="1"/>
  <c r="AX4313" i="1"/>
  <c r="AX4314" i="1"/>
  <c r="AX4315" i="1"/>
  <c r="AX4316" i="1"/>
  <c r="AX4317" i="1"/>
  <c r="AX4318" i="1"/>
  <c r="AX4319" i="1"/>
  <c r="AX4320" i="1"/>
  <c r="AX4321" i="1"/>
  <c r="AX4322" i="1"/>
  <c r="AX4323" i="1"/>
  <c r="AX4324" i="1"/>
  <c r="AX4325" i="1"/>
  <c r="AX4326" i="1"/>
  <c r="AX4327" i="1"/>
  <c r="AX4328" i="1"/>
  <c r="AX4329" i="1"/>
  <c r="AX4330" i="1"/>
  <c r="AX4331" i="1"/>
  <c r="AX4332" i="1"/>
  <c r="AX4333" i="1"/>
  <c r="AX4334" i="1"/>
  <c r="AX4335" i="1"/>
  <c r="AX4336" i="1"/>
  <c r="AX4337" i="1"/>
  <c r="AX4338" i="1"/>
  <c r="AX4339" i="1"/>
  <c r="AX4340" i="1"/>
  <c r="AX4341" i="1"/>
  <c r="AX4342" i="1"/>
  <c r="AX4343" i="1"/>
  <c r="AX4344" i="1"/>
  <c r="AX4345" i="1"/>
  <c r="AX4346" i="1"/>
  <c r="AX4347" i="1"/>
  <c r="AX4348" i="1"/>
  <c r="AX4349" i="1"/>
  <c r="AX4350" i="1"/>
  <c r="AX4351" i="1"/>
  <c r="AX4352" i="1"/>
  <c r="AX4353" i="1"/>
  <c r="AX4354" i="1"/>
  <c r="AX4355" i="1"/>
  <c r="AX4356" i="1"/>
  <c r="AX4357" i="1"/>
  <c r="AX4358" i="1"/>
  <c r="AX4359" i="1"/>
  <c r="AX4360" i="1"/>
  <c r="AX4361" i="1"/>
  <c r="AX4362" i="1"/>
  <c r="AX4363" i="1"/>
  <c r="AX4364" i="1"/>
  <c r="AX4365" i="1"/>
  <c r="AX4366" i="1"/>
  <c r="AX4367" i="1"/>
  <c r="AX4368" i="1"/>
  <c r="AX4369" i="1"/>
  <c r="AX4370" i="1"/>
  <c r="AX4371" i="1"/>
  <c r="AX4372" i="1"/>
  <c r="AX4373" i="1"/>
  <c r="AX4374" i="1"/>
  <c r="AX4375" i="1"/>
  <c r="AX4376" i="1"/>
  <c r="AX4377" i="1"/>
  <c r="AX4378" i="1"/>
  <c r="AX4379" i="1"/>
  <c r="AX4380" i="1"/>
  <c r="AX4381" i="1"/>
  <c r="AX4382" i="1"/>
  <c r="AX4383" i="1"/>
  <c r="AX4384" i="1"/>
  <c r="AX4385" i="1"/>
  <c r="AX4386" i="1"/>
  <c r="AX4387" i="1"/>
  <c r="AX4388" i="1"/>
  <c r="AX4389" i="1"/>
  <c r="AX4390" i="1"/>
  <c r="AX4391" i="1"/>
  <c r="AX4392" i="1"/>
  <c r="AX4393" i="1"/>
  <c r="AX4394" i="1"/>
  <c r="AX4395" i="1"/>
  <c r="AX4396" i="1"/>
  <c r="AX4397" i="1"/>
  <c r="AX4398" i="1"/>
  <c r="AX4399" i="1"/>
  <c r="AX4400" i="1"/>
  <c r="AX4401" i="1"/>
  <c r="AX4402" i="1"/>
  <c r="AX4403" i="1"/>
  <c r="AX4404" i="1"/>
  <c r="AX4405" i="1"/>
  <c r="AX4406" i="1"/>
  <c r="AX4407" i="1"/>
  <c r="AX4408" i="1"/>
  <c r="AX4409" i="1"/>
  <c r="AX4410" i="1"/>
  <c r="AX4411" i="1"/>
  <c r="AX4412" i="1"/>
  <c r="AX4413" i="1"/>
  <c r="AX4414" i="1"/>
  <c r="AX4415" i="1"/>
  <c r="AX4416" i="1"/>
  <c r="AX4417" i="1"/>
  <c r="AX4418" i="1"/>
  <c r="AX4419" i="1"/>
  <c r="AX4420" i="1"/>
  <c r="AX4421" i="1"/>
  <c r="AX4422" i="1"/>
  <c r="AX4423" i="1"/>
  <c r="AX4424" i="1"/>
  <c r="AX4425" i="1"/>
  <c r="AX4426" i="1"/>
  <c r="AX4427" i="1"/>
  <c r="AX4428" i="1"/>
  <c r="AX4429" i="1"/>
  <c r="AX4430" i="1"/>
  <c r="AX4431" i="1"/>
  <c r="AX4432" i="1"/>
  <c r="AX4433" i="1"/>
  <c r="AX4434" i="1"/>
  <c r="AX4435" i="1"/>
  <c r="AX4436" i="1"/>
  <c r="AX4437" i="1"/>
  <c r="AX4438" i="1"/>
  <c r="AX4439" i="1"/>
  <c r="AX4440" i="1"/>
  <c r="AX4441" i="1"/>
  <c r="AX4442" i="1"/>
  <c r="AX4443" i="1"/>
  <c r="AX4444" i="1"/>
  <c r="AX4445" i="1"/>
  <c r="AX4446" i="1"/>
  <c r="AX4447" i="1"/>
  <c r="AX4448" i="1"/>
  <c r="AX4449" i="1"/>
  <c r="AX4450" i="1"/>
  <c r="AX4451" i="1"/>
  <c r="AX4452" i="1"/>
  <c r="AX4453" i="1"/>
  <c r="AX4454" i="1"/>
  <c r="AX4455" i="1"/>
  <c r="AX4456" i="1"/>
  <c r="AX4457" i="1"/>
  <c r="AX4458" i="1"/>
  <c r="AX4459" i="1"/>
  <c r="AX4460" i="1"/>
  <c r="AX4461" i="1"/>
  <c r="AX4462" i="1"/>
  <c r="AX4463" i="1"/>
  <c r="AX4464" i="1"/>
  <c r="AX4465" i="1"/>
  <c r="AX4466" i="1"/>
  <c r="AX4467" i="1"/>
  <c r="AX4468" i="1"/>
  <c r="AX4469" i="1"/>
  <c r="AX4470" i="1"/>
  <c r="AX4471" i="1"/>
  <c r="AX4472" i="1"/>
  <c r="AX4473" i="1"/>
  <c r="AX4474" i="1"/>
  <c r="AX4475" i="1"/>
  <c r="AX4476" i="1"/>
  <c r="AX4477" i="1"/>
  <c r="AX4478" i="1"/>
  <c r="AX4479" i="1"/>
  <c r="AX4480" i="1"/>
  <c r="AX4481" i="1"/>
  <c r="AX4482" i="1"/>
  <c r="AX4483" i="1"/>
  <c r="AX4484" i="1"/>
  <c r="AX4485" i="1"/>
  <c r="AX4486" i="1"/>
  <c r="AX4487" i="1"/>
  <c r="AX4488" i="1"/>
  <c r="AX4489" i="1"/>
  <c r="AX4490" i="1"/>
  <c r="AX4491" i="1"/>
  <c r="AX4492" i="1"/>
  <c r="AX4493" i="1"/>
  <c r="AX4494" i="1"/>
  <c r="AX4495" i="1"/>
  <c r="AX4496" i="1"/>
  <c r="AX4497" i="1"/>
  <c r="AX4498" i="1"/>
  <c r="AX4499" i="1"/>
  <c r="AX4500" i="1"/>
  <c r="AX4501" i="1"/>
  <c r="AX4502" i="1"/>
  <c r="AX4503" i="1"/>
  <c r="AX4504" i="1"/>
  <c r="AX4505" i="1"/>
  <c r="AX4506" i="1"/>
  <c r="AX4507" i="1"/>
  <c r="AX4508" i="1"/>
  <c r="AX4509" i="1"/>
  <c r="AX4510" i="1"/>
  <c r="AX4511" i="1"/>
  <c r="AX4512" i="1"/>
  <c r="AX4513" i="1"/>
  <c r="AX4514" i="1"/>
  <c r="AX4515" i="1"/>
  <c r="AX4516" i="1"/>
  <c r="AX4517" i="1"/>
  <c r="AX4518" i="1"/>
  <c r="AX4519" i="1"/>
  <c r="AX4520" i="1"/>
  <c r="AX4521" i="1"/>
  <c r="AX4522" i="1"/>
  <c r="AX4523" i="1"/>
  <c r="AX4524" i="1"/>
  <c r="AX4525" i="1"/>
  <c r="AX4526" i="1"/>
  <c r="AX4527" i="1"/>
  <c r="AX4528" i="1"/>
  <c r="AX4529" i="1"/>
  <c r="AX4530" i="1"/>
  <c r="AX4531" i="1"/>
  <c r="AX4532" i="1"/>
  <c r="AX4533" i="1"/>
  <c r="AX4534" i="1"/>
  <c r="AX4535" i="1"/>
  <c r="AX4536" i="1"/>
  <c r="AX4537" i="1"/>
  <c r="AX4538" i="1"/>
  <c r="AX4539" i="1"/>
  <c r="AX4540" i="1"/>
  <c r="AX4541" i="1"/>
  <c r="AX4542" i="1"/>
  <c r="AX4543" i="1"/>
  <c r="AX4544" i="1"/>
  <c r="AX4545" i="1"/>
  <c r="AX4546" i="1"/>
  <c r="AX4547" i="1"/>
  <c r="AX4548" i="1"/>
  <c r="AX4549" i="1"/>
  <c r="AX4550" i="1"/>
  <c r="AX4551" i="1"/>
  <c r="AX4552" i="1"/>
  <c r="AX4553" i="1"/>
  <c r="AX4554" i="1"/>
  <c r="AX4555" i="1"/>
  <c r="AX4556" i="1"/>
  <c r="AX4557" i="1"/>
  <c r="AX4558" i="1"/>
  <c r="AX4559" i="1"/>
  <c r="AX4560" i="1"/>
  <c r="AX4561" i="1"/>
  <c r="AX4562" i="1"/>
  <c r="AX4563" i="1"/>
  <c r="AX4564" i="1"/>
  <c r="AX4565" i="1"/>
  <c r="AX4566" i="1"/>
  <c r="AX4567" i="1"/>
  <c r="AX4568" i="1"/>
  <c r="AX4569" i="1"/>
  <c r="AX4570" i="1"/>
  <c r="AX4571" i="1"/>
  <c r="AX4572" i="1"/>
  <c r="AX4573" i="1"/>
  <c r="AX4574" i="1"/>
  <c r="AX4575" i="1"/>
  <c r="AX4576" i="1"/>
  <c r="AX4577" i="1"/>
  <c r="AX4578" i="1"/>
  <c r="AX4579" i="1"/>
  <c r="AX4580" i="1"/>
  <c r="AX4581" i="1"/>
  <c r="AX4582" i="1"/>
  <c r="AX4583" i="1"/>
  <c r="AX4584" i="1"/>
  <c r="AX4585" i="1"/>
  <c r="AX4586" i="1"/>
  <c r="AX4587" i="1"/>
  <c r="AX4588" i="1"/>
  <c r="AX4589" i="1"/>
  <c r="AX4590" i="1"/>
  <c r="AX4591" i="1"/>
  <c r="AX4592" i="1"/>
  <c r="AX4593" i="1"/>
  <c r="AX4594" i="1"/>
  <c r="AX4595" i="1"/>
  <c r="AX4596" i="1"/>
  <c r="AX4597" i="1"/>
  <c r="AX4598" i="1"/>
  <c r="AX4599" i="1"/>
  <c r="AX4600" i="1"/>
  <c r="AX4601" i="1"/>
  <c r="AX4602" i="1"/>
  <c r="AX4603" i="1"/>
  <c r="AX4604" i="1"/>
  <c r="AX4605" i="1"/>
  <c r="AX4606" i="1"/>
  <c r="AX4607" i="1"/>
  <c r="AX4608" i="1"/>
  <c r="AX4609" i="1"/>
  <c r="AX4610" i="1"/>
  <c r="AX4611" i="1"/>
  <c r="AX4612" i="1"/>
  <c r="AX4613" i="1"/>
  <c r="AX4614" i="1"/>
  <c r="AX4615" i="1"/>
  <c r="AX4616" i="1"/>
  <c r="AX4617" i="1"/>
  <c r="AX4618" i="1"/>
  <c r="AX4619" i="1"/>
  <c r="AX4620" i="1"/>
  <c r="AX4621" i="1"/>
  <c r="AX4622" i="1"/>
  <c r="AX4623" i="1"/>
  <c r="AX4624" i="1"/>
  <c r="AX4625" i="1"/>
  <c r="AX4626" i="1"/>
  <c r="AX4627" i="1"/>
  <c r="AX4628" i="1"/>
  <c r="AX4629" i="1"/>
  <c r="AX4630" i="1"/>
  <c r="AX4631" i="1"/>
  <c r="AX4632" i="1"/>
  <c r="AX4633" i="1"/>
  <c r="AX4634" i="1"/>
  <c r="AX4635" i="1"/>
  <c r="AX4636" i="1"/>
  <c r="AX4637" i="1"/>
  <c r="AX4638" i="1"/>
  <c r="AX4639" i="1"/>
  <c r="AX4640" i="1"/>
  <c r="AX4641" i="1"/>
  <c r="AX4642" i="1"/>
  <c r="AX4643" i="1"/>
  <c r="AX4644" i="1"/>
  <c r="AX4645" i="1"/>
  <c r="AX4646" i="1"/>
  <c r="AX4647" i="1"/>
  <c r="AX4648" i="1"/>
  <c r="AX4649" i="1"/>
  <c r="AX4650" i="1"/>
  <c r="AX4651" i="1"/>
  <c r="AX4652" i="1"/>
  <c r="AX4653" i="1"/>
  <c r="AX4654" i="1"/>
  <c r="AX4655" i="1"/>
  <c r="AX4656" i="1"/>
  <c r="AX4657" i="1"/>
  <c r="AX4658" i="1"/>
  <c r="AX4659" i="1"/>
  <c r="AX4660" i="1"/>
  <c r="AX4661" i="1"/>
  <c r="AX4662" i="1"/>
  <c r="AX4663" i="1"/>
  <c r="AX4664" i="1"/>
  <c r="AX4665" i="1"/>
  <c r="AX4666" i="1"/>
  <c r="AX4667" i="1"/>
  <c r="AX4668" i="1"/>
  <c r="AX4669" i="1"/>
  <c r="AX4670" i="1"/>
  <c r="AX4671" i="1"/>
  <c r="AX4672" i="1"/>
  <c r="AX4673" i="1"/>
  <c r="AX4674" i="1"/>
  <c r="AX4675" i="1"/>
  <c r="AX4676" i="1"/>
  <c r="AX4677" i="1"/>
  <c r="AX4678" i="1"/>
  <c r="AX4679" i="1"/>
  <c r="AX4680" i="1"/>
  <c r="AX4681" i="1"/>
  <c r="AX4682" i="1"/>
  <c r="AX4683" i="1"/>
  <c r="AX4684" i="1"/>
  <c r="AX4685" i="1"/>
  <c r="AX4686" i="1"/>
  <c r="AX4687" i="1"/>
  <c r="AX4688" i="1"/>
  <c r="AX4689" i="1"/>
  <c r="AX4690" i="1"/>
  <c r="AX4691" i="1"/>
  <c r="AX4692" i="1"/>
  <c r="AX4693" i="1"/>
  <c r="AX4694" i="1"/>
  <c r="AX4695" i="1"/>
  <c r="AX4696" i="1"/>
  <c r="AX4697" i="1"/>
  <c r="AX4698" i="1"/>
  <c r="AX4699" i="1"/>
  <c r="AX4700" i="1"/>
  <c r="AX4701" i="1"/>
  <c r="AX4702" i="1"/>
  <c r="AX4703" i="1"/>
  <c r="AX4704" i="1"/>
  <c r="AX4705" i="1"/>
  <c r="AX4706" i="1"/>
  <c r="AX4707" i="1"/>
  <c r="AX4708" i="1"/>
  <c r="AX4709" i="1"/>
  <c r="AX4710" i="1"/>
  <c r="AX4711" i="1"/>
  <c r="AX4712" i="1"/>
  <c r="AX4713" i="1"/>
  <c r="AX4714" i="1"/>
  <c r="AX4715" i="1"/>
  <c r="AX4716" i="1"/>
  <c r="AX4717" i="1"/>
  <c r="AX4718" i="1"/>
  <c r="AX4719" i="1"/>
  <c r="AX4720" i="1"/>
  <c r="AX4721" i="1"/>
  <c r="AX4722" i="1"/>
  <c r="AX4723" i="1"/>
  <c r="AX4724" i="1"/>
  <c r="AX4725" i="1"/>
  <c r="AX4726" i="1"/>
  <c r="AX4727" i="1"/>
  <c r="AX4728" i="1"/>
  <c r="AX4729" i="1"/>
  <c r="AX4730" i="1"/>
  <c r="AX4731" i="1"/>
  <c r="AX4732" i="1"/>
  <c r="AX4733" i="1"/>
  <c r="AX4734" i="1"/>
  <c r="AX4735" i="1"/>
  <c r="AX4736" i="1"/>
  <c r="AX4737" i="1"/>
  <c r="AX4738" i="1"/>
  <c r="AX4739" i="1"/>
  <c r="AX4740" i="1"/>
  <c r="AX4741" i="1"/>
  <c r="AX4742" i="1"/>
  <c r="AX4743" i="1"/>
  <c r="AX4744" i="1"/>
  <c r="AX4745" i="1"/>
  <c r="AX4746" i="1"/>
  <c r="AX4747" i="1"/>
  <c r="AX4748" i="1"/>
  <c r="AX4749" i="1"/>
  <c r="AX4750" i="1"/>
  <c r="AX4751" i="1"/>
  <c r="AX4752" i="1"/>
  <c r="AX4753" i="1"/>
  <c r="AX4754" i="1"/>
  <c r="AX4755" i="1"/>
  <c r="AX4756" i="1"/>
  <c r="AX4757" i="1"/>
  <c r="AX4758" i="1"/>
  <c r="AX4759" i="1"/>
  <c r="AX4760" i="1"/>
  <c r="AX4761" i="1"/>
  <c r="AX4762" i="1"/>
  <c r="AX4763" i="1"/>
  <c r="AX4764" i="1"/>
  <c r="AX4765" i="1"/>
  <c r="AX4766" i="1"/>
  <c r="AX4767" i="1"/>
  <c r="AX4768" i="1"/>
  <c r="AX4769" i="1"/>
  <c r="AX4770" i="1"/>
  <c r="AX4771" i="1"/>
  <c r="AX4772" i="1"/>
  <c r="AX4773" i="1"/>
  <c r="AX4774" i="1"/>
  <c r="AX4775" i="1"/>
  <c r="AX4776" i="1"/>
  <c r="AX4777" i="1"/>
  <c r="AX4778" i="1"/>
  <c r="AX4779" i="1"/>
  <c r="AX4780" i="1"/>
  <c r="AX4781" i="1"/>
  <c r="AX4782" i="1"/>
  <c r="AX4783" i="1"/>
  <c r="AX4784" i="1"/>
  <c r="AX4785" i="1"/>
  <c r="AX4786" i="1"/>
  <c r="AX4787" i="1"/>
  <c r="AX4788" i="1"/>
  <c r="AX4789" i="1"/>
  <c r="AX4790" i="1"/>
  <c r="AX4791" i="1"/>
  <c r="AX4792" i="1"/>
  <c r="AX4793" i="1"/>
  <c r="AX4794" i="1"/>
  <c r="AX4795" i="1"/>
  <c r="AX4796" i="1"/>
  <c r="AX4797" i="1"/>
  <c r="AX4798" i="1"/>
  <c r="AX4799" i="1"/>
  <c r="AX4800" i="1"/>
  <c r="AX4801" i="1"/>
  <c r="AX4802" i="1"/>
  <c r="AX4803" i="1"/>
  <c r="AX4804" i="1"/>
  <c r="AX4805" i="1"/>
  <c r="AX4806" i="1"/>
  <c r="AX4807" i="1"/>
  <c r="AX4808" i="1"/>
  <c r="AX4809" i="1"/>
  <c r="AX4810" i="1"/>
  <c r="AX4811" i="1"/>
  <c r="AX4812" i="1"/>
  <c r="AX4813" i="1"/>
  <c r="AX4814" i="1"/>
  <c r="AX4815" i="1"/>
  <c r="AX4816" i="1"/>
  <c r="AX4817" i="1"/>
  <c r="AX4818" i="1"/>
  <c r="AX4819" i="1"/>
  <c r="AX4820" i="1"/>
  <c r="AX4821" i="1"/>
  <c r="AX4822" i="1"/>
  <c r="AX4823" i="1"/>
  <c r="AX4824" i="1"/>
  <c r="AX4825" i="1"/>
  <c r="AX4826" i="1"/>
  <c r="AX4827" i="1"/>
  <c r="AX4828" i="1"/>
  <c r="AX4829" i="1"/>
  <c r="AX4830" i="1"/>
  <c r="AX4831" i="1"/>
  <c r="AX4832" i="1"/>
  <c r="AX4833" i="1"/>
  <c r="AX4834" i="1"/>
  <c r="AX4835" i="1"/>
  <c r="AX4836" i="1"/>
  <c r="AX4837" i="1"/>
  <c r="AX4838" i="1"/>
  <c r="AX4839" i="1"/>
  <c r="AX4840" i="1"/>
  <c r="AX4841" i="1"/>
  <c r="AX4842" i="1"/>
  <c r="AX4843" i="1"/>
  <c r="AX4844" i="1"/>
  <c r="AX4845" i="1"/>
  <c r="AX4846" i="1"/>
  <c r="AX4847" i="1"/>
  <c r="AX4848" i="1"/>
  <c r="AX4849" i="1"/>
  <c r="AX4850" i="1"/>
  <c r="AX4851" i="1"/>
  <c r="AX4852" i="1"/>
  <c r="AX4853" i="1"/>
  <c r="AX4854" i="1"/>
  <c r="AX4855" i="1"/>
  <c r="AX4856" i="1"/>
  <c r="AX4857" i="1"/>
  <c r="AX4858" i="1"/>
  <c r="AX4859" i="1"/>
  <c r="AX4860" i="1"/>
  <c r="AX4861" i="1"/>
  <c r="AX4862" i="1"/>
  <c r="AX4863" i="1"/>
  <c r="AX4864" i="1"/>
  <c r="AX4865" i="1"/>
  <c r="AX4866" i="1"/>
  <c r="AX4867" i="1"/>
  <c r="AX4868" i="1"/>
  <c r="AX4869" i="1"/>
  <c r="AX4870" i="1"/>
  <c r="AX4871" i="1"/>
  <c r="AX4872" i="1"/>
  <c r="AX4873" i="1"/>
  <c r="AX4874" i="1"/>
  <c r="AX4875" i="1"/>
  <c r="AX4876" i="1"/>
  <c r="AX4877" i="1"/>
  <c r="AX4878" i="1"/>
  <c r="AX4879" i="1"/>
  <c r="AX4880" i="1"/>
  <c r="AX4881" i="1"/>
  <c r="AX4882" i="1"/>
  <c r="AX4883" i="1"/>
  <c r="AX4884" i="1"/>
  <c r="AX4885" i="1"/>
  <c r="AX4886" i="1"/>
  <c r="AX4887" i="1"/>
  <c r="AX4888" i="1"/>
  <c r="AX4889" i="1"/>
  <c r="AX4890" i="1"/>
  <c r="AX4891" i="1"/>
  <c r="AX4892" i="1"/>
  <c r="AX4893" i="1"/>
  <c r="AX4894" i="1"/>
  <c r="AX4895" i="1"/>
  <c r="AX4896" i="1"/>
  <c r="AX4897" i="1"/>
  <c r="AX4898" i="1"/>
  <c r="AX4899" i="1"/>
  <c r="AX4900" i="1"/>
  <c r="AX4901" i="1"/>
  <c r="AX4902" i="1"/>
  <c r="AX4903" i="1"/>
  <c r="AX4904" i="1"/>
  <c r="AX4905" i="1"/>
  <c r="AX4906" i="1"/>
  <c r="AX4907" i="1"/>
  <c r="AX4908" i="1"/>
  <c r="AX4909" i="1"/>
  <c r="AX4910" i="1"/>
  <c r="AX4911" i="1"/>
  <c r="AX4912" i="1"/>
  <c r="AX4913" i="1"/>
  <c r="AX4914" i="1"/>
  <c r="AX4915" i="1"/>
  <c r="AX4916" i="1"/>
  <c r="AX4917" i="1"/>
  <c r="AX4918" i="1"/>
  <c r="AX4919" i="1"/>
  <c r="AX4920" i="1"/>
  <c r="AX4921" i="1"/>
  <c r="AX4922" i="1"/>
  <c r="AX4923" i="1"/>
  <c r="AX4924" i="1"/>
  <c r="AX4925" i="1"/>
  <c r="AX4926" i="1"/>
  <c r="AX4927" i="1"/>
  <c r="AX4928" i="1"/>
  <c r="AX4929" i="1"/>
  <c r="AX4930" i="1"/>
  <c r="AX4931" i="1"/>
  <c r="AX4932" i="1"/>
  <c r="AX4933" i="1"/>
  <c r="AX4934" i="1"/>
  <c r="AX4935" i="1"/>
  <c r="AX4936" i="1"/>
  <c r="AX4937" i="1"/>
  <c r="AX4938" i="1"/>
  <c r="AX4939" i="1"/>
  <c r="AX4940" i="1"/>
  <c r="AX4941" i="1"/>
  <c r="AX4942" i="1"/>
  <c r="AX4943" i="1"/>
  <c r="AX4944" i="1"/>
  <c r="AX4945" i="1"/>
  <c r="AX4946" i="1"/>
  <c r="AX4947" i="1"/>
  <c r="AX4948" i="1"/>
  <c r="AX4949" i="1"/>
  <c r="AX4950" i="1"/>
  <c r="AX4951" i="1"/>
  <c r="AX4952" i="1"/>
  <c r="AX4953" i="1"/>
  <c r="AX4954" i="1"/>
  <c r="AX4955" i="1"/>
  <c r="AX4956" i="1"/>
  <c r="AX4957" i="1"/>
  <c r="AX4958" i="1"/>
  <c r="AX4959" i="1"/>
  <c r="AX4960" i="1"/>
  <c r="AX4961" i="1"/>
  <c r="AX4962" i="1"/>
  <c r="AX4963" i="1"/>
  <c r="AX4964" i="1"/>
  <c r="AX4965" i="1"/>
  <c r="AX4966" i="1"/>
  <c r="AX4967" i="1"/>
  <c r="AX4968" i="1"/>
  <c r="AX4969" i="1"/>
  <c r="AX4970" i="1"/>
  <c r="AX4971" i="1"/>
  <c r="AX4972" i="1"/>
  <c r="AX4973" i="1"/>
  <c r="AX4974" i="1"/>
  <c r="AX4975" i="1"/>
  <c r="AX4976" i="1"/>
  <c r="AX4977" i="1"/>
  <c r="AX4978" i="1"/>
  <c r="AX4979" i="1"/>
  <c r="AX4980" i="1"/>
  <c r="AX4981" i="1"/>
  <c r="AX4982" i="1"/>
  <c r="AX4983" i="1"/>
  <c r="AX4984" i="1"/>
  <c r="AX4985" i="1"/>
  <c r="AX4986" i="1"/>
  <c r="AX4987" i="1"/>
  <c r="AX4988" i="1"/>
  <c r="AX4989" i="1"/>
  <c r="AX4990" i="1"/>
  <c r="AX4991" i="1"/>
  <c r="AX4992" i="1"/>
  <c r="AX4993" i="1"/>
  <c r="AX4994" i="1"/>
  <c r="AX4995" i="1"/>
  <c r="AX4996" i="1"/>
  <c r="AX4997" i="1"/>
  <c r="AX4998" i="1"/>
  <c r="AX4999" i="1"/>
  <c r="AX5000" i="1"/>
  <c r="AX5001" i="1"/>
  <c r="AX5002" i="1"/>
  <c r="AX5003" i="1"/>
  <c r="AX5004" i="1"/>
  <c r="AX5005" i="1"/>
  <c r="AX5006" i="1"/>
  <c r="AX5007" i="1"/>
  <c r="AX5008" i="1"/>
  <c r="AX5009" i="1"/>
  <c r="AX5010" i="1"/>
  <c r="AX5011" i="1"/>
  <c r="AX5012" i="1"/>
  <c r="AX5013" i="1"/>
  <c r="AX5014" i="1"/>
  <c r="AX5015" i="1"/>
  <c r="AX5016" i="1"/>
  <c r="AX5017" i="1"/>
  <c r="AX5018" i="1"/>
  <c r="AX5019" i="1"/>
  <c r="AX5020" i="1"/>
  <c r="AX5021" i="1"/>
  <c r="AX5022" i="1"/>
  <c r="AX5023" i="1"/>
  <c r="AX5024" i="1"/>
  <c r="AX5025" i="1"/>
  <c r="AX5026" i="1"/>
  <c r="AX5027" i="1"/>
  <c r="AX5028" i="1"/>
  <c r="AX5029" i="1"/>
  <c r="AX5030" i="1"/>
  <c r="AX5031" i="1"/>
  <c r="AX5032" i="1"/>
  <c r="AX5033" i="1"/>
  <c r="AX5034" i="1"/>
  <c r="AX5035" i="1"/>
  <c r="AX5036" i="1"/>
  <c r="AX5037" i="1"/>
  <c r="AX5038" i="1"/>
  <c r="AX5039" i="1"/>
  <c r="AX5040" i="1"/>
  <c r="AX5041" i="1"/>
  <c r="AX5042" i="1"/>
  <c r="AX5043" i="1"/>
  <c r="AX5044" i="1"/>
  <c r="AX5045" i="1"/>
  <c r="AX5046" i="1"/>
  <c r="AX5047" i="1"/>
  <c r="AX5048" i="1"/>
  <c r="AX5049" i="1"/>
  <c r="AX5050" i="1"/>
  <c r="AX5051" i="1"/>
  <c r="AX5052" i="1"/>
  <c r="AX5053" i="1"/>
  <c r="AX5054" i="1"/>
  <c r="AX5055" i="1"/>
  <c r="AX5056" i="1"/>
  <c r="AX5057" i="1"/>
  <c r="AX5058" i="1"/>
  <c r="AX5059" i="1"/>
  <c r="AX5060" i="1"/>
  <c r="AX5061" i="1"/>
  <c r="AX5062" i="1"/>
  <c r="AX5063" i="1"/>
  <c r="AX5064" i="1"/>
  <c r="AX5065" i="1"/>
  <c r="AX5066" i="1"/>
  <c r="AX5067" i="1"/>
  <c r="AX5068" i="1"/>
  <c r="AX5069" i="1"/>
  <c r="AX5070" i="1"/>
  <c r="AX5071" i="1"/>
  <c r="AX5072" i="1"/>
  <c r="AX5073" i="1"/>
  <c r="AX5074" i="1"/>
  <c r="AX5075" i="1"/>
  <c r="AX5076" i="1"/>
  <c r="AX5077" i="1"/>
  <c r="AX5078" i="1"/>
  <c r="AX5079" i="1"/>
  <c r="AX5080" i="1"/>
  <c r="AX5081" i="1"/>
  <c r="AX5082" i="1"/>
  <c r="AX5083" i="1"/>
  <c r="AX5084" i="1"/>
  <c r="AX5085" i="1"/>
  <c r="AX5086" i="1"/>
  <c r="AX5087" i="1"/>
  <c r="AX5088" i="1"/>
  <c r="AX5089" i="1"/>
  <c r="AX5090" i="1"/>
  <c r="AX5091" i="1"/>
  <c r="AX5092" i="1"/>
  <c r="AX5093" i="1"/>
  <c r="AX5094" i="1"/>
  <c r="AX5095" i="1"/>
  <c r="AX5096" i="1"/>
  <c r="AX5097" i="1"/>
  <c r="AX5098" i="1"/>
  <c r="AX5099" i="1"/>
  <c r="AX5100" i="1"/>
  <c r="AX5101" i="1"/>
  <c r="AX5102" i="1"/>
  <c r="AX5103" i="1"/>
  <c r="AX5104" i="1"/>
  <c r="AX5105" i="1"/>
  <c r="AX5106" i="1"/>
  <c r="AX5107" i="1"/>
  <c r="AX5108" i="1"/>
  <c r="AX5109" i="1"/>
  <c r="AX5110" i="1"/>
  <c r="AX5111" i="1"/>
  <c r="AX5112" i="1"/>
  <c r="AX5113" i="1"/>
  <c r="AX5114" i="1"/>
  <c r="AX5115" i="1"/>
  <c r="AX5116" i="1"/>
  <c r="AX5117" i="1"/>
  <c r="AX5118" i="1"/>
  <c r="AX5119" i="1"/>
  <c r="AX5120" i="1"/>
  <c r="AX5121" i="1"/>
  <c r="AX5122" i="1"/>
  <c r="AX5123" i="1"/>
  <c r="AX5124" i="1"/>
  <c r="AX5125" i="1"/>
  <c r="AX5126" i="1"/>
  <c r="AX5127" i="1"/>
  <c r="AX5128" i="1"/>
  <c r="AX5129" i="1"/>
  <c r="AX5130" i="1"/>
  <c r="AX5131" i="1"/>
  <c r="AX5132" i="1"/>
  <c r="AX5133" i="1"/>
  <c r="AX5134" i="1"/>
  <c r="AX5135" i="1"/>
  <c r="AX5136" i="1"/>
  <c r="AX5137" i="1"/>
  <c r="AX5138" i="1"/>
  <c r="AX5139" i="1"/>
  <c r="AX5140" i="1"/>
  <c r="AX5141" i="1"/>
  <c r="AX5142" i="1"/>
  <c r="AX5143" i="1"/>
  <c r="AX5144" i="1"/>
  <c r="AX5145" i="1"/>
  <c r="AX5146" i="1"/>
  <c r="AX5147" i="1"/>
  <c r="AX5148" i="1"/>
  <c r="AX5149" i="1"/>
  <c r="AX5150" i="1"/>
  <c r="AX5151" i="1"/>
  <c r="AX5152" i="1"/>
  <c r="AX5153" i="1"/>
  <c r="AX5154" i="1"/>
  <c r="AX5155" i="1"/>
  <c r="AX5156" i="1"/>
  <c r="AX5157" i="1"/>
  <c r="AX5158" i="1"/>
  <c r="AX5159" i="1"/>
  <c r="AX5160" i="1"/>
  <c r="AX5161" i="1"/>
  <c r="AX5162" i="1"/>
  <c r="AX5163" i="1"/>
  <c r="AX5164" i="1"/>
  <c r="AX5165" i="1"/>
  <c r="AX5166" i="1"/>
  <c r="AX5167" i="1"/>
  <c r="AX5168" i="1"/>
  <c r="AX5169" i="1"/>
  <c r="AX5170" i="1"/>
  <c r="AX5171" i="1"/>
  <c r="AX5172" i="1"/>
  <c r="AX5173" i="1"/>
  <c r="AX5174" i="1"/>
  <c r="AX5175" i="1"/>
  <c r="AX5176" i="1"/>
  <c r="AX5177" i="1"/>
  <c r="AX5178" i="1"/>
  <c r="AX5179" i="1"/>
  <c r="AX5180" i="1"/>
  <c r="AX5181" i="1"/>
  <c r="AX5182" i="1"/>
  <c r="AX5183" i="1"/>
  <c r="AX5184" i="1"/>
  <c r="AX5185" i="1"/>
  <c r="AX5186" i="1"/>
  <c r="AX5187" i="1"/>
  <c r="AX5188" i="1"/>
  <c r="AX5189" i="1"/>
  <c r="AX5190" i="1"/>
  <c r="AX5191" i="1"/>
  <c r="AX5192" i="1"/>
  <c r="AX5193" i="1"/>
  <c r="AX5194" i="1"/>
  <c r="AX5195" i="1"/>
  <c r="AX5196" i="1"/>
  <c r="AX5197" i="1"/>
  <c r="AX5198" i="1"/>
  <c r="AX5199" i="1"/>
  <c r="AX5200" i="1"/>
  <c r="AX5201" i="1"/>
  <c r="AX5202" i="1"/>
  <c r="AX5203" i="1"/>
  <c r="AX5204" i="1"/>
  <c r="AX5205" i="1"/>
  <c r="AX5206" i="1"/>
  <c r="AX5207" i="1"/>
  <c r="AX5208" i="1"/>
  <c r="AX5209" i="1"/>
  <c r="AX5210" i="1"/>
  <c r="AX5211" i="1"/>
  <c r="AX5212" i="1"/>
  <c r="AX5213" i="1"/>
  <c r="AX5214" i="1"/>
  <c r="AX5215" i="1"/>
  <c r="AX5216" i="1"/>
  <c r="AX5217" i="1"/>
  <c r="AX5218" i="1"/>
  <c r="AX5219" i="1"/>
  <c r="AX5220" i="1"/>
  <c r="AX5221" i="1"/>
  <c r="AX5222" i="1"/>
  <c r="AX5223" i="1"/>
  <c r="AX5224" i="1"/>
  <c r="AX5225" i="1"/>
  <c r="AX5226" i="1"/>
  <c r="AX5227" i="1"/>
  <c r="AX5228" i="1"/>
  <c r="AX5229" i="1"/>
  <c r="AX5230" i="1"/>
  <c r="AX5231" i="1"/>
  <c r="AX5232" i="1"/>
  <c r="AX5233" i="1"/>
  <c r="AX5234" i="1"/>
  <c r="AX5235" i="1"/>
  <c r="AX5236" i="1"/>
  <c r="AX5237" i="1"/>
  <c r="AX5238" i="1"/>
  <c r="AX5239" i="1"/>
  <c r="AX5240" i="1"/>
  <c r="AX5241" i="1"/>
  <c r="AX5242" i="1"/>
  <c r="AX5243" i="1"/>
  <c r="AX5244" i="1"/>
  <c r="AX5245" i="1"/>
  <c r="AX5246" i="1"/>
  <c r="AX5247" i="1"/>
  <c r="AX5248" i="1"/>
  <c r="AX5249" i="1"/>
  <c r="AX5250" i="1"/>
  <c r="AX5251" i="1"/>
  <c r="AX5252" i="1"/>
  <c r="AX5253" i="1"/>
  <c r="AX5254" i="1"/>
  <c r="AX5255" i="1"/>
  <c r="AX5256" i="1"/>
  <c r="AX5257" i="1"/>
  <c r="AX5258" i="1"/>
  <c r="AX5259" i="1"/>
  <c r="AX5260" i="1"/>
  <c r="AX5261" i="1"/>
  <c r="AX5262" i="1"/>
  <c r="AX5263" i="1"/>
  <c r="AX5264" i="1"/>
  <c r="AX5265" i="1"/>
  <c r="AX5266" i="1"/>
  <c r="AX5267" i="1"/>
  <c r="AX5268" i="1"/>
  <c r="AX5269" i="1"/>
  <c r="AX5270" i="1"/>
  <c r="AX5271" i="1"/>
  <c r="AX5272" i="1"/>
  <c r="AX5273" i="1"/>
  <c r="AX5274" i="1"/>
  <c r="AX5275" i="1"/>
  <c r="AX5276" i="1"/>
  <c r="AX5277" i="1"/>
  <c r="AX5278" i="1"/>
  <c r="AX5279" i="1"/>
  <c r="AX5280" i="1"/>
  <c r="AX5281" i="1"/>
  <c r="AX5282" i="1"/>
  <c r="AX5283" i="1"/>
  <c r="AX5284" i="1"/>
  <c r="AX5285" i="1"/>
  <c r="AX5286" i="1"/>
  <c r="AX5287" i="1"/>
  <c r="AX5288" i="1"/>
  <c r="AX5289" i="1"/>
  <c r="AX5290" i="1"/>
  <c r="AX5291" i="1"/>
  <c r="AX5292" i="1"/>
  <c r="AX5293" i="1"/>
  <c r="AX5294" i="1"/>
  <c r="AX5295" i="1"/>
  <c r="AX5296" i="1"/>
  <c r="AX5297" i="1"/>
  <c r="AX5298" i="1"/>
  <c r="AX5299" i="1"/>
  <c r="AX5300" i="1"/>
  <c r="AX5301" i="1"/>
  <c r="AX5302" i="1"/>
  <c r="AX5303" i="1"/>
  <c r="AX5304" i="1"/>
  <c r="AX5305" i="1"/>
  <c r="AX5306" i="1"/>
  <c r="AX5307" i="1"/>
  <c r="AX5308" i="1"/>
  <c r="AX5309" i="1"/>
  <c r="AX5310" i="1"/>
  <c r="AX5311" i="1"/>
  <c r="AX5312" i="1"/>
  <c r="AX5313" i="1"/>
  <c r="AX5314" i="1"/>
  <c r="AX5315" i="1"/>
  <c r="AX5316" i="1"/>
  <c r="AX5317" i="1"/>
  <c r="AX5318" i="1"/>
  <c r="AX5319" i="1"/>
  <c r="AX5320" i="1"/>
  <c r="AX5321" i="1"/>
  <c r="AX5322" i="1"/>
  <c r="AX5323" i="1"/>
  <c r="AX5324" i="1"/>
  <c r="AX5325" i="1"/>
  <c r="AX5326" i="1"/>
  <c r="AX5327" i="1"/>
  <c r="AX5328" i="1"/>
  <c r="AX5329" i="1"/>
  <c r="AX5330" i="1"/>
  <c r="AX5331" i="1"/>
  <c r="AX5332" i="1"/>
  <c r="AX5333" i="1"/>
  <c r="AX5334" i="1"/>
  <c r="AX5335" i="1"/>
  <c r="AX5336" i="1"/>
  <c r="AX5337" i="1"/>
  <c r="AX5338" i="1"/>
  <c r="AX5339" i="1"/>
  <c r="AX5340" i="1"/>
  <c r="AX5341" i="1"/>
  <c r="AX5342" i="1"/>
  <c r="AX5343" i="1"/>
  <c r="AX5344" i="1"/>
  <c r="AX5345" i="1"/>
  <c r="AX5346" i="1"/>
  <c r="AX5347" i="1"/>
  <c r="AX5348" i="1"/>
  <c r="AX5349" i="1"/>
  <c r="AX5350" i="1"/>
  <c r="AX5351" i="1"/>
  <c r="AX5352" i="1"/>
  <c r="AX5353" i="1"/>
  <c r="AX5354" i="1"/>
  <c r="AX5355" i="1"/>
  <c r="AX5356" i="1"/>
  <c r="AX5357" i="1"/>
  <c r="AX5358" i="1"/>
  <c r="AX5359" i="1"/>
  <c r="AX5360" i="1"/>
  <c r="AX5361" i="1"/>
  <c r="AX5362" i="1"/>
  <c r="AX5363" i="1"/>
  <c r="AX5364" i="1"/>
  <c r="AX5365" i="1"/>
  <c r="AX5366" i="1"/>
  <c r="AX5367" i="1"/>
  <c r="AX5368" i="1"/>
  <c r="AX5369" i="1"/>
  <c r="AX5370" i="1"/>
  <c r="AX5371" i="1"/>
  <c r="AX5372" i="1"/>
  <c r="AX5373" i="1"/>
  <c r="AX5374" i="1"/>
  <c r="AX5375" i="1"/>
  <c r="AX5376" i="1"/>
  <c r="AX5377" i="1"/>
  <c r="AX5378" i="1"/>
  <c r="AX5379" i="1"/>
  <c r="AX5380" i="1"/>
  <c r="AX5381" i="1"/>
  <c r="AX5382" i="1"/>
  <c r="AX5383" i="1"/>
  <c r="AX5384" i="1"/>
  <c r="AX5385" i="1"/>
  <c r="AX5386" i="1"/>
  <c r="AX5387" i="1"/>
  <c r="AX5388" i="1"/>
  <c r="AX5389" i="1"/>
  <c r="AX5390" i="1"/>
  <c r="AX5391" i="1"/>
  <c r="AX5392" i="1"/>
  <c r="AX5393" i="1"/>
  <c r="AX5394" i="1"/>
  <c r="AX5395" i="1"/>
  <c r="AX5396" i="1"/>
  <c r="AX5397" i="1"/>
  <c r="AX5398" i="1"/>
  <c r="AX5399" i="1"/>
  <c r="AX5400" i="1"/>
  <c r="AX5401" i="1"/>
  <c r="AX5402" i="1"/>
  <c r="AX5403" i="1"/>
  <c r="AX5404" i="1"/>
  <c r="AX5405" i="1"/>
  <c r="AX5406" i="1"/>
  <c r="AX5407" i="1"/>
  <c r="AX5408" i="1"/>
  <c r="AX5409" i="1"/>
  <c r="AX5410" i="1"/>
  <c r="AX5411" i="1"/>
  <c r="AX5412" i="1"/>
  <c r="AX5413" i="1"/>
  <c r="AX5414" i="1"/>
  <c r="AX5415" i="1"/>
  <c r="AX5416" i="1"/>
  <c r="AX5417" i="1"/>
  <c r="AX5418" i="1"/>
  <c r="AX5419" i="1"/>
  <c r="AX5420" i="1"/>
  <c r="AX5421" i="1"/>
  <c r="AX5422" i="1"/>
  <c r="AX5423" i="1"/>
  <c r="AX5424" i="1"/>
  <c r="AX5425" i="1"/>
  <c r="AX5426" i="1"/>
  <c r="AX5427" i="1"/>
  <c r="AX5428" i="1"/>
  <c r="AX5429" i="1"/>
  <c r="AX5430" i="1"/>
  <c r="AX5431" i="1"/>
  <c r="AX5432" i="1"/>
  <c r="AX5433" i="1"/>
  <c r="AX5434" i="1"/>
  <c r="AX5435" i="1"/>
  <c r="AX5436" i="1"/>
  <c r="AX5437" i="1"/>
  <c r="AX5438" i="1"/>
  <c r="AX5439" i="1"/>
  <c r="AX5440" i="1"/>
  <c r="AX5441" i="1"/>
  <c r="AX5442" i="1"/>
  <c r="AX5443" i="1"/>
  <c r="AX5444" i="1"/>
  <c r="AX5445" i="1"/>
  <c r="AX5446" i="1"/>
  <c r="AX5447" i="1"/>
  <c r="AX5448" i="1"/>
  <c r="AX5449" i="1"/>
  <c r="AX5450" i="1"/>
  <c r="AX5451" i="1"/>
  <c r="AX5452" i="1"/>
  <c r="AX5453" i="1"/>
  <c r="AX5454" i="1"/>
  <c r="AX5455" i="1"/>
  <c r="AX5456" i="1"/>
  <c r="AX5457" i="1"/>
  <c r="AX5458" i="1"/>
  <c r="AX5459" i="1"/>
  <c r="AX5460" i="1"/>
  <c r="AX5461" i="1"/>
  <c r="AX5462" i="1"/>
  <c r="AX5463" i="1"/>
  <c r="AX5464" i="1"/>
  <c r="AX5465" i="1"/>
  <c r="AX5466" i="1"/>
  <c r="AX5467" i="1"/>
  <c r="AX5468" i="1"/>
  <c r="AX5469" i="1"/>
  <c r="AX5470" i="1"/>
  <c r="AX5471" i="1"/>
  <c r="AX5472" i="1"/>
  <c r="AX5473" i="1"/>
  <c r="AX5474" i="1"/>
  <c r="AX5475" i="1"/>
  <c r="AX5476" i="1"/>
  <c r="AX5477" i="1"/>
  <c r="AX5478" i="1"/>
  <c r="AX5479" i="1"/>
  <c r="AX5480" i="1"/>
  <c r="AX5481" i="1"/>
  <c r="AX5482" i="1"/>
  <c r="AX5483" i="1"/>
  <c r="AX5484" i="1"/>
  <c r="AX5485" i="1"/>
  <c r="AX5486" i="1"/>
  <c r="AX5487" i="1"/>
  <c r="AX5488" i="1"/>
  <c r="AX5489" i="1"/>
  <c r="AX5490" i="1"/>
  <c r="AX5491" i="1"/>
  <c r="AX5492" i="1"/>
  <c r="AX5493" i="1"/>
  <c r="AX5494" i="1"/>
  <c r="AX5495" i="1"/>
  <c r="AX5496" i="1"/>
  <c r="AX5497" i="1"/>
  <c r="AX5498" i="1"/>
  <c r="AX5499" i="1"/>
  <c r="AX5500" i="1"/>
  <c r="AX5501" i="1"/>
  <c r="AX5502" i="1"/>
  <c r="AX5503" i="1"/>
  <c r="AX5504" i="1"/>
  <c r="AX5505" i="1"/>
  <c r="AX5506" i="1"/>
  <c r="AX5507" i="1"/>
  <c r="AX5508" i="1"/>
  <c r="AX5509" i="1"/>
  <c r="AX5510" i="1"/>
  <c r="AX5511" i="1"/>
  <c r="AX5512" i="1"/>
  <c r="AX5513" i="1"/>
  <c r="AX5514" i="1"/>
  <c r="AX5515" i="1"/>
  <c r="AX5516" i="1"/>
  <c r="AX5517" i="1"/>
  <c r="AX5518" i="1"/>
  <c r="AX5519" i="1"/>
  <c r="AX5520" i="1"/>
  <c r="AX5521" i="1"/>
  <c r="AX5522" i="1"/>
  <c r="AX5523" i="1"/>
  <c r="AX5524" i="1"/>
  <c r="AX5525" i="1"/>
  <c r="AX5526" i="1"/>
  <c r="AX5527" i="1"/>
  <c r="AX5528" i="1"/>
  <c r="AX5529" i="1"/>
  <c r="AX5530" i="1"/>
  <c r="AX5531" i="1"/>
  <c r="AX5532" i="1"/>
  <c r="AX5533" i="1"/>
  <c r="AX5534" i="1"/>
  <c r="AX5535" i="1"/>
  <c r="AX5536" i="1"/>
  <c r="AX5537" i="1"/>
  <c r="AX5538" i="1"/>
  <c r="AX5539" i="1"/>
  <c r="AX5540" i="1"/>
  <c r="AX5541" i="1"/>
  <c r="AX5542" i="1"/>
  <c r="AX5543" i="1"/>
  <c r="AX5544" i="1"/>
  <c r="AX5545" i="1"/>
  <c r="AX5546" i="1"/>
  <c r="AX5547" i="1"/>
  <c r="AX5548" i="1"/>
  <c r="AX5549" i="1"/>
  <c r="AX5550" i="1"/>
  <c r="AX5551" i="1"/>
  <c r="AX5552" i="1"/>
  <c r="AX5553" i="1"/>
  <c r="AX5554" i="1"/>
  <c r="AX5555" i="1"/>
  <c r="AX5556" i="1"/>
  <c r="AX5557" i="1"/>
  <c r="AX5558" i="1"/>
  <c r="AX5559" i="1"/>
  <c r="AX5560" i="1"/>
  <c r="AX5561" i="1"/>
  <c r="AX5562" i="1"/>
  <c r="AX5563" i="1"/>
  <c r="AX5564" i="1"/>
  <c r="AX5565" i="1"/>
  <c r="AX5566" i="1"/>
  <c r="AX5567" i="1"/>
  <c r="AX5568" i="1"/>
  <c r="AX5569" i="1"/>
  <c r="AX5570" i="1"/>
  <c r="AX5571" i="1"/>
  <c r="AX5572" i="1"/>
  <c r="AX5573" i="1"/>
  <c r="AX5574" i="1"/>
  <c r="AX5575" i="1"/>
  <c r="AX5576" i="1"/>
  <c r="AX5577" i="1"/>
  <c r="AX5578" i="1"/>
  <c r="AX5579" i="1"/>
  <c r="AX5580" i="1"/>
  <c r="AX5581" i="1"/>
  <c r="AX5582" i="1"/>
  <c r="AX5583" i="1"/>
  <c r="AX5584" i="1"/>
  <c r="AX5585" i="1"/>
  <c r="AX5586" i="1"/>
  <c r="AX5587" i="1"/>
  <c r="AX5588" i="1"/>
  <c r="AX5589" i="1"/>
  <c r="AX5590" i="1"/>
  <c r="AX5591" i="1"/>
  <c r="AX5592" i="1"/>
  <c r="AX5593" i="1"/>
  <c r="AX5594" i="1"/>
  <c r="AX5595" i="1"/>
  <c r="AX5596" i="1"/>
  <c r="AX5597" i="1"/>
  <c r="AX5598" i="1"/>
  <c r="AX5599" i="1"/>
  <c r="AX5600" i="1"/>
  <c r="AX5601" i="1"/>
  <c r="AX5602" i="1"/>
  <c r="AX5603" i="1"/>
  <c r="AX5604" i="1"/>
  <c r="AX5605" i="1"/>
  <c r="AX5606" i="1"/>
  <c r="AX5607" i="1"/>
  <c r="AX5608" i="1"/>
  <c r="AX5609" i="1"/>
  <c r="AX5610" i="1"/>
  <c r="AX5611" i="1"/>
  <c r="AX5612" i="1"/>
  <c r="AX5613" i="1"/>
  <c r="AX5614" i="1"/>
  <c r="AX5615" i="1"/>
  <c r="AX5616" i="1"/>
  <c r="AX5617" i="1"/>
  <c r="AX5618" i="1"/>
  <c r="AX5619" i="1"/>
  <c r="AX5620" i="1"/>
  <c r="AX5621" i="1"/>
  <c r="AX5622" i="1"/>
  <c r="AX5623" i="1"/>
  <c r="AX5624" i="1"/>
  <c r="AX5625" i="1"/>
  <c r="AX5626" i="1"/>
  <c r="AX5627" i="1"/>
  <c r="AX5628" i="1"/>
  <c r="AX5629" i="1"/>
  <c r="AX5630" i="1"/>
  <c r="AX5631" i="1"/>
  <c r="AX5632" i="1"/>
  <c r="AX5633" i="1"/>
  <c r="AX5634" i="1"/>
  <c r="AX5635" i="1"/>
  <c r="AX5636" i="1"/>
  <c r="AX5637" i="1"/>
  <c r="AX5638" i="1"/>
  <c r="AX5639" i="1"/>
  <c r="AX5640" i="1"/>
  <c r="AX5641" i="1"/>
  <c r="AX5642" i="1"/>
  <c r="AX5643" i="1"/>
  <c r="AX5644" i="1"/>
  <c r="AX5645" i="1"/>
  <c r="AX5646" i="1"/>
  <c r="AX5647" i="1"/>
  <c r="AX5648" i="1"/>
  <c r="AX5649" i="1"/>
  <c r="AX5650" i="1"/>
  <c r="AX5651" i="1"/>
  <c r="AX5652" i="1"/>
  <c r="AX5653" i="1"/>
  <c r="AX5654" i="1"/>
  <c r="AX5655" i="1"/>
  <c r="AX5656" i="1"/>
  <c r="AX5657" i="1"/>
  <c r="AX5658" i="1"/>
  <c r="AX5659" i="1"/>
  <c r="AX5660" i="1"/>
  <c r="AX5661" i="1"/>
  <c r="AX5662" i="1"/>
  <c r="AX5663" i="1"/>
  <c r="AX5664" i="1"/>
  <c r="AX5665" i="1"/>
  <c r="AX5666" i="1"/>
  <c r="AX5667" i="1"/>
  <c r="AX5668" i="1"/>
  <c r="AX5669" i="1"/>
  <c r="AX5670" i="1"/>
  <c r="AX5671" i="1"/>
  <c r="AX5672" i="1"/>
  <c r="AX5673" i="1"/>
  <c r="AX5674" i="1"/>
  <c r="AX5675" i="1"/>
  <c r="AX5676" i="1"/>
  <c r="AX5677" i="1"/>
  <c r="AX5678" i="1"/>
  <c r="AX5679" i="1"/>
  <c r="AX5680" i="1"/>
  <c r="AX5681" i="1"/>
  <c r="AX5682" i="1"/>
  <c r="AX5683" i="1"/>
  <c r="AX5684" i="1"/>
  <c r="AX5685" i="1"/>
  <c r="AX5686" i="1"/>
  <c r="AX5687" i="1"/>
  <c r="AX5688" i="1"/>
  <c r="AX5689" i="1"/>
  <c r="AX5690" i="1"/>
  <c r="AX5691" i="1"/>
  <c r="AX5692" i="1"/>
  <c r="AX5693" i="1"/>
  <c r="AX5694" i="1"/>
  <c r="AX5695" i="1"/>
  <c r="AX5696" i="1"/>
  <c r="AX5697" i="1"/>
  <c r="AX5698" i="1"/>
  <c r="AX5699" i="1"/>
  <c r="AX5700" i="1"/>
  <c r="AX5701" i="1"/>
  <c r="AX5702" i="1"/>
  <c r="AX5703" i="1"/>
  <c r="AX5704" i="1"/>
  <c r="AX5705" i="1"/>
  <c r="AX5706" i="1"/>
  <c r="AX5707" i="1"/>
  <c r="AX5708" i="1"/>
  <c r="AX5709" i="1"/>
  <c r="AX5710" i="1"/>
  <c r="AX5711" i="1"/>
  <c r="AX5712" i="1"/>
  <c r="AX5713" i="1"/>
  <c r="AX5714" i="1"/>
  <c r="AX5715" i="1"/>
  <c r="AX5716" i="1"/>
  <c r="AX5717" i="1"/>
  <c r="AX5718" i="1"/>
  <c r="AX5719" i="1"/>
  <c r="AX5720" i="1"/>
  <c r="AX5721" i="1"/>
  <c r="AX5722" i="1"/>
  <c r="AX5723" i="1"/>
  <c r="AX5724" i="1"/>
  <c r="AX5725" i="1"/>
  <c r="AX5726" i="1"/>
  <c r="AX5727" i="1"/>
  <c r="AX5728" i="1"/>
  <c r="AX5729" i="1"/>
  <c r="AX5730" i="1"/>
  <c r="AX5731" i="1"/>
  <c r="AX5732" i="1"/>
  <c r="AX5733" i="1"/>
  <c r="AX5734" i="1"/>
  <c r="AX5735" i="1"/>
  <c r="AX5736" i="1"/>
  <c r="AX5737" i="1"/>
  <c r="AX5738" i="1"/>
  <c r="AX5739" i="1"/>
  <c r="AX5740" i="1"/>
  <c r="AX5741" i="1"/>
  <c r="AX5742" i="1"/>
  <c r="AX5743" i="1"/>
  <c r="AX5744" i="1"/>
  <c r="AX5745" i="1"/>
  <c r="AX5746" i="1"/>
  <c r="AX5747" i="1"/>
  <c r="AX5748" i="1"/>
  <c r="AX5749" i="1"/>
  <c r="AX5750" i="1"/>
  <c r="AX5751" i="1"/>
  <c r="AX5752" i="1"/>
  <c r="AX5753" i="1"/>
  <c r="AX5754" i="1"/>
  <c r="AX5755" i="1"/>
  <c r="AX5756" i="1"/>
  <c r="AX5757" i="1"/>
  <c r="AX5758" i="1"/>
  <c r="AX5759" i="1"/>
  <c r="AX5760" i="1"/>
  <c r="AX5761" i="1"/>
  <c r="AX5762" i="1"/>
  <c r="AX5763" i="1"/>
  <c r="AX5764" i="1"/>
  <c r="AX5765" i="1"/>
  <c r="AX5766" i="1"/>
  <c r="AX5767" i="1"/>
  <c r="AX5768" i="1"/>
  <c r="AX5769" i="1"/>
  <c r="AX5770" i="1"/>
  <c r="AX5771" i="1"/>
  <c r="AX5772" i="1"/>
  <c r="AX5773" i="1"/>
  <c r="AX5774" i="1"/>
  <c r="AX5775" i="1"/>
  <c r="AX5776" i="1"/>
  <c r="AX5777" i="1"/>
  <c r="AX5778" i="1"/>
  <c r="AX5779" i="1"/>
  <c r="AX5780" i="1"/>
  <c r="AX5781" i="1"/>
  <c r="AX5782" i="1"/>
  <c r="AX5783" i="1"/>
  <c r="AX5784" i="1"/>
  <c r="AX5785" i="1"/>
  <c r="AX5786" i="1"/>
  <c r="AX5787" i="1"/>
  <c r="AX5788" i="1"/>
  <c r="AX5789" i="1"/>
  <c r="AX5790" i="1"/>
  <c r="AX5791" i="1"/>
  <c r="AX5792" i="1"/>
  <c r="AX5793" i="1"/>
  <c r="AX5794" i="1"/>
  <c r="AX5795" i="1"/>
  <c r="AX5796" i="1"/>
  <c r="AX5797" i="1"/>
  <c r="AX5798" i="1"/>
  <c r="AX5799" i="1"/>
  <c r="AX5800" i="1"/>
  <c r="AX5801" i="1"/>
  <c r="AX5802" i="1"/>
  <c r="AX5803" i="1"/>
  <c r="AX5804" i="1"/>
  <c r="AX5805" i="1"/>
  <c r="AX5806" i="1"/>
  <c r="AX5807" i="1"/>
  <c r="AX5808" i="1"/>
  <c r="AX5809" i="1"/>
  <c r="AX5810" i="1"/>
  <c r="AX5811" i="1"/>
  <c r="AX5812" i="1"/>
  <c r="AX5813" i="1"/>
  <c r="AX5814" i="1"/>
  <c r="AX5815" i="1"/>
  <c r="AX5816" i="1"/>
  <c r="AX5817" i="1"/>
  <c r="AX5818" i="1"/>
  <c r="AX5819" i="1"/>
  <c r="AX5820" i="1"/>
  <c r="AX5821" i="1"/>
  <c r="AX5822" i="1"/>
  <c r="AX5823" i="1"/>
  <c r="AX5824" i="1"/>
  <c r="AX5825" i="1"/>
  <c r="AX5826" i="1"/>
  <c r="AX5827" i="1"/>
  <c r="AX5828" i="1"/>
  <c r="AX5829" i="1"/>
  <c r="AX5830" i="1"/>
  <c r="AX5831" i="1"/>
  <c r="AX5832" i="1"/>
  <c r="AX5833" i="1"/>
  <c r="AX5834" i="1"/>
  <c r="AX5835" i="1"/>
  <c r="AX5836" i="1"/>
  <c r="AX5837" i="1"/>
  <c r="AX5838" i="1"/>
  <c r="AX5839" i="1"/>
  <c r="AX5840" i="1"/>
  <c r="AX5841" i="1"/>
  <c r="AX5842" i="1"/>
  <c r="AX5843" i="1"/>
  <c r="AX5844" i="1"/>
  <c r="AX5845" i="1"/>
  <c r="AX5846" i="1"/>
  <c r="AX5847" i="1"/>
  <c r="AX5848" i="1"/>
  <c r="AX5849" i="1"/>
  <c r="AX5850" i="1"/>
  <c r="AX5851" i="1"/>
  <c r="AX5852" i="1"/>
  <c r="AX5853" i="1"/>
  <c r="AX5854" i="1"/>
  <c r="AX5855" i="1"/>
  <c r="AX5856" i="1"/>
  <c r="AX5857" i="1"/>
  <c r="AX5858" i="1"/>
  <c r="AX5859" i="1"/>
  <c r="AX5860" i="1"/>
  <c r="AX5861" i="1"/>
  <c r="AX5862" i="1"/>
  <c r="AX5863" i="1"/>
  <c r="AX5864" i="1"/>
  <c r="AX5865" i="1"/>
  <c r="AX5866" i="1"/>
  <c r="AX5867" i="1"/>
  <c r="AX5868" i="1"/>
  <c r="AX5869" i="1"/>
  <c r="AX5870" i="1"/>
  <c r="AX5871" i="1"/>
  <c r="AX5872" i="1"/>
  <c r="AX5873" i="1"/>
  <c r="AX5874" i="1"/>
  <c r="AX5875" i="1"/>
  <c r="AX5876" i="1"/>
  <c r="AX5877" i="1"/>
  <c r="AX5878" i="1"/>
  <c r="AX5879" i="1"/>
  <c r="AX5880" i="1"/>
  <c r="AX5881" i="1"/>
  <c r="AX5882" i="1"/>
  <c r="AX5883" i="1"/>
  <c r="AX5884" i="1"/>
  <c r="AX5885" i="1"/>
  <c r="AX5886" i="1"/>
  <c r="AX5887" i="1"/>
  <c r="AX5888" i="1"/>
  <c r="AX5889" i="1"/>
  <c r="AX5890" i="1"/>
  <c r="AX5891" i="1"/>
  <c r="AX5892" i="1"/>
  <c r="AX5893" i="1"/>
  <c r="AX5894" i="1"/>
  <c r="AX5895" i="1"/>
  <c r="AX5896" i="1"/>
  <c r="AX5897" i="1"/>
  <c r="AX5898" i="1"/>
  <c r="AX5899" i="1"/>
  <c r="AX5900" i="1"/>
  <c r="AX5901" i="1"/>
  <c r="AX5902" i="1"/>
  <c r="AX5903" i="1"/>
  <c r="AX5904" i="1"/>
  <c r="AX5905" i="1"/>
  <c r="AX5906" i="1"/>
  <c r="AX5907" i="1"/>
  <c r="AX5908" i="1"/>
  <c r="AX5909" i="1"/>
  <c r="AX5910" i="1"/>
  <c r="AX5911" i="1"/>
  <c r="AX5912" i="1"/>
  <c r="AX5913" i="1"/>
  <c r="AX5914" i="1"/>
  <c r="AX5915" i="1"/>
  <c r="AX5916" i="1"/>
  <c r="AX5917" i="1"/>
  <c r="AX5918" i="1"/>
  <c r="AX5919" i="1"/>
  <c r="AX5920" i="1"/>
  <c r="AX5921" i="1"/>
  <c r="AX5922" i="1"/>
  <c r="AX5923" i="1"/>
  <c r="AX5924" i="1"/>
  <c r="AX5925" i="1"/>
  <c r="AX5926" i="1"/>
  <c r="AX5927" i="1"/>
  <c r="AX5928" i="1"/>
  <c r="AX5929" i="1"/>
  <c r="AX5930" i="1"/>
  <c r="AX5931" i="1"/>
  <c r="AX5932" i="1"/>
  <c r="AX5933" i="1"/>
  <c r="AX5934" i="1"/>
  <c r="AX5935" i="1"/>
  <c r="AX5936" i="1"/>
  <c r="AX5937" i="1"/>
  <c r="AX5938" i="1"/>
  <c r="AX5939" i="1"/>
  <c r="AX5940" i="1"/>
  <c r="AX5941" i="1"/>
  <c r="AX5942" i="1"/>
  <c r="AX5943" i="1"/>
  <c r="AX5944" i="1"/>
  <c r="AX5945" i="1"/>
  <c r="AX5946" i="1"/>
  <c r="AX5947" i="1"/>
  <c r="AX5948" i="1"/>
  <c r="AX5949" i="1"/>
  <c r="AX5950" i="1"/>
  <c r="AX5951" i="1"/>
  <c r="AX5952" i="1"/>
  <c r="AX5953" i="1"/>
  <c r="AX5954" i="1"/>
  <c r="AX5955" i="1"/>
  <c r="AX5956" i="1"/>
  <c r="AX5957" i="1"/>
  <c r="AX5958" i="1"/>
  <c r="AX5959" i="1"/>
  <c r="AX5960" i="1"/>
  <c r="AX5961" i="1"/>
  <c r="AX5962" i="1"/>
  <c r="AX5963" i="1"/>
  <c r="AX5964" i="1"/>
  <c r="AX5965" i="1"/>
  <c r="AX5966" i="1"/>
  <c r="AX5967" i="1"/>
  <c r="AX5968" i="1"/>
  <c r="AX5969" i="1"/>
  <c r="AX5970" i="1"/>
  <c r="AX5971" i="1"/>
  <c r="AX5972" i="1"/>
  <c r="AX5973" i="1"/>
  <c r="AX5974" i="1"/>
  <c r="AX5975" i="1"/>
  <c r="AX5976" i="1"/>
  <c r="AX5977" i="1"/>
  <c r="AX5978" i="1"/>
  <c r="AX5979" i="1"/>
  <c r="AX5980" i="1"/>
  <c r="AX5981" i="1"/>
  <c r="AX5982" i="1"/>
  <c r="AX5983" i="1"/>
  <c r="AX5984" i="1"/>
  <c r="AX5985" i="1"/>
  <c r="AX5986" i="1"/>
  <c r="AX5987" i="1"/>
  <c r="AX5988" i="1"/>
  <c r="AX5989" i="1"/>
  <c r="AX5990" i="1"/>
  <c r="AX5991" i="1"/>
  <c r="AX5992" i="1"/>
  <c r="AX5993" i="1"/>
  <c r="AX5994" i="1"/>
  <c r="AX5995" i="1"/>
  <c r="AX5996" i="1"/>
  <c r="AX5997" i="1"/>
  <c r="AX5998" i="1"/>
  <c r="AX5999" i="1"/>
  <c r="AX6000" i="1"/>
  <c r="AX6001" i="1"/>
  <c r="AX6002" i="1"/>
  <c r="AX6003" i="1"/>
  <c r="AX6004" i="1"/>
  <c r="AX6005" i="1"/>
  <c r="AX6006" i="1"/>
  <c r="AX6007" i="1"/>
  <c r="AX6008" i="1"/>
  <c r="AX6009" i="1"/>
  <c r="AX6010" i="1"/>
  <c r="AX6011" i="1"/>
  <c r="AX6012" i="1"/>
  <c r="AX6013" i="1"/>
  <c r="AX6014" i="1"/>
  <c r="AX6015" i="1"/>
  <c r="AX6016" i="1"/>
  <c r="AX6017" i="1"/>
  <c r="AX6018" i="1"/>
  <c r="AX6019" i="1"/>
  <c r="AX6020" i="1"/>
  <c r="AX6021" i="1"/>
  <c r="AX6022" i="1"/>
  <c r="AX6023" i="1"/>
  <c r="AX6024" i="1"/>
  <c r="AX6025" i="1"/>
  <c r="AX6026" i="1"/>
  <c r="AX6027" i="1"/>
  <c r="AX6028" i="1"/>
  <c r="AX6029" i="1"/>
  <c r="AX6030" i="1"/>
  <c r="AX6031" i="1"/>
  <c r="AX6032" i="1"/>
  <c r="AX6033" i="1"/>
  <c r="AX6034" i="1"/>
  <c r="AX6035" i="1"/>
  <c r="AX6036" i="1"/>
  <c r="AX6037" i="1"/>
  <c r="AX6038" i="1"/>
  <c r="AX6039" i="1"/>
  <c r="AX6040" i="1"/>
  <c r="AX6041" i="1"/>
  <c r="AX6042" i="1"/>
  <c r="AX6043" i="1"/>
  <c r="AX6044" i="1"/>
  <c r="AX6045" i="1"/>
  <c r="AX6046" i="1"/>
  <c r="AX6047" i="1"/>
  <c r="AX6048" i="1"/>
  <c r="AX6049" i="1"/>
  <c r="AX6050" i="1"/>
  <c r="AX6051" i="1"/>
  <c r="AX6052" i="1"/>
  <c r="AX6053" i="1"/>
  <c r="AX6054" i="1"/>
  <c r="AX6055" i="1"/>
  <c r="AX6056" i="1"/>
  <c r="AX6057" i="1"/>
  <c r="AX6058" i="1"/>
  <c r="AX6059" i="1"/>
  <c r="AX6060" i="1"/>
  <c r="AX6061" i="1"/>
  <c r="AX6062" i="1"/>
  <c r="AX6063" i="1"/>
  <c r="AX6064" i="1"/>
  <c r="AX6065" i="1"/>
  <c r="AX6066" i="1"/>
  <c r="AX6067" i="1"/>
  <c r="AX6068" i="1"/>
  <c r="AX6069" i="1"/>
  <c r="AX6070" i="1"/>
  <c r="AX6071" i="1"/>
  <c r="AX6072" i="1"/>
  <c r="AX6073" i="1"/>
  <c r="AX6074" i="1"/>
  <c r="AX6075" i="1"/>
  <c r="AX6076" i="1"/>
  <c r="AX6077" i="1"/>
  <c r="AX6078" i="1"/>
  <c r="AX6079" i="1"/>
  <c r="AX6080" i="1"/>
  <c r="AX6081" i="1"/>
  <c r="AX6082" i="1"/>
  <c r="AX6083" i="1"/>
  <c r="AX6084" i="1"/>
  <c r="AX6085" i="1"/>
  <c r="AX6086" i="1"/>
  <c r="AX6087" i="1"/>
  <c r="AX6088" i="1"/>
  <c r="AX6089" i="1"/>
  <c r="AX6090" i="1"/>
  <c r="AX6091" i="1"/>
  <c r="AX6092" i="1"/>
  <c r="AX6093" i="1"/>
  <c r="AX6094" i="1"/>
  <c r="AX6095" i="1"/>
  <c r="AX6096" i="1"/>
  <c r="AX6097" i="1"/>
  <c r="AX6098" i="1"/>
  <c r="AX6099" i="1"/>
  <c r="AX6100" i="1"/>
  <c r="AX6101" i="1"/>
  <c r="AX6102" i="1"/>
  <c r="AX6103" i="1"/>
  <c r="AX6104" i="1"/>
  <c r="AX6105" i="1"/>
  <c r="AX6106" i="1"/>
  <c r="AX6107" i="1"/>
  <c r="AX6108" i="1"/>
  <c r="AX6109" i="1"/>
  <c r="AX6110" i="1"/>
  <c r="AX6111" i="1"/>
  <c r="AX6112" i="1"/>
  <c r="AX6113" i="1"/>
  <c r="AX6114" i="1"/>
  <c r="AX6115" i="1"/>
  <c r="AX6116" i="1"/>
  <c r="AX6117" i="1"/>
  <c r="AX6118" i="1"/>
  <c r="AX6119" i="1"/>
  <c r="AX6120" i="1"/>
  <c r="AX6121" i="1"/>
  <c r="AX6122" i="1"/>
  <c r="AX6123" i="1"/>
  <c r="AX6124" i="1"/>
  <c r="AX6125" i="1"/>
  <c r="AX6126" i="1"/>
  <c r="AX6127" i="1"/>
  <c r="AX6128" i="1"/>
  <c r="AX6129" i="1"/>
  <c r="AX6130" i="1"/>
  <c r="AX6131" i="1"/>
  <c r="AX6132" i="1"/>
  <c r="AX6133" i="1"/>
  <c r="AX6134" i="1"/>
  <c r="AX6135" i="1"/>
  <c r="AX6136" i="1"/>
  <c r="AX6137" i="1"/>
  <c r="AX6138" i="1"/>
  <c r="AX6139" i="1"/>
  <c r="AX6140" i="1"/>
  <c r="AX6141" i="1"/>
  <c r="AX6142" i="1"/>
  <c r="AX6143" i="1"/>
  <c r="AX6144" i="1"/>
  <c r="AX6145" i="1"/>
  <c r="AX6146" i="1"/>
  <c r="AX6147" i="1"/>
  <c r="AX6148" i="1"/>
  <c r="AX6149" i="1"/>
  <c r="AX6150" i="1"/>
  <c r="AX6151" i="1"/>
  <c r="AX6152" i="1"/>
  <c r="AX6153" i="1"/>
  <c r="AX6154" i="1"/>
  <c r="AX6155" i="1"/>
  <c r="AX6156" i="1"/>
  <c r="AX6157" i="1"/>
  <c r="AX6158" i="1"/>
  <c r="AX6159" i="1"/>
  <c r="AX6160" i="1"/>
  <c r="AX6161" i="1"/>
  <c r="AX6162" i="1"/>
  <c r="AX6163" i="1"/>
  <c r="AX6164" i="1"/>
  <c r="AX6165" i="1"/>
  <c r="AX6166" i="1"/>
  <c r="AX6167" i="1"/>
  <c r="AX6168" i="1"/>
  <c r="AX6169" i="1"/>
  <c r="AX6170" i="1"/>
  <c r="AX6171" i="1"/>
  <c r="AX6172" i="1"/>
  <c r="AX6173" i="1"/>
  <c r="AX6174" i="1"/>
  <c r="AX6175" i="1"/>
  <c r="AX6176" i="1"/>
  <c r="AX6177" i="1"/>
  <c r="AX6178" i="1"/>
  <c r="AX6179" i="1"/>
  <c r="AX6180" i="1"/>
  <c r="AX6181" i="1"/>
  <c r="AX6182" i="1"/>
  <c r="AX6183" i="1"/>
  <c r="AX6184" i="1"/>
  <c r="AX6185" i="1"/>
  <c r="AX6186" i="1"/>
  <c r="AX6187" i="1"/>
  <c r="AX6188" i="1"/>
  <c r="AX6189" i="1"/>
  <c r="AX6190" i="1"/>
  <c r="AX6191" i="1"/>
  <c r="AX6192" i="1"/>
  <c r="AX6193" i="1"/>
  <c r="AX6194" i="1"/>
  <c r="AX6195" i="1"/>
  <c r="AX6196" i="1"/>
  <c r="AX6197" i="1"/>
  <c r="AX6198" i="1"/>
  <c r="AX6199" i="1"/>
  <c r="AX6200" i="1"/>
  <c r="AX6201" i="1"/>
  <c r="AX6202" i="1"/>
  <c r="AX6203" i="1"/>
  <c r="AX6204" i="1"/>
  <c r="AX6205" i="1"/>
  <c r="AX6206" i="1"/>
  <c r="AX6207" i="1"/>
  <c r="AX6208" i="1"/>
  <c r="AX6209" i="1"/>
  <c r="AX6210" i="1"/>
  <c r="AX6211" i="1"/>
  <c r="AX6212" i="1"/>
  <c r="AX6213" i="1"/>
  <c r="AX6214" i="1"/>
  <c r="AX6215" i="1"/>
  <c r="AX6216" i="1"/>
  <c r="AX6217" i="1"/>
  <c r="AX6218" i="1"/>
  <c r="AX6219" i="1"/>
  <c r="AX6220" i="1"/>
  <c r="AX6221" i="1"/>
  <c r="AX6222" i="1"/>
  <c r="AX6223" i="1"/>
  <c r="AX6224" i="1"/>
  <c r="AX6225" i="1"/>
  <c r="AX6226" i="1"/>
  <c r="AX6227" i="1"/>
  <c r="AX6228" i="1"/>
  <c r="AX6229" i="1"/>
  <c r="AX6230" i="1"/>
  <c r="AX6231" i="1"/>
  <c r="AX6232" i="1"/>
  <c r="AX6233" i="1"/>
  <c r="AX6234" i="1"/>
  <c r="AX6235" i="1"/>
  <c r="AX6236" i="1"/>
  <c r="AX6237" i="1"/>
  <c r="AX6238" i="1"/>
  <c r="AX6239" i="1"/>
  <c r="AX6240" i="1"/>
  <c r="AX6241" i="1"/>
  <c r="AX6242" i="1"/>
  <c r="AX6243" i="1"/>
  <c r="AX6244" i="1"/>
  <c r="AX6245" i="1"/>
  <c r="AX6246" i="1"/>
  <c r="AX6247" i="1"/>
  <c r="AX6248" i="1"/>
  <c r="AX6249" i="1"/>
  <c r="AX6250" i="1"/>
  <c r="AX6251" i="1"/>
  <c r="AX6252" i="1"/>
  <c r="AX6253" i="1"/>
  <c r="AX6254" i="1"/>
  <c r="AX6255" i="1"/>
  <c r="AX6256" i="1"/>
  <c r="AX6257" i="1"/>
  <c r="AX6258" i="1"/>
  <c r="AX6259" i="1"/>
  <c r="AX6260" i="1"/>
  <c r="AX6261" i="1"/>
  <c r="AX6262" i="1"/>
  <c r="AX6263" i="1"/>
  <c r="AX6264" i="1"/>
  <c r="AX6265" i="1"/>
  <c r="AX6266" i="1"/>
  <c r="AX6267" i="1"/>
  <c r="AX6268" i="1"/>
  <c r="AX6269" i="1"/>
  <c r="AX6270" i="1"/>
  <c r="AX6271" i="1"/>
  <c r="AX6272" i="1"/>
  <c r="AX6273" i="1"/>
  <c r="AX6274" i="1"/>
  <c r="AX6275" i="1"/>
  <c r="AX6276" i="1"/>
  <c r="AX6277" i="1"/>
  <c r="AX6278" i="1"/>
  <c r="AX6279" i="1"/>
  <c r="AX6280" i="1"/>
  <c r="AX6281" i="1"/>
  <c r="AX6282" i="1"/>
  <c r="AX6283" i="1"/>
  <c r="AX6284" i="1"/>
  <c r="AX6285" i="1"/>
  <c r="AX6286" i="1"/>
  <c r="AX6287" i="1"/>
  <c r="AX6288" i="1"/>
  <c r="AX6289" i="1"/>
  <c r="AX6290" i="1"/>
  <c r="AX6291" i="1"/>
  <c r="AX6292" i="1"/>
  <c r="AX6293" i="1"/>
  <c r="AX6294" i="1"/>
  <c r="AX6295" i="1"/>
  <c r="AX6296" i="1"/>
  <c r="AX6297" i="1"/>
  <c r="AX6298" i="1"/>
  <c r="AX6299" i="1"/>
  <c r="AX6300" i="1"/>
  <c r="AX6301" i="1"/>
  <c r="AX6302" i="1"/>
  <c r="AX6303" i="1"/>
  <c r="AX6304" i="1"/>
  <c r="AX6305" i="1"/>
  <c r="AX6306" i="1"/>
  <c r="AX6307" i="1"/>
  <c r="AX6308" i="1"/>
  <c r="AX6309" i="1"/>
  <c r="AX6310" i="1"/>
  <c r="AX6311" i="1"/>
  <c r="AX6312" i="1"/>
  <c r="AX6313" i="1"/>
  <c r="AX6314" i="1"/>
  <c r="AX6315" i="1"/>
  <c r="AX6316" i="1"/>
  <c r="AX6317" i="1"/>
  <c r="AX6318" i="1"/>
  <c r="AX6319" i="1"/>
  <c r="AX6320" i="1"/>
  <c r="AX6321" i="1"/>
  <c r="AX6322" i="1"/>
  <c r="AX6323" i="1"/>
  <c r="AX6324" i="1"/>
  <c r="AX6325" i="1"/>
  <c r="AX6326" i="1"/>
  <c r="AX6327" i="1"/>
  <c r="AX6328" i="1"/>
  <c r="AY10" i="1" l="1"/>
  <c r="AX10" i="1"/>
  <c r="J37" i="6" l="1"/>
  <c r="E37" i="6" l="1"/>
  <c r="D37" i="6"/>
  <c r="W4" i="10"/>
  <c r="F37" i="6" s="1"/>
  <c r="V4" i="10"/>
  <c r="U4" i="10"/>
  <c r="D24" i="6" l="1"/>
  <c r="AD3" i="7" l="1"/>
  <c r="E30" i="6" l="1"/>
  <c r="E34" i="6" l="1"/>
  <c r="E33" i="6"/>
  <c r="E32" i="6"/>
  <c r="E31" i="6"/>
  <c r="L3" i="9"/>
  <c r="E28" i="6" s="1"/>
  <c r="E29" i="6" l="1"/>
  <c r="L29" i="6" s="1"/>
  <c r="L18" i="6" l="1"/>
  <c r="AZ10" i="1" l="1"/>
  <c r="L12" i="6"/>
  <c r="K24" i="6" l="1"/>
  <c r="A1" i="6" s="1"/>
  <c r="S8" i="1" l="1"/>
  <c r="AE8" i="1"/>
  <c r="T8" i="1"/>
  <c r="AF8" i="1"/>
  <c r="AJ8" i="1"/>
  <c r="AN8" i="1"/>
  <c r="AV8" i="1"/>
  <c r="AU8" i="1" l="1"/>
  <c r="Q8" i="1" l="1"/>
  <c r="R8" i="1"/>
  <c r="AG8" i="1"/>
  <c r="AY8" i="1" l="1"/>
  <c r="AX8" i="1"/>
  <c r="G5" i="1" l="1"/>
  <c r="K6" i="6" s="1"/>
  <c r="J12" i="6" s="1"/>
  <c r="E12" i="6" l="1"/>
  <c r="G12" i="6"/>
  <c r="I12" i="6"/>
  <c r="D12" i="6" s="1"/>
  <c r="L24" i="6"/>
  <c r="K37" i="6" s="1"/>
  <c r="F12" i="6"/>
  <c r="A2" i="6" l="1"/>
  <c r="L37" i="6"/>
  <c r="A3" i="6" s="1"/>
  <c r="H12" i="6"/>
  <c r="E24" i="6"/>
  <c r="AZ8" i="1" l="1"/>
</calcChain>
</file>

<file path=xl/sharedStrings.xml><?xml version="1.0" encoding="utf-8"?>
<sst xmlns="http://schemas.openxmlformats.org/spreadsheetml/2006/main" count="187" uniqueCount="155">
  <si>
    <t xml:space="preserve"> 판매일 </t>
  </si>
  <si>
    <t>서류접수</t>
  </si>
  <si>
    <t>개통시간</t>
  </si>
  <si>
    <t xml:space="preserve"> CTN </t>
  </si>
  <si>
    <t xml:space="preserve"> 모델 </t>
  </si>
  <si>
    <t xml:space="preserve"> 가입구분 </t>
  </si>
  <si>
    <t xml:space="preserve"> 적용정책 </t>
  </si>
  <si>
    <t>액면단가</t>
  </si>
  <si>
    <t>현금입금</t>
  </si>
  <si>
    <t>계산서금액</t>
  </si>
  <si>
    <t>가입번호</t>
    <phoneticPr fontId="1" type="noConversion"/>
  </si>
  <si>
    <t>접수POS명</t>
    <phoneticPr fontId="1" type="noConversion"/>
  </si>
  <si>
    <t>실 판매점명</t>
    <phoneticPr fontId="1" type="noConversion"/>
  </si>
  <si>
    <t>최종 정산금액</t>
    <phoneticPr fontId="1" type="noConversion"/>
  </si>
  <si>
    <t>㈜수석네트웍스 정산리스트</t>
    <phoneticPr fontId="1" type="noConversion"/>
  </si>
  <si>
    <t>Code N</t>
    <phoneticPr fontId="1" type="noConversion"/>
  </si>
  <si>
    <t>필터링</t>
    <phoneticPr fontId="1" type="noConversion"/>
  </si>
  <si>
    <t>Ctrl+Shift+L</t>
    <phoneticPr fontId="1" type="noConversion"/>
  </si>
  <si>
    <t>숫자 9 클릭</t>
    <phoneticPr fontId="1" type="noConversion"/>
  </si>
  <si>
    <t>*중고,2ND 제외</t>
    <phoneticPr fontId="13" type="noConversion"/>
  </si>
  <si>
    <t>모바일</t>
    <phoneticPr fontId="13" type="noConversion"/>
  </si>
  <si>
    <t>MNP</t>
    <phoneticPr fontId="13" type="noConversion"/>
  </si>
  <si>
    <t>재가입</t>
    <phoneticPr fontId="13" type="noConversion"/>
  </si>
  <si>
    <t>정책기변</t>
    <phoneticPr fontId="13" type="noConversion"/>
  </si>
  <si>
    <t>합계</t>
    <phoneticPr fontId="13" type="noConversion"/>
  </si>
  <si>
    <t>중고</t>
    <phoneticPr fontId="13" type="noConversion"/>
  </si>
  <si>
    <t>2ND</t>
    <phoneticPr fontId="13" type="noConversion"/>
  </si>
  <si>
    <t>판매점</t>
    <phoneticPr fontId="13" type="noConversion"/>
  </si>
  <si>
    <t>실적</t>
    <phoneticPr fontId="13" type="noConversion"/>
  </si>
  <si>
    <t>2. 홈상품 판매 실적 현황</t>
    <phoneticPr fontId="13" type="noConversion"/>
  </si>
  <si>
    <t>1. 모바일 판매 실적 현황</t>
    <phoneticPr fontId="13" type="noConversion"/>
  </si>
  <si>
    <t>홈</t>
    <phoneticPr fontId="13" type="noConversion"/>
  </si>
  <si>
    <t>TV</t>
    <phoneticPr fontId="13" type="noConversion"/>
  </si>
  <si>
    <t>IoT</t>
    <phoneticPr fontId="13" type="noConversion"/>
  </si>
  <si>
    <t>재약정</t>
    <phoneticPr fontId="13" type="noConversion"/>
  </si>
  <si>
    <t>후결합</t>
    <phoneticPr fontId="13" type="noConversion"/>
  </si>
  <si>
    <t>소호</t>
    <phoneticPr fontId="13" type="noConversion"/>
  </si>
  <si>
    <t>3. 유심 현황</t>
    <phoneticPr fontId="13" type="noConversion"/>
  </si>
  <si>
    <t>분출 수량</t>
    <phoneticPr fontId="1" type="noConversion"/>
  </si>
  <si>
    <t>판매 수량</t>
    <phoneticPr fontId="1" type="noConversion"/>
  </si>
  <si>
    <t>잔여 개수</t>
    <phoneticPr fontId="1" type="noConversion"/>
  </si>
  <si>
    <t>3. 수수료 제외 내역</t>
    <phoneticPr fontId="13" type="noConversion"/>
  </si>
  <si>
    <t>총 계산서 금액</t>
    <phoneticPr fontId="1" type="noConversion"/>
  </si>
  <si>
    <t>총 정산 금액</t>
    <phoneticPr fontId="1" type="noConversion"/>
  </si>
  <si>
    <t xml:space="preserve"> ㈜수석네트웍스 수수료 정산 내역서</t>
    <phoneticPr fontId="1" type="noConversion"/>
  </si>
  <si>
    <t>모바일 수수료 합계금</t>
    <phoneticPr fontId="1" type="noConversion"/>
  </si>
  <si>
    <t>홈 상품 수수료 합계금</t>
    <phoneticPr fontId="1" type="noConversion"/>
  </si>
  <si>
    <t>수수료 제외 합계금</t>
    <phoneticPr fontId="1" type="noConversion"/>
  </si>
  <si>
    <t>유심 지급 합계금</t>
    <phoneticPr fontId="1" type="noConversion"/>
  </si>
  <si>
    <t>유심 분출 합계금</t>
    <phoneticPr fontId="1" type="noConversion"/>
  </si>
  <si>
    <t>신규</t>
    <phoneticPr fontId="13" type="noConversion"/>
  </si>
  <si>
    <t>최종요금제명</t>
    <phoneticPr fontId="1" type="noConversion"/>
  </si>
  <si>
    <t>홈 비중 달성금</t>
    <phoneticPr fontId="1" type="noConversion"/>
  </si>
  <si>
    <t xml:space="preserve"> 고객명 </t>
    <phoneticPr fontId="1" type="noConversion"/>
  </si>
  <si>
    <t>매입금액</t>
    <phoneticPr fontId="1" type="noConversion"/>
  </si>
  <si>
    <t>총 R/B</t>
    <phoneticPr fontId="1" type="noConversion"/>
  </si>
  <si>
    <t>MNP수수료</t>
  </si>
  <si>
    <t>환수종류</t>
  </si>
  <si>
    <t>가입번호</t>
  </si>
  <si>
    <t>실 판매점명</t>
  </si>
  <si>
    <t xml:space="preserve"> 고객명 </t>
  </si>
  <si>
    <t>최종요금제명</t>
  </si>
  <si>
    <t>가입구분</t>
  </si>
  <si>
    <t>실판매점</t>
  </si>
  <si>
    <t>고객명</t>
  </si>
  <si>
    <t>가입일</t>
  </si>
  <si>
    <t>설치완료일</t>
  </si>
  <si>
    <t>비중차감</t>
  </si>
  <si>
    <t>정책기변차감</t>
  </si>
  <si>
    <t>선약 차감</t>
  </si>
  <si>
    <t>月 Gr.</t>
  </si>
  <si>
    <t>환수금액</t>
    <phoneticPr fontId="1" type="noConversion"/>
  </si>
  <si>
    <t>해지일/변경일</t>
    <phoneticPr fontId="1" type="noConversion"/>
  </si>
  <si>
    <t>비고</t>
    <phoneticPr fontId="1" type="noConversion"/>
  </si>
  <si>
    <t>일련번호</t>
    <phoneticPr fontId="1" type="noConversion"/>
  </si>
  <si>
    <t>현금판매금</t>
  </si>
  <si>
    <t>완납 유무</t>
  </si>
  <si>
    <t>총 합계</t>
    <phoneticPr fontId="1" type="noConversion"/>
  </si>
  <si>
    <t>이상영업</t>
    <phoneticPr fontId="1" type="noConversion"/>
  </si>
  <si>
    <t>단말이상</t>
    <phoneticPr fontId="1" type="noConversion"/>
  </si>
  <si>
    <t>단기해지</t>
    <phoneticPr fontId="1" type="noConversion"/>
  </si>
  <si>
    <t>요금제하향</t>
    <phoneticPr fontId="1" type="noConversion"/>
  </si>
  <si>
    <t>기간내
요금제 하향</t>
    <phoneticPr fontId="1" type="noConversion"/>
  </si>
  <si>
    <t>부가서비스
기한 내 해지</t>
    <phoneticPr fontId="1" type="noConversion"/>
  </si>
  <si>
    <t>기간내
해지</t>
    <phoneticPr fontId="1" type="noConversion"/>
  </si>
  <si>
    <t>총 합계</t>
    <phoneticPr fontId="1" type="noConversion"/>
  </si>
  <si>
    <t>민원</t>
    <phoneticPr fontId="1" type="noConversion"/>
  </si>
  <si>
    <t>2차 불만콜</t>
    <phoneticPr fontId="1" type="noConversion"/>
  </si>
  <si>
    <t>스캔반환</t>
    <phoneticPr fontId="1" type="noConversion"/>
  </si>
  <si>
    <t>가개통</t>
    <phoneticPr fontId="1" type="noConversion"/>
  </si>
  <si>
    <t>원스톱/업셀유무</t>
  </si>
  <si>
    <t>기변타켓C 차감</t>
  </si>
  <si>
    <t>단말 일련번호</t>
  </si>
  <si>
    <t>청소년 차감</t>
  </si>
  <si>
    <t>TV요금제</t>
  </si>
  <si>
    <t>고객번호</t>
  </si>
  <si>
    <t>인터넷</t>
  </si>
  <si>
    <t>TV1(요금제&amp;셋탑)</t>
  </si>
  <si>
    <t>TV2(요금제&amp;셋탑)</t>
  </si>
  <si>
    <t>070 &amp; IOT</t>
  </si>
  <si>
    <t>기본R/B</t>
  </si>
  <si>
    <t>사운드바</t>
  </si>
  <si>
    <t>셋톱추가(부셋탑, IOT, 티비프리)</t>
  </si>
  <si>
    <t>원스톱</t>
  </si>
  <si>
    <t>합계</t>
  </si>
  <si>
    <t>영화월정액 지급/차감</t>
  </si>
  <si>
    <t>유심판매</t>
    <phoneticPr fontId="1" type="noConversion"/>
  </si>
  <si>
    <t>유심추가</t>
    <phoneticPr fontId="1" type="noConversion"/>
  </si>
  <si>
    <t>수정내용</t>
    <phoneticPr fontId="1" type="noConversion"/>
  </si>
  <si>
    <t>매입</t>
    <phoneticPr fontId="1" type="noConversion"/>
  </si>
  <si>
    <t>매출</t>
    <phoneticPr fontId="1" type="noConversion"/>
  </si>
  <si>
    <t>수정금액</t>
    <phoneticPr fontId="1" type="noConversion"/>
  </si>
  <si>
    <t>소급분</t>
    <phoneticPr fontId="1" type="noConversion"/>
  </si>
  <si>
    <t>매입</t>
    <phoneticPr fontId="1" type="noConversion"/>
  </si>
  <si>
    <t>매출</t>
    <phoneticPr fontId="1" type="noConversion"/>
  </si>
  <si>
    <t>금액</t>
    <phoneticPr fontId="1" type="noConversion"/>
  </si>
  <si>
    <t>영화월정액 가입내역</t>
  </si>
  <si>
    <t>단기기변 차감</t>
  </si>
  <si>
    <t>B.Gr</t>
    <phoneticPr fontId="1" type="noConversion"/>
  </si>
  <si>
    <t>보험 지급/차감</t>
  </si>
  <si>
    <t>보험 가입내역</t>
  </si>
  <si>
    <t>전략모델선택약정차감</t>
  </si>
  <si>
    <t>시간대별추가/ 축소</t>
  </si>
  <si>
    <t>텍스트추가</t>
  </si>
  <si>
    <t>010신규</t>
  </si>
  <si>
    <t>워치 모단말115 추가</t>
    <phoneticPr fontId="1" type="noConversion"/>
  </si>
  <si>
    <t>폰교체패스</t>
    <phoneticPr fontId="1" type="noConversion"/>
  </si>
  <si>
    <t>폰안심패스</t>
    <phoneticPr fontId="1" type="noConversion"/>
  </si>
  <si>
    <t>폰교체슬림</t>
    <phoneticPr fontId="1" type="noConversion"/>
  </si>
  <si>
    <t>프리미엄</t>
    <phoneticPr fontId="1" type="noConversion"/>
  </si>
  <si>
    <t>베이직</t>
    <phoneticPr fontId="1" type="noConversion"/>
  </si>
  <si>
    <t>버디 요금제차감</t>
    <phoneticPr fontId="1" type="noConversion"/>
  </si>
  <si>
    <t>유통망지원금 추가</t>
  </si>
  <si>
    <t xml:space="preserve">  </t>
    <phoneticPr fontId="1" type="noConversion"/>
  </si>
  <si>
    <t>액면OR합산</t>
    <phoneticPr fontId="1" type="noConversion"/>
  </si>
  <si>
    <t>유통망지원금</t>
  </si>
  <si>
    <t>모바일가입번호</t>
  </si>
  <si>
    <t>모바일명의자</t>
  </si>
  <si>
    <t>티빙/멀티팩 차감</t>
  </si>
  <si>
    <t>아이폰16류청소년기변</t>
  </si>
  <si>
    <t>요금제 차감/추가</t>
    <phoneticPr fontId="1" type="noConversion"/>
  </si>
  <si>
    <t>V컬 벨링모아 지급/차감</t>
  </si>
  <si>
    <t>V컬 벨링모아 가입내역</t>
  </si>
  <si>
    <t>V컬러링 음악감상플러스</t>
    <phoneticPr fontId="1" type="noConversion"/>
  </si>
  <si>
    <t>벨링모아</t>
    <phoneticPr fontId="1" type="noConversion"/>
  </si>
  <si>
    <t>115선약차감</t>
  </si>
  <si>
    <t>인터넷요금제</t>
  </si>
  <si>
    <t>이월설치</t>
  </si>
  <si>
    <t>유선추가</t>
  </si>
  <si>
    <t>신모델/모바일개통일</t>
  </si>
  <si>
    <t>※이달 정산금 지급일은 20일(토) 입니다.</t>
    <phoneticPr fontId="1" type="noConversion"/>
  </si>
  <si>
    <t>요금제 차감/추가</t>
  </si>
  <si>
    <t>MPS</t>
  </si>
  <si>
    <t>가구단위MNP</t>
  </si>
  <si>
    <t>주말SPOT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</si>
</sst>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###,###"/>
  </numFmts>
  <fonts count="3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8"/>
      <color theme="0" tint="-4.9989318521683403E-2"/>
      <name val="맑은 고딕"/>
      <family val="2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3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MS Sans Serif"/>
      <family val="2"/>
    </font>
    <font>
      <b/>
      <sz val="2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0" tint="-0.34998626667073579"/>
      <name val="맑은 고딕"/>
      <family val="2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indexed="23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0" fontId="17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0" fillId="2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7" fillId="6" borderId="0" xfId="0" applyFont="1" applyFill="1">
      <alignment vertical="center"/>
    </xf>
    <xf numFmtId="176" fontId="3" fillId="3" borderId="4" xfId="0" applyNumberFormat="1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9" fillId="8" borderId="6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0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41" fontId="14" fillId="0" borderId="8" xfId="0" applyNumberFormat="1" applyFont="1" applyBorder="1" applyAlignment="1">
      <alignment horizontal="center" vertical="center"/>
    </xf>
    <xf numFmtId="41" fontId="14" fillId="10" borderId="8" xfId="0" applyNumberFormat="1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41" fontId="14" fillId="7" borderId="11" xfId="0" applyNumberFormat="1" applyFont="1" applyFill="1" applyBorder="1" applyAlignment="1">
      <alignment horizontal="center" vertical="center"/>
    </xf>
    <xf numFmtId="41" fontId="14" fillId="7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14" fillId="11" borderId="23" xfId="0" applyFont="1" applyFill="1" applyBorder="1" applyAlignment="1">
      <alignment horizontal="center" vertical="center"/>
    </xf>
    <xf numFmtId="0" fontId="5" fillId="11" borderId="23" xfId="0" applyFont="1" applyFill="1" applyBorder="1" applyAlignment="1">
      <alignment horizontal="center" vertical="center"/>
    </xf>
    <xf numFmtId="0" fontId="14" fillId="12" borderId="8" xfId="0" applyFont="1" applyFill="1" applyBorder="1" applyAlignment="1">
      <alignment horizontal="center" vertical="center"/>
    </xf>
    <xf numFmtId="0" fontId="14" fillId="12" borderId="8" xfId="0" quotePrefix="1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4" borderId="4" xfId="0" applyNumberFormat="1" applyFill="1" applyBorder="1" applyAlignment="1">
      <alignment horizontal="center" vertical="center"/>
    </xf>
    <xf numFmtId="177" fontId="0" fillId="5" borderId="2" xfId="0" applyNumberFormat="1" applyFill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8" fillId="0" borderId="0" xfId="0" applyNumberFormat="1" applyFont="1">
      <alignment vertical="center"/>
    </xf>
    <xf numFmtId="177" fontId="14" fillId="0" borderId="24" xfId="1" applyNumberFormat="1" applyFont="1" applyBorder="1" applyAlignment="1">
      <alignment vertical="center"/>
    </xf>
    <xf numFmtId="0" fontId="11" fillId="0" borderId="12" xfId="0" applyFont="1" applyBorder="1" applyAlignment="1">
      <alignment horizontal="left" vertical="center"/>
    </xf>
    <xf numFmtId="0" fontId="0" fillId="0" borderId="25" xfId="0" applyBorder="1">
      <alignment vertical="center"/>
    </xf>
    <xf numFmtId="0" fontId="5" fillId="0" borderId="2" xfId="0" applyFont="1" applyBorder="1" applyAlignment="1">
      <alignment horizontal="center" vertical="center"/>
    </xf>
    <xf numFmtId="177" fontId="5" fillId="0" borderId="24" xfId="0" applyNumberFormat="1" applyFont="1" applyBorder="1">
      <alignment vertical="center"/>
    </xf>
    <xf numFmtId="177" fontId="5" fillId="0" borderId="24" xfId="0" applyNumberFormat="1" applyFont="1" applyBorder="1" applyAlignment="1">
      <alignment horizontal="right" vertical="center"/>
    </xf>
    <xf numFmtId="177" fontId="5" fillId="0" borderId="5" xfId="0" applyNumberFormat="1" applyFont="1" applyBorder="1">
      <alignment vertical="center"/>
    </xf>
    <xf numFmtId="177" fontId="5" fillId="0" borderId="22" xfId="0" applyNumberFormat="1" applyFont="1" applyBorder="1">
      <alignment vertical="center"/>
    </xf>
    <xf numFmtId="176" fontId="0" fillId="0" borderId="4" xfId="0" applyNumberForma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0" fillId="14" borderId="4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7" fontId="0" fillId="7" borderId="2" xfId="0" applyNumberFormat="1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177" fontId="0" fillId="5" borderId="4" xfId="0" applyNumberFormat="1" applyFill="1" applyBorder="1" applyAlignment="1">
      <alignment horizontal="center" vertical="center"/>
    </xf>
    <xf numFmtId="177" fontId="0" fillId="4" borderId="2" xfId="0" applyNumberFormat="1" applyFill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6" fontId="0" fillId="3" borderId="4" xfId="0" applyNumberForma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0" fillId="3" borderId="2" xfId="0" applyFill="1" applyBorder="1" applyAlignment="1">
      <alignment horizontal="center" vertical="center"/>
    </xf>
    <xf numFmtId="0" fontId="4" fillId="7" borderId="0" xfId="0" applyFont="1" applyFill="1">
      <alignment vertical="center"/>
    </xf>
    <xf numFmtId="177" fontId="0" fillId="14" borderId="28" xfId="0" applyNumberFormat="1" applyFill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7" fontId="5" fillId="0" borderId="29" xfId="0" applyNumberFormat="1" applyFont="1" applyBorder="1" applyAlignment="1">
      <alignment horizontal="right" vertical="center"/>
    </xf>
    <xf numFmtId="0" fontId="1" fillId="0" borderId="0" xfId="0" applyFont="1">
      <alignment vertical="center"/>
    </xf>
    <xf numFmtId="0" fontId="1" fillId="7" borderId="0" xfId="0" applyFont="1" applyFill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7" fontId="0" fillId="5" borderId="30" xfId="0" applyNumberFormat="1" applyFill="1" applyBorder="1" applyAlignment="1">
      <alignment horizontal="center" vertical="center"/>
    </xf>
    <xf numFmtId="41" fontId="0" fillId="0" borderId="0" xfId="2" applyFont="1">
      <alignment vertical="center"/>
    </xf>
    <xf numFmtId="41" fontId="5" fillId="0" borderId="25" xfId="2" applyFont="1" applyBorder="1" applyAlignment="1">
      <alignment horizontal="center" vertical="center"/>
    </xf>
    <xf numFmtId="0" fontId="9" fillId="15" borderId="12" xfId="0" applyFont="1" applyFill="1" applyBorder="1" applyAlignment="1">
      <alignment horizontal="center" vertical="center"/>
    </xf>
    <xf numFmtId="0" fontId="0" fillId="11" borderId="3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 wrapText="1"/>
    </xf>
    <xf numFmtId="0" fontId="0" fillId="12" borderId="21" xfId="0" applyFill="1" applyBorder="1" applyAlignment="1">
      <alignment horizontal="center" vertical="center" wrapText="1"/>
    </xf>
    <xf numFmtId="0" fontId="0" fillId="11" borderId="21" xfId="0" applyFill="1" applyBorder="1" applyAlignment="1">
      <alignment horizontal="center" vertical="center" wrapText="1"/>
    </xf>
    <xf numFmtId="0" fontId="0" fillId="12" borderId="32" xfId="0" applyFill="1" applyBorder="1" applyAlignment="1">
      <alignment horizontal="center" vertical="center"/>
    </xf>
    <xf numFmtId="0" fontId="2" fillId="11" borderId="32" xfId="0" applyFont="1" applyFill="1" applyBorder="1" applyAlignment="1">
      <alignment horizontal="center" vertical="center"/>
    </xf>
    <xf numFmtId="41" fontId="5" fillId="0" borderId="0" xfId="2" applyFont="1">
      <alignment vertical="center"/>
    </xf>
    <xf numFmtId="41" fontId="5" fillId="0" borderId="25" xfId="2" applyFont="1" applyBorder="1">
      <alignment vertical="center"/>
    </xf>
    <xf numFmtId="0" fontId="5" fillId="2" borderId="21" xfId="0" applyFont="1" applyFill="1" applyBorder="1" applyAlignment="1">
      <alignment horizontal="center" vertical="center"/>
    </xf>
    <xf numFmtId="41" fontId="5" fillId="2" borderId="21" xfId="2" applyFont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9" fillId="16" borderId="12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left" vertical="center"/>
    </xf>
    <xf numFmtId="177" fontId="0" fillId="14" borderId="32" xfId="0" applyNumberFormat="1" applyFill="1" applyBorder="1" applyAlignment="1">
      <alignment horizontal="center" vertical="center"/>
    </xf>
    <xf numFmtId="0" fontId="0" fillId="17" borderId="32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77" fontId="0" fillId="18" borderId="4" xfId="0" applyNumberFormat="1" applyFill="1" applyBorder="1" applyAlignment="1">
      <alignment horizontal="center" vertical="center"/>
    </xf>
    <xf numFmtId="177" fontId="0" fillId="18" borderId="2" xfId="0" applyNumberFormat="1" applyFill="1" applyBorder="1" applyAlignment="1">
      <alignment horizontal="center" vertical="center"/>
    </xf>
    <xf numFmtId="177" fontId="0" fillId="0" borderId="32" xfId="0" applyNumberFormat="1" applyBorder="1" applyAlignment="1">
      <alignment horizontal="center" vertical="center"/>
    </xf>
    <xf numFmtId="176" fontId="0" fillId="17" borderId="32" xfId="0" applyNumberFormat="1" applyFill="1" applyBorder="1" applyAlignment="1">
      <alignment horizontal="center" vertical="center"/>
    </xf>
    <xf numFmtId="177" fontId="0" fillId="14" borderId="2" xfId="0" applyNumberFormat="1" applyFill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9" fillId="13" borderId="12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center" vertical="center"/>
    </xf>
    <xf numFmtId="0" fontId="9" fillId="13" borderId="22" xfId="0" applyFont="1" applyFill="1" applyBorder="1" applyAlignment="1">
      <alignment horizontal="center" vertical="center"/>
    </xf>
    <xf numFmtId="0" fontId="9" fillId="15" borderId="36" xfId="0" applyFont="1" applyFill="1" applyBorder="1" applyAlignment="1">
      <alignment horizontal="center" vertical="center"/>
    </xf>
    <xf numFmtId="177" fontId="4" fillId="0" borderId="0" xfId="0" applyNumberFormat="1" applyFont="1">
      <alignment vertical="center"/>
    </xf>
    <xf numFmtId="0" fontId="0" fillId="0" borderId="32" xfId="0" applyBorder="1" applyAlignment="1">
      <alignment horizontal="center" vertical="center"/>
    </xf>
    <xf numFmtId="176" fontId="0" fillId="0" borderId="32" xfId="0" applyNumberFormat="1" applyBorder="1" applyAlignment="1">
      <alignment horizontal="center" vertical="center"/>
    </xf>
    <xf numFmtId="14" fontId="0" fillId="0" borderId="32" xfId="0" applyNumberFormat="1" applyBorder="1" applyAlignment="1">
      <alignment horizontal="center" vertical="center"/>
    </xf>
    <xf numFmtId="0" fontId="0" fillId="20" borderId="32" xfId="0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41" fontId="0" fillId="19" borderId="32" xfId="0" applyNumberFormat="1" applyFill="1" applyBorder="1">
      <alignment vertical="center"/>
    </xf>
    <xf numFmtId="0" fontId="0" fillId="0" borderId="12" xfId="0" applyBorder="1" applyAlignment="1">
      <alignment horizontal="center" vertical="center"/>
    </xf>
    <xf numFmtId="41" fontId="0" fillId="19" borderId="32" xfId="2" applyFont="1" applyFill="1" applyBorder="1" applyAlignment="1">
      <alignment horizontal="center" vertical="center"/>
    </xf>
    <xf numFmtId="41" fontId="9" fillId="8" borderId="32" xfId="2" applyFont="1" applyFill="1" applyBorder="1" applyAlignment="1">
      <alignment horizontal="center" vertical="center"/>
    </xf>
    <xf numFmtId="41" fontId="9" fillId="8" borderId="32" xfId="2" applyFont="1" applyFill="1" applyBorder="1">
      <alignment vertical="center"/>
    </xf>
    <xf numFmtId="177" fontId="0" fillId="18" borderId="32" xfId="0" applyNumberFormat="1" applyFill="1" applyBorder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177" fontId="0" fillId="18" borderId="31" xfId="0" applyNumberFormat="1" applyFill="1" applyBorder="1" applyAlignment="1">
      <alignment horizontal="center" vertical="center"/>
    </xf>
    <xf numFmtId="177" fontId="0" fillId="18" borderId="30" xfId="0" applyNumberFormat="1" applyFill="1" applyBorder="1" applyAlignment="1">
      <alignment horizontal="center" vertical="center"/>
    </xf>
    <xf numFmtId="177" fontId="0" fillId="5" borderId="28" xfId="0" applyNumberFormat="1" applyFill="1" applyBorder="1" applyAlignment="1">
      <alignment horizontal="center" vertical="center"/>
    </xf>
    <xf numFmtId="177" fontId="0" fillId="5" borderId="32" xfId="0" applyNumberForma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177" fontId="0" fillId="0" borderId="0" xfId="0" applyNumberFormat="1" applyAlignment="1">
      <alignment horizontal="center" vertical="center"/>
    </xf>
    <xf numFmtId="177" fontId="29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41" fontId="9" fillId="22" borderId="32" xfId="2" applyFont="1" applyFill="1" applyBorder="1" applyAlignment="1">
      <alignment horizontal="center" vertical="center"/>
    </xf>
    <xf numFmtId="177" fontId="0" fillId="0" borderId="33" xfId="0" applyNumberFormat="1" applyBorder="1" applyAlignment="1">
      <alignment horizontal="center" vertical="center"/>
    </xf>
    <xf numFmtId="177" fontId="0" fillId="0" borderId="34" xfId="0" applyNumberFormat="1" applyBorder="1" applyAlignment="1">
      <alignment horizontal="center" vertical="center"/>
    </xf>
    <xf numFmtId="177" fontId="0" fillId="0" borderId="32" xfId="0" applyNumberForma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3">
    <cellStyle name="_P" xfId="1" xr:uid="{00000000-0005-0000-0000-000000000000}"/>
    <cellStyle name="쉼표 [0]" xfId="2" builtinId="6"/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-0.249977111117893"/>
  </sheetPr>
  <dimension ref="A1:M42"/>
  <sheetViews>
    <sheetView showGridLines="0" zoomScale="85" zoomScaleNormal="85" workbookViewId="0">
      <selection activeCell="C2" sqref="C2:L4"/>
    </sheetView>
  </sheetViews>
  <sheetFormatPr defaultRowHeight="16.5"/>
  <cols>
    <col min="2" max="2" width="4.625" customWidth="1"/>
    <col min="3" max="3" width="11.125" customWidth="1"/>
    <col min="4" max="9" width="9.125" customWidth="1"/>
    <col min="10" max="10" width="20.125" customWidth="1"/>
    <col min="11" max="11" width="18.25" bestFit="1" customWidth="1"/>
    <col min="12" max="12" width="19.25" customWidth="1"/>
    <col min="13" max="13" width="4.625" customWidth="1"/>
  </cols>
  <sheetData>
    <row r="1" spans="1:13">
      <c r="A1" s="115">
        <f>$J$37</f>
        <v>0</v>
      </c>
    </row>
    <row r="2" spans="1:13" ht="16.5" customHeight="1">
      <c r="A2" s="115">
        <f ca="1">$K$37</f>
        <v>0</v>
      </c>
      <c r="C2" s="144" t="s">
        <v>44</v>
      </c>
      <c r="D2" s="144"/>
      <c r="E2" s="144"/>
      <c r="F2" s="144"/>
      <c r="G2" s="144"/>
      <c r="H2" s="144"/>
      <c r="I2" s="144"/>
      <c r="J2" s="144"/>
      <c r="K2" s="144"/>
      <c r="L2" s="144"/>
    </row>
    <row r="3" spans="1:13" ht="16.5" customHeight="1">
      <c r="A3" s="115">
        <f ca="1">$L$37</f>
        <v>0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</row>
    <row r="4" spans="1:13" ht="17.25" customHeight="1" thickBot="1">
      <c r="C4" s="145"/>
      <c r="D4" s="145"/>
      <c r="E4" s="145"/>
      <c r="F4" s="145"/>
      <c r="G4" s="145"/>
      <c r="H4" s="145"/>
      <c r="I4" s="145"/>
      <c r="J4" s="145"/>
      <c r="K4" s="145"/>
      <c r="L4" s="145"/>
    </row>
    <row r="5" spans="1:13" ht="18" thickTop="1" thickBot="1"/>
    <row r="6" spans="1:13" ht="18" thickTop="1" thickBot="1">
      <c r="C6" s="146"/>
      <c r="D6" s="146"/>
      <c r="J6" s="20" t="s">
        <v>27</v>
      </c>
      <c r="K6" s="51">
        <f>정산리스트!G5</f>
        <v>0</v>
      </c>
      <c r="L6" s="52"/>
    </row>
    <row r="7" spans="1:13" ht="18" thickTop="1" thickBot="1"/>
    <row r="8" spans="1:13" ht="17.25" thickTop="1"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2"/>
    </row>
    <row r="9" spans="1:13" ht="19.5">
      <c r="B9" s="33"/>
      <c r="C9" s="29" t="s">
        <v>30</v>
      </c>
      <c r="D9" s="28"/>
      <c r="E9" s="28"/>
      <c r="F9" s="28"/>
      <c r="G9" s="28"/>
      <c r="H9" s="28"/>
      <c r="I9" s="28"/>
      <c r="J9" s="28"/>
      <c r="K9" s="28"/>
      <c r="L9" s="17"/>
      <c r="M9" s="34"/>
    </row>
    <row r="10" spans="1:13" ht="17.25" thickBot="1">
      <c r="B10" s="33"/>
      <c r="C10" s="28"/>
      <c r="D10" s="28"/>
      <c r="E10" s="28"/>
      <c r="F10" s="28"/>
      <c r="G10" s="28"/>
      <c r="H10" s="18" t="s">
        <v>19</v>
      </c>
      <c r="I10" s="28"/>
      <c r="J10" s="28"/>
      <c r="K10" s="28"/>
      <c r="L10" s="19"/>
      <c r="M10" s="34"/>
    </row>
    <row r="11" spans="1:13">
      <c r="B11" s="33"/>
      <c r="C11" s="41" t="s">
        <v>20</v>
      </c>
      <c r="D11" s="42" t="s">
        <v>50</v>
      </c>
      <c r="E11" s="41" t="s">
        <v>21</v>
      </c>
      <c r="F11" s="41" t="s">
        <v>22</v>
      </c>
      <c r="G11" s="41" t="s">
        <v>23</v>
      </c>
      <c r="H11" s="41" t="s">
        <v>24</v>
      </c>
      <c r="I11" s="41" t="s">
        <v>25</v>
      </c>
      <c r="J11" s="43" t="s">
        <v>26</v>
      </c>
      <c r="K11" s="35"/>
      <c r="L11" s="39" t="s">
        <v>45</v>
      </c>
      <c r="M11" s="34"/>
    </row>
    <row r="12" spans="1:13" ht="17.25" thickBot="1">
      <c r="B12" s="33"/>
      <c r="C12" s="21" t="s">
        <v>28</v>
      </c>
      <c r="D12" s="22">
        <f>COUNTIFS(정산리스트!$G:$G,'수수료 정산 내역서'!$K$6,정산리스트!$O:$O,'수수료 정산 내역서'!D11)-$I$12-$J$12</f>
        <v>0</v>
      </c>
      <c r="E12" s="22">
        <f>COUNTIFS(정산리스트!$G:$G,'수수료 정산 내역서'!$K$6,정산리스트!$O:$O,'수수료 정산 내역서'!E11)</f>
        <v>0</v>
      </c>
      <c r="F12" s="22">
        <f>COUNTIFS(정산리스트!$G:$G,'수수료 정산 내역서'!$K$6,정산리스트!$O:$O,'수수료 정산 내역서'!F11)</f>
        <v>0</v>
      </c>
      <c r="G12" s="22">
        <f>COUNTIFS(정산리스트!$G:$G,'수수료 정산 내역서'!$K$6,정산리스트!$O:$O,'수수료 정산 내역서'!G11)</f>
        <v>0</v>
      </c>
      <c r="H12" s="23">
        <f>SUM(D12:G12)</f>
        <v>0</v>
      </c>
      <c r="I12" s="22">
        <f>COUNTIFS(정산리스트!$G:$G,'수수료 정산 내역서'!$K$6,정산리스트!$O:$O,'수수료 정산 내역서'!I11)</f>
        <v>0</v>
      </c>
      <c r="J12" s="22">
        <f>COUNTIFS(정산리스트!$G:$G,'수수료 정산 내역서'!$K$6,정산리스트!$O:$O,'수수료 정산 내역서'!J11)</f>
        <v>0</v>
      </c>
      <c r="K12" s="28"/>
      <c r="L12" s="50">
        <f>SUM(정산리스트!AX10:AX5000)</f>
        <v>0</v>
      </c>
      <c r="M12" s="34"/>
    </row>
    <row r="13" spans="1:13">
      <c r="B13" s="33"/>
      <c r="C13" s="35"/>
      <c r="D13" s="35"/>
      <c r="E13" s="35"/>
      <c r="F13" s="35"/>
      <c r="G13" s="35"/>
      <c r="H13" s="35"/>
      <c r="I13" s="35"/>
      <c r="J13" s="35"/>
      <c r="K13" s="35"/>
      <c r="M13" s="34"/>
    </row>
    <row r="14" spans="1:13">
      <c r="B14" s="33"/>
      <c r="C14" s="35"/>
      <c r="D14" s="35"/>
      <c r="E14" s="35"/>
      <c r="F14" s="35"/>
      <c r="G14" s="35"/>
      <c r="H14" s="35"/>
      <c r="I14" s="35"/>
      <c r="J14" s="35"/>
      <c r="K14" s="35"/>
      <c r="M14" s="34"/>
    </row>
    <row r="15" spans="1:13" ht="19.5">
      <c r="B15" s="33"/>
      <c r="C15" s="29" t="s">
        <v>29</v>
      </c>
      <c r="D15" s="35"/>
      <c r="E15" s="35"/>
      <c r="F15" s="35"/>
      <c r="G15" s="35"/>
      <c r="H15" s="35"/>
      <c r="I15" s="35"/>
      <c r="J15" s="35"/>
      <c r="K15" s="35"/>
      <c r="M15" s="34"/>
    </row>
    <row r="16" spans="1:13" ht="17.25" thickBot="1">
      <c r="B16" s="33"/>
      <c r="C16" s="35"/>
      <c r="D16" s="35"/>
      <c r="E16" s="35"/>
      <c r="F16" s="35"/>
      <c r="G16" s="35"/>
      <c r="H16" s="35"/>
      <c r="I16" s="35"/>
      <c r="J16" s="35"/>
      <c r="K16" s="35"/>
      <c r="M16" s="34"/>
    </row>
    <row r="17" spans="2:13">
      <c r="B17" s="33"/>
      <c r="C17" s="41" t="s">
        <v>31</v>
      </c>
      <c r="D17" s="42" t="s">
        <v>32</v>
      </c>
      <c r="E17" s="41" t="s">
        <v>33</v>
      </c>
      <c r="F17" s="41" t="s">
        <v>34</v>
      </c>
      <c r="G17" s="41" t="s">
        <v>35</v>
      </c>
      <c r="H17" s="41" t="s">
        <v>36</v>
      </c>
      <c r="I17" s="24"/>
      <c r="J17" s="25"/>
      <c r="K17" s="35"/>
      <c r="L17" s="40" t="s">
        <v>46</v>
      </c>
      <c r="M17" s="34"/>
    </row>
    <row r="18" spans="2:13" ht="17.25" thickBot="1">
      <c r="B18" s="33"/>
      <c r="C18" s="21"/>
      <c r="D18" s="22"/>
      <c r="E18" s="22"/>
      <c r="F18" s="22"/>
      <c r="G18" s="22"/>
      <c r="H18" s="23"/>
      <c r="I18" s="26"/>
      <c r="J18" s="27"/>
      <c r="K18" s="35"/>
      <c r="L18" s="54">
        <f>홈정산!AD3</f>
        <v>0</v>
      </c>
      <c r="M18" s="34"/>
    </row>
    <row r="19" spans="2:13">
      <c r="B19" s="33"/>
      <c r="C19" s="35"/>
      <c r="D19" s="35"/>
      <c r="E19" s="35"/>
      <c r="F19" s="35"/>
      <c r="G19" s="35"/>
      <c r="H19" s="35"/>
      <c r="I19" s="35"/>
      <c r="J19" s="35"/>
      <c r="K19" s="35"/>
      <c r="M19" s="34"/>
    </row>
    <row r="20" spans="2:13">
      <c r="B20" s="33"/>
      <c r="C20" s="35"/>
      <c r="D20" s="35"/>
      <c r="E20" s="35"/>
      <c r="F20" s="35"/>
      <c r="G20" s="35"/>
      <c r="H20" s="35"/>
      <c r="I20" s="35"/>
      <c r="J20" s="35"/>
      <c r="K20" s="35"/>
      <c r="M20" s="34"/>
    </row>
    <row r="21" spans="2:13" ht="19.5">
      <c r="B21" s="33"/>
      <c r="C21" s="29" t="s">
        <v>37</v>
      </c>
      <c r="D21" s="35"/>
      <c r="E21" s="35"/>
      <c r="F21" s="35"/>
      <c r="G21" s="35"/>
      <c r="H21" s="35"/>
      <c r="I21" s="35"/>
      <c r="J21" s="35"/>
      <c r="K21" s="35"/>
      <c r="M21" s="34"/>
    </row>
    <row r="22" spans="2:13" ht="17.25" thickBot="1">
      <c r="B22" s="33"/>
      <c r="C22" s="35"/>
      <c r="D22" s="35"/>
      <c r="E22" s="35"/>
      <c r="F22" s="35"/>
      <c r="G22" s="35"/>
      <c r="H22" s="35"/>
      <c r="I22" s="35"/>
      <c r="J22" s="35"/>
      <c r="K22" s="35"/>
      <c r="M22" s="34"/>
    </row>
    <row r="23" spans="2:13">
      <c r="B23" s="33"/>
      <c r="C23" s="44" t="s">
        <v>38</v>
      </c>
      <c r="D23" s="44" t="s">
        <v>39</v>
      </c>
      <c r="E23" s="44" t="s">
        <v>40</v>
      </c>
      <c r="F23" s="35"/>
      <c r="G23" s="35"/>
      <c r="H23" s="35"/>
      <c r="I23" s="35"/>
      <c r="J23" s="35"/>
      <c r="K23" s="40" t="s">
        <v>49</v>
      </c>
      <c r="L23" s="40" t="s">
        <v>48</v>
      </c>
      <c r="M23" s="34"/>
    </row>
    <row r="24" spans="2:13" ht="17.25" thickBot="1">
      <c r="B24" s="33"/>
      <c r="C24" s="53">
        <v>0</v>
      </c>
      <c r="D24" s="53">
        <f>SUM(정산리스트!$C:$C)</f>
        <v>0</v>
      </c>
      <c r="E24" s="53">
        <f>C24-D24</f>
        <v>0</v>
      </c>
      <c r="F24" s="35"/>
      <c r="G24" s="35"/>
      <c r="H24" s="35"/>
      <c r="I24" s="35"/>
      <c r="J24" s="35"/>
      <c r="K24" s="55">
        <f>C24*7700</f>
        <v>0</v>
      </c>
      <c r="L24" s="54">
        <f>D24*7700</f>
        <v>0</v>
      </c>
      <c r="M24" s="34"/>
    </row>
    <row r="25" spans="2:13">
      <c r="B25" s="33"/>
      <c r="C25" s="35"/>
      <c r="D25" s="35"/>
      <c r="E25" s="35"/>
      <c r="F25" s="35"/>
      <c r="G25" s="35"/>
      <c r="H25" s="35"/>
      <c r="I25" s="35"/>
      <c r="J25" s="35"/>
      <c r="K25" s="35"/>
      <c r="M25" s="34"/>
    </row>
    <row r="26" spans="2:13">
      <c r="B26" s="33"/>
      <c r="C26" s="35"/>
      <c r="D26" s="35"/>
      <c r="E26" s="35"/>
      <c r="F26" s="35"/>
      <c r="G26" s="35"/>
      <c r="H26" s="35"/>
      <c r="I26" s="35"/>
      <c r="J26" s="35"/>
      <c r="K26" s="35"/>
      <c r="M26" s="34"/>
    </row>
    <row r="27" spans="2:13" ht="20.25" thickBot="1">
      <c r="B27" s="33"/>
      <c r="C27" s="29" t="s">
        <v>41</v>
      </c>
      <c r="D27" s="35"/>
      <c r="E27" s="35"/>
      <c r="F27" s="35"/>
      <c r="G27" s="35"/>
      <c r="H27" s="35"/>
      <c r="I27" s="35"/>
      <c r="J27" s="35"/>
      <c r="K27" s="35"/>
      <c r="M27" s="34"/>
    </row>
    <row r="28" spans="2:13" ht="39.950000000000003" customHeight="1">
      <c r="B28" s="33"/>
      <c r="C28" s="147" t="s">
        <v>78</v>
      </c>
      <c r="D28" s="84" t="s">
        <v>79</v>
      </c>
      <c r="E28" s="141">
        <f>단말이상!L3</f>
        <v>0</v>
      </c>
      <c r="F28" s="142"/>
      <c r="G28" s="35"/>
      <c r="H28" s="35"/>
      <c r="I28" s="35"/>
      <c r="J28" s="35"/>
      <c r="K28" s="35"/>
      <c r="L28" s="40" t="s">
        <v>47</v>
      </c>
      <c r="M28" s="34"/>
    </row>
    <row r="29" spans="2:13" ht="39.950000000000003" customHeight="1" thickBot="1">
      <c r="B29" s="33"/>
      <c r="C29" s="148"/>
      <c r="D29" s="85" t="s">
        <v>80</v>
      </c>
      <c r="E29" s="141">
        <f ca="1">SUMIF(환수내용!$B$3:$Q$484,"단기해지",환수내용!$O$3:$O$484)</f>
        <v>0</v>
      </c>
      <c r="F29" s="142"/>
      <c r="L29" s="54">
        <f ca="1">IFERROR(SUM(E28:F35),"0")</f>
        <v>0</v>
      </c>
      <c r="M29" s="34"/>
    </row>
    <row r="30" spans="2:13" ht="39.950000000000003" customHeight="1" thickBot="1">
      <c r="B30" s="33"/>
      <c r="C30" s="149"/>
      <c r="D30" s="86" t="s">
        <v>89</v>
      </c>
      <c r="E30" s="141">
        <f ca="1">SUMIF(환수내용!$B$3:$Q$484,"가개통",환수내용!$O$3:$O$484)</f>
        <v>0</v>
      </c>
      <c r="F30" s="142"/>
      <c r="M30" s="34"/>
    </row>
    <row r="31" spans="2:13" ht="39.950000000000003" customHeight="1">
      <c r="B31" s="33"/>
      <c r="C31" s="87" t="s">
        <v>81</v>
      </c>
      <c r="D31" s="88" t="s">
        <v>82</v>
      </c>
      <c r="E31" s="141">
        <f ca="1">SUMIF(환수내용!$B$3:$Q$484,"요금제변경",환수내용!$O$3:$O$484)</f>
        <v>0</v>
      </c>
      <c r="F31" s="142"/>
      <c r="L31" s="40" t="s">
        <v>52</v>
      </c>
      <c r="M31" s="34"/>
    </row>
    <row r="32" spans="2:13" ht="39.950000000000003" customHeight="1" thickBot="1">
      <c r="B32" s="33"/>
      <c r="C32" s="89" t="s">
        <v>83</v>
      </c>
      <c r="D32" s="90" t="s">
        <v>84</v>
      </c>
      <c r="E32" s="141">
        <f ca="1">SUMIF(환수내용!$B$3:$Q$484,"부가서비스 해지",환수내용!$O$3:$O$484)</f>
        <v>0</v>
      </c>
      <c r="F32" s="142"/>
      <c r="L32" s="54"/>
      <c r="M32" s="34"/>
    </row>
    <row r="33" spans="2:13" ht="25.5" customHeight="1">
      <c r="B33" s="33"/>
      <c r="C33" s="91" t="s">
        <v>86</v>
      </c>
      <c r="D33" s="92" t="s">
        <v>87</v>
      </c>
      <c r="E33" s="141">
        <f ca="1">SUMIF(환수내용!$B$3:$Q$484,"2차 불만콜",환수내용!$O$3:$O$484)</f>
        <v>0</v>
      </c>
      <c r="F33" s="142"/>
      <c r="M33" s="34"/>
    </row>
    <row r="34" spans="2:13" ht="25.5" customHeight="1">
      <c r="B34" s="33"/>
      <c r="C34" s="91" t="s">
        <v>88</v>
      </c>
      <c r="D34" s="92"/>
      <c r="E34" s="141">
        <f ca="1">SUMIF(환수내용!$B$3:$Q$484,"스캔반환",환수내용!$O$3:$O$484)</f>
        <v>0</v>
      </c>
      <c r="F34" s="142"/>
      <c r="M34" s="34"/>
    </row>
    <row r="35" spans="2:13" ht="25.5" customHeight="1" thickBot="1">
      <c r="B35" s="33"/>
      <c r="C35" s="91"/>
      <c r="D35" s="92"/>
      <c r="E35" s="143"/>
      <c r="F35" s="143"/>
      <c r="M35" s="34"/>
    </row>
    <row r="36" spans="2:13" ht="17.25" thickBot="1">
      <c r="B36" s="33"/>
      <c r="D36" s="120" t="s">
        <v>113</v>
      </c>
      <c r="E36" s="121" t="s">
        <v>114</v>
      </c>
      <c r="F36" s="121" t="s">
        <v>115</v>
      </c>
      <c r="I36" s="73"/>
      <c r="J36" s="111" t="s">
        <v>54</v>
      </c>
      <c r="K36" s="112" t="s">
        <v>42</v>
      </c>
      <c r="L36" s="113" t="s">
        <v>43</v>
      </c>
      <c r="M36" s="34"/>
    </row>
    <row r="37" spans="2:13" ht="17.25" thickBot="1">
      <c r="B37" s="33"/>
      <c r="C37" s="119" t="s">
        <v>112</v>
      </c>
      <c r="D37" s="122">
        <f>소급분!$U$4</f>
        <v>0</v>
      </c>
      <c r="E37" s="122">
        <f>소급분!$V$4</f>
        <v>0</v>
      </c>
      <c r="F37" s="122">
        <f>소급분!$W$4</f>
        <v>0</v>
      </c>
      <c r="I37" s="74"/>
      <c r="J37" s="75">
        <f>SUM(정산리스트!AU10:AU5000)+K24+D37</f>
        <v>0</v>
      </c>
      <c r="K37" s="56">
        <f ca="1">SUM(정산리스트!AY10:AY5000)+L18+L24+L29+L32+E37</f>
        <v>0</v>
      </c>
      <c r="L37" s="57">
        <f ca="1">L12+L18+L24+L29+L32-K24+F37</f>
        <v>0</v>
      </c>
      <c r="M37" s="34"/>
    </row>
    <row r="38" spans="2:13">
      <c r="B38" s="33"/>
      <c r="M38" s="34"/>
    </row>
    <row r="39" spans="2:13">
      <c r="B39" s="33"/>
      <c r="C39" t="s">
        <v>150</v>
      </c>
      <c r="M39" s="34"/>
    </row>
    <row r="40" spans="2:13">
      <c r="B40" s="33"/>
      <c r="M40" s="34"/>
    </row>
    <row r="41" spans="2:13" ht="17.25" thickBot="1">
      <c r="B41" s="36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8"/>
    </row>
    <row r="42" spans="2:13" ht="17.25" thickTop="1"/>
  </sheetData>
  <mergeCells count="11">
    <mergeCell ref="C2:L4"/>
    <mergeCell ref="C6:D6"/>
    <mergeCell ref="C28:C30"/>
    <mergeCell ref="E28:F28"/>
    <mergeCell ref="E29:F29"/>
    <mergeCell ref="E30:F30"/>
    <mergeCell ref="E31:F31"/>
    <mergeCell ref="E32:F32"/>
    <mergeCell ref="E33:F33"/>
    <mergeCell ref="E34:F34"/>
    <mergeCell ref="E35:F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  <pageSetUpPr fitToPage="1"/>
  </sheetPr>
  <dimension ref="A1:AZ6328"/>
  <sheetViews>
    <sheetView showGridLines="0" tabSelected="1" zoomScale="55" zoomScaleNormal="55" workbookViewId="0">
      <pane ySplit="9" topLeftCell="A10" activePane="bottomLeft" state="frozen"/>
      <selection activeCell="T1" sqref="T1"/>
      <selection pane="bottomLeft" activeCell="G5" sqref="G5:I6"/>
    </sheetView>
  </sheetViews>
  <sheetFormatPr defaultRowHeight="16.5"/>
  <cols>
    <col min="1" max="1" width="9" style="76"/>
    <col min="2" max="2" width="9" style="5"/>
    <col min="3" max="3" width="11" style="104" customWidth="1"/>
    <col min="4" max="4" width="13.5" style="6" customWidth="1"/>
    <col min="5" max="5" width="14.5" style="63" bestFit="1" customWidth="1"/>
    <col min="6" max="6" width="22" style="6" bestFit="1" customWidth="1"/>
    <col min="7" max="7" width="35.25" style="6" bestFit="1" customWidth="1"/>
    <col min="8" max="10" width="9" style="6" customWidth="1"/>
    <col min="11" max="11" width="14.375" style="6" customWidth="1"/>
    <col min="12" max="12" width="25.375" style="6" customWidth="1"/>
    <col min="13" max="13" width="14.125" style="6" customWidth="1"/>
    <col min="14" max="14" width="49" style="6" customWidth="1"/>
    <col min="15" max="15" width="9" style="6" customWidth="1"/>
    <col min="16" max="16" width="11" style="6" customWidth="1"/>
    <col min="17" max="17" width="15.625" style="47" customWidth="1"/>
    <col min="18" max="20" width="15.625" style="48" customWidth="1"/>
    <col min="21" max="21" width="15.625" style="80" customWidth="1"/>
    <col min="22" max="22" width="15.625" style="66" customWidth="1"/>
    <col min="23" max="23" width="15.875" style="131" customWidth="1"/>
    <col min="24" max="24" width="10.875" style="132" customWidth="1"/>
    <col min="25" max="25" width="7.25" style="107" customWidth="1"/>
    <col min="26" max="26" width="8.5" style="110" customWidth="1"/>
    <col min="27" max="27" width="9.5" style="129" bestFit="1" customWidth="1"/>
    <col min="28" max="28" width="12.875" style="130" customWidth="1"/>
    <col min="29" max="29" width="13.5" style="127" customWidth="1"/>
    <col min="30" max="30" width="15.375" style="80" bestFit="1" customWidth="1"/>
    <col min="31" max="31" width="15.625" style="48" customWidth="1"/>
    <col min="32" max="32" width="15.625" style="47" customWidth="1"/>
    <col min="33" max="33" width="12.25" style="48" bestFit="1" customWidth="1"/>
    <col min="34" max="34" width="23.75" style="80" customWidth="1"/>
    <col min="35" max="35" width="12.375" style="107" bestFit="1" customWidth="1"/>
    <col min="36" max="36" width="8.875" style="106" customWidth="1"/>
    <col min="37" max="37" width="8.75" style="127" customWidth="1"/>
    <col min="38" max="39" width="15.875" style="100" customWidth="1"/>
    <col min="40" max="40" width="11.375" style="109" customWidth="1"/>
    <col min="41" max="43" width="11.375" style="100" customWidth="1"/>
    <col min="44" max="45" width="11.375" style="72" customWidth="1"/>
    <col min="46" max="46" width="11.375" style="107" customWidth="1"/>
    <col min="47" max="47" width="11" style="48" bestFit="1" customWidth="1"/>
    <col min="48" max="48" width="6.25" style="48" customWidth="1"/>
    <col min="49" max="49" width="9" style="66"/>
    <col min="50" max="50" width="13.75" style="65" bestFit="1" customWidth="1"/>
    <col min="51" max="52" width="11" style="65" bestFit="1" customWidth="1"/>
  </cols>
  <sheetData>
    <row r="1" spans="1:52">
      <c r="A1" s="10"/>
      <c r="B1"/>
      <c r="C1" s="35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 s="7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</row>
    <row r="2" spans="1:52" ht="16.5" customHeight="1">
      <c r="A2" s="10"/>
      <c r="B2"/>
      <c r="C2" s="35"/>
      <c r="D2"/>
      <c r="E2"/>
      <c r="F2" s="35"/>
      <c r="G2" s="151" t="s">
        <v>14</v>
      </c>
      <c r="H2" s="151"/>
      <c r="I2" s="151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</row>
    <row r="3" spans="1:52" ht="17.25" customHeight="1" thickBot="1">
      <c r="A3" s="10"/>
      <c r="B3"/>
      <c r="C3" s="35"/>
      <c r="D3"/>
      <c r="E3"/>
      <c r="F3" s="69"/>
      <c r="G3" s="152"/>
      <c r="H3" s="152"/>
      <c r="I3" s="152"/>
      <c r="J3"/>
      <c r="K3"/>
      <c r="L3"/>
      <c r="M3"/>
      <c r="N3"/>
      <c r="O3"/>
      <c r="P3" s="35"/>
      <c r="Q3" s="35"/>
      <c r="R3" s="138"/>
      <c r="S3"/>
      <c r="T3"/>
      <c r="U3"/>
      <c r="V3"/>
      <c r="W3" s="9"/>
      <c r="X3" s="9"/>
      <c r="Y3" s="133"/>
      <c r="Z3" s="133"/>
      <c r="AA3" s="35" t="s">
        <v>133</v>
      </c>
      <c r="AB3" s="35"/>
      <c r="AC3" s="35"/>
      <c r="AD3" s="35"/>
      <c r="AE3" s="35"/>
      <c r="AF3" s="35"/>
      <c r="AG3"/>
      <c r="AH3"/>
      <c r="AI3"/>
      <c r="AJ3" s="35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 spans="1:52" ht="17.25" thickTop="1">
      <c r="A4" s="10"/>
      <c r="B4"/>
      <c r="C4" s="35"/>
      <c r="D4"/>
      <c r="E4"/>
      <c r="F4"/>
      <c r="G4"/>
      <c r="H4"/>
      <c r="I4"/>
      <c r="J4"/>
      <c r="K4"/>
      <c r="L4"/>
      <c r="M4"/>
      <c r="N4"/>
      <c r="O4"/>
      <c r="P4" s="35"/>
      <c r="Q4" s="134"/>
      <c r="R4" s="59"/>
      <c r="S4" s="134"/>
      <c r="T4" s="134"/>
      <c r="U4" s="134"/>
      <c r="V4" s="134"/>
      <c r="W4" s="135"/>
      <c r="X4" s="135"/>
      <c r="Y4" s="1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/>
      <c r="AV4"/>
      <c r="AW4"/>
      <c r="AX4"/>
      <c r="AY4"/>
      <c r="AZ4"/>
    </row>
    <row r="5" spans="1:52" ht="17.25" thickBot="1">
      <c r="A5" s="10"/>
      <c r="B5"/>
      <c r="C5" s="35"/>
      <c r="D5"/>
      <c r="E5"/>
      <c r="F5" s="9"/>
      <c r="G5" s="150">
        <f>G10</f>
        <v>0</v>
      </c>
      <c r="H5" s="150"/>
      <c r="I5" s="150"/>
      <c r="J5" s="9"/>
      <c r="K5" s="9"/>
      <c r="L5" s="9"/>
      <c r="M5" s="9"/>
      <c r="N5" s="9"/>
      <c r="O5"/>
      <c r="P5"/>
      <c r="Q5"/>
      <c r="R5" s="128" t="s">
        <v>125</v>
      </c>
      <c r="S5"/>
      <c r="T5"/>
      <c r="U5" s="59"/>
      <c r="V5" s="59"/>
      <c r="W5" s="136"/>
      <c r="X5" s="136"/>
      <c r="Y5" s="59"/>
      <c r="Z5" s="137"/>
      <c r="AA5" s="9"/>
      <c r="AB5"/>
      <c r="AC5" s="59"/>
      <c r="AD5"/>
      <c r="AE5" s="128" t="s">
        <v>126</v>
      </c>
      <c r="AF5"/>
      <c r="AG5" s="5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/>
      <c r="AV5"/>
      <c r="AW5"/>
      <c r="AX5"/>
      <c r="AY5"/>
      <c r="AZ5"/>
    </row>
    <row r="6" spans="1:52" ht="17.25" thickBot="1">
      <c r="A6" s="10"/>
      <c r="B6"/>
      <c r="C6" s="83" t="s">
        <v>107</v>
      </c>
      <c r="D6"/>
      <c r="E6"/>
      <c r="F6"/>
      <c r="G6" s="150"/>
      <c r="H6" s="150"/>
      <c r="I6" s="150"/>
      <c r="J6"/>
      <c r="K6"/>
      <c r="L6"/>
      <c r="M6"/>
      <c r="N6"/>
      <c r="O6"/>
      <c r="P6"/>
      <c r="Q6" s="78"/>
      <c r="R6" s="128" t="s">
        <v>131</v>
      </c>
      <c r="S6" s="59"/>
      <c r="T6" s="78"/>
      <c r="U6" s="138"/>
      <c r="V6" s="138"/>
      <c r="W6" s="138"/>
      <c r="X6" s="138"/>
      <c r="Y6" s="59"/>
      <c r="Z6" s="139"/>
      <c r="AA6" s="59"/>
      <c r="AB6" s="59"/>
      <c r="AC6" s="59"/>
      <c r="AD6" s="59"/>
      <c r="AE6" s="128" t="s">
        <v>127</v>
      </c>
      <c r="AF6" s="59"/>
      <c r="AG6" s="128" t="s">
        <v>143</v>
      </c>
      <c r="AH6" s="78"/>
      <c r="AI6" s="128" t="s">
        <v>129</v>
      </c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59"/>
      <c r="AV6" s="78"/>
      <c r="AW6" s="78"/>
      <c r="AX6"/>
      <c r="AY6"/>
      <c r="AZ6"/>
    </row>
    <row r="7" spans="1:52" ht="17.25" thickBot="1">
      <c r="A7" s="16" t="s">
        <v>18</v>
      </c>
      <c r="B7"/>
      <c r="C7" s="123"/>
      <c r="D7"/>
      <c r="E7" s="59"/>
      <c r="F7"/>
      <c r="G7"/>
      <c r="H7"/>
      <c r="I7"/>
      <c r="J7"/>
      <c r="K7"/>
      <c r="L7"/>
      <c r="M7"/>
      <c r="N7"/>
      <c r="O7"/>
      <c r="P7"/>
      <c r="Q7" s="128" t="s">
        <v>134</v>
      </c>
      <c r="R7" s="128" t="s">
        <v>140</v>
      </c>
      <c r="S7" s="59"/>
      <c r="T7" s="59"/>
      <c r="U7" s="59"/>
      <c r="V7" s="59"/>
      <c r="W7" s="59"/>
      <c r="X7" s="59"/>
      <c r="Y7" s="59"/>
      <c r="Z7" s="139"/>
      <c r="AA7" s="59"/>
      <c r="AB7" s="59"/>
      <c r="AC7" s="59"/>
      <c r="AD7" s="59"/>
      <c r="AE7" s="128" t="s">
        <v>128</v>
      </c>
      <c r="AF7" s="59"/>
      <c r="AG7" s="128" t="s">
        <v>144</v>
      </c>
      <c r="AH7" s="78"/>
      <c r="AI7" s="128" t="s">
        <v>130</v>
      </c>
      <c r="AJ7" s="59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59"/>
      <c r="AV7" s="78"/>
      <c r="AW7" s="78"/>
      <c r="AX7"/>
      <c r="AY7"/>
      <c r="AZ7"/>
    </row>
    <row r="8" spans="1:52" ht="17.25" thickBot="1">
      <c r="A8" s="16" t="s">
        <v>17</v>
      </c>
      <c r="B8"/>
      <c r="C8" s="35"/>
      <c r="D8"/>
      <c r="E8"/>
      <c r="F8"/>
      <c r="G8" s="15" t="s">
        <v>16</v>
      </c>
      <c r="H8"/>
      <c r="I8"/>
      <c r="J8"/>
      <c r="K8"/>
      <c r="L8"/>
      <c r="M8"/>
      <c r="N8"/>
      <c r="O8"/>
      <c r="P8"/>
      <c r="Q8" s="49">
        <f>SUM(Q10:Q1048576)</f>
        <v>0</v>
      </c>
      <c r="R8" s="49">
        <f>SUM(R10:R1048576)</f>
        <v>0</v>
      </c>
      <c r="S8" s="49">
        <f>SUM(S10:S1048576)</f>
        <v>0</v>
      </c>
      <c r="T8" s="49">
        <f>SUM(T10:T1048576)</f>
        <v>0</v>
      </c>
      <c r="U8" s="49"/>
      <c r="V8" s="49"/>
      <c r="W8" s="49"/>
      <c r="X8" s="49"/>
      <c r="Y8" s="49"/>
      <c r="Z8" s="49"/>
      <c r="AA8" s="49"/>
      <c r="AB8" s="49"/>
      <c r="AC8" s="49"/>
      <c r="AD8" s="49"/>
      <c r="AE8" s="49">
        <f t="shared" ref="AE8" si="0">SUM(AE10:AE1048576)</f>
        <v>0</v>
      </c>
      <c r="AF8" s="49">
        <f>SUM(AF10:AF1048576)</f>
        <v>0</v>
      </c>
      <c r="AG8" s="49">
        <f>SUM(AG10:AG1048576)</f>
        <v>0</v>
      </c>
      <c r="AH8" s="49"/>
      <c r="AI8" s="49"/>
      <c r="AJ8" s="49">
        <f>SUM(AJ10:AJ1048576)</f>
        <v>0</v>
      </c>
      <c r="AK8" s="49"/>
      <c r="AL8" s="49"/>
      <c r="AM8" s="49"/>
      <c r="AN8" s="49">
        <f>SUM(AN10:AN1048576)</f>
        <v>0</v>
      </c>
      <c r="AO8" s="49"/>
      <c r="AP8" s="49"/>
      <c r="AQ8" s="49"/>
      <c r="AR8" s="49"/>
      <c r="AS8" s="49"/>
      <c r="AT8" s="49"/>
      <c r="AU8" s="49">
        <f>SUM(AU10:AU1048576)</f>
        <v>0</v>
      </c>
      <c r="AV8" s="49">
        <f>SUM(AV10:AV1048576)</f>
        <v>0</v>
      </c>
      <c r="AW8" s="49"/>
      <c r="AX8" s="49">
        <f>SUM(AX10:AX1048576)</f>
        <v>0</v>
      </c>
      <c r="AY8" s="49">
        <f>SUM(AY10:AY1048576)</f>
        <v>0</v>
      </c>
      <c r="AZ8" s="49">
        <f>SUM(AZ10:AZ1048576)</f>
        <v>0</v>
      </c>
    </row>
    <row r="9" spans="1:52" ht="17.25" thickBot="1">
      <c r="A9" s="11" t="s">
        <v>15</v>
      </c>
      <c r="B9" s="99"/>
      <c r="C9" s="114" t="s">
        <v>106</v>
      </c>
      <c r="D9" s="1" t="s">
        <v>92</v>
      </c>
      <c r="E9" s="7" t="s">
        <v>10</v>
      </c>
      <c r="F9" s="1" t="s">
        <v>11</v>
      </c>
      <c r="G9" s="14" t="s">
        <v>12</v>
      </c>
      <c r="H9" s="1" t="s">
        <v>0</v>
      </c>
      <c r="I9" s="1" t="s">
        <v>1</v>
      </c>
      <c r="J9" s="1" t="s">
        <v>2</v>
      </c>
      <c r="K9" s="1" t="s">
        <v>3</v>
      </c>
      <c r="L9" s="1" t="s">
        <v>53</v>
      </c>
      <c r="M9" s="1" t="s">
        <v>4</v>
      </c>
      <c r="N9" s="1" t="s">
        <v>51</v>
      </c>
      <c r="O9" s="1" t="s">
        <v>5</v>
      </c>
      <c r="P9" s="1" t="s">
        <v>6</v>
      </c>
      <c r="Q9" s="1" t="s">
        <v>7</v>
      </c>
      <c r="R9" s="1" t="s">
        <v>151</v>
      </c>
      <c r="S9" s="1" t="s">
        <v>121</v>
      </c>
      <c r="T9" s="1" t="s">
        <v>138</v>
      </c>
      <c r="U9" s="1" t="s">
        <v>123</v>
      </c>
      <c r="V9" s="1" t="s">
        <v>122</v>
      </c>
      <c r="W9" s="1" t="s">
        <v>132</v>
      </c>
      <c r="X9" s="1" t="s">
        <v>152</v>
      </c>
      <c r="Y9" s="1" t="s">
        <v>70</v>
      </c>
      <c r="Z9" s="1"/>
      <c r="AA9" s="1" t="s">
        <v>153</v>
      </c>
      <c r="AB9" s="1" t="s">
        <v>124</v>
      </c>
      <c r="AC9" s="1" t="s">
        <v>139</v>
      </c>
      <c r="AD9" s="1" t="s">
        <v>119</v>
      </c>
      <c r="AE9" s="1" t="s">
        <v>120</v>
      </c>
      <c r="AF9" s="1" t="s">
        <v>141</v>
      </c>
      <c r="AG9" s="1" t="s">
        <v>142</v>
      </c>
      <c r="AH9" s="1" t="s">
        <v>105</v>
      </c>
      <c r="AI9" s="1" t="s">
        <v>116</v>
      </c>
      <c r="AJ9" s="1"/>
      <c r="AK9" s="1" t="s">
        <v>154</v>
      </c>
      <c r="AL9" s="1" t="s">
        <v>145</v>
      </c>
      <c r="AM9" s="1" t="s">
        <v>117</v>
      </c>
      <c r="AN9" s="1" t="s">
        <v>93</v>
      </c>
      <c r="AO9" s="1" t="s">
        <v>91</v>
      </c>
      <c r="AP9" s="1" t="s">
        <v>67</v>
      </c>
      <c r="AQ9" s="1" t="s">
        <v>68</v>
      </c>
      <c r="AR9" s="1" t="s">
        <v>69</v>
      </c>
      <c r="AS9" s="1" t="s">
        <v>56</v>
      </c>
      <c r="AT9" s="1" t="s">
        <v>135</v>
      </c>
      <c r="AU9" s="1" t="s">
        <v>75</v>
      </c>
      <c r="AV9" s="1" t="s">
        <v>8</v>
      </c>
      <c r="AW9" s="1" t="s">
        <v>76</v>
      </c>
      <c r="AX9" s="8" t="s">
        <v>13</v>
      </c>
      <c r="AY9" s="8" t="s">
        <v>9</v>
      </c>
      <c r="AZ9" s="8" t="s">
        <v>55</v>
      </c>
    </row>
    <row r="10" spans="1:52" ht="20.100000000000001" customHeight="1">
      <c r="B10" s="2"/>
      <c r="C10" s="102"/>
      <c r="D10" s="3"/>
      <c r="E10" s="12"/>
      <c r="F10" s="3"/>
      <c r="G10" s="3"/>
      <c r="H10" s="3"/>
      <c r="J10" s="3"/>
      <c r="K10" s="3"/>
      <c r="L10" s="4"/>
      <c r="M10" s="3"/>
      <c r="O10" s="58"/>
      <c r="Q10" s="64"/>
      <c r="R10" s="45"/>
      <c r="S10" s="45"/>
      <c r="T10" s="45"/>
      <c r="U10" s="64"/>
      <c r="V10" s="45"/>
      <c r="W10" s="64"/>
      <c r="X10" s="64"/>
      <c r="Y10" s="45"/>
      <c r="Z10" s="45"/>
      <c r="AA10" s="105"/>
      <c r="AB10" s="105"/>
      <c r="AC10" s="105"/>
      <c r="AD10" s="64"/>
      <c r="AE10" s="45"/>
      <c r="AF10" s="64"/>
      <c r="AG10" s="45"/>
      <c r="AH10" s="64"/>
      <c r="AI10" s="45"/>
      <c r="AJ10" s="105"/>
      <c r="AK10" s="105"/>
      <c r="AL10" s="60"/>
      <c r="AM10" s="60"/>
      <c r="AN10" s="60"/>
      <c r="AO10" s="60"/>
      <c r="AP10" s="60"/>
      <c r="AQ10" s="60"/>
      <c r="AR10" s="60"/>
      <c r="AS10" s="60"/>
      <c r="AT10" s="45"/>
      <c r="AU10" s="45"/>
      <c r="AW10" s="45"/>
      <c r="AX10" s="46">
        <f>IFERROR(SUM(Q10:AS10)-SUM(AT10:AU10)+AV10,"-")</f>
        <v>0</v>
      </c>
      <c r="AY10" s="46">
        <f>IFERROR(SUM(Q10:AS10)-SUM(AT10:AT10),"-")</f>
        <v>0</v>
      </c>
      <c r="AZ10" s="46">
        <f>SUM(Q10:AS10)</f>
        <v>0</v>
      </c>
    </row>
    <row r="11" spans="1:52" ht="20.100000000000001" customHeight="1">
      <c r="C11" s="102"/>
      <c r="D11" s="3"/>
      <c r="E11" s="12"/>
      <c r="F11" s="3"/>
      <c r="G11" s="3"/>
      <c r="H11" s="3"/>
      <c r="J11" s="3"/>
      <c r="K11" s="3"/>
      <c r="L11" s="4"/>
      <c r="M11" s="3"/>
      <c r="O11" s="58"/>
      <c r="Q11" s="64"/>
      <c r="R11" s="45"/>
      <c r="S11" s="45"/>
      <c r="U11" s="64"/>
      <c r="V11" s="45"/>
      <c r="W11" s="64"/>
      <c r="X11" s="64"/>
      <c r="Y11" s="45"/>
      <c r="Z11" s="45"/>
      <c r="AA11" s="105"/>
      <c r="AB11" s="105"/>
      <c r="AC11" s="105"/>
      <c r="AD11" s="64"/>
      <c r="AG11" s="45"/>
      <c r="AH11" s="64"/>
      <c r="AI11" s="45"/>
      <c r="AJ11" s="105"/>
      <c r="AK11" s="105"/>
      <c r="AL11" s="60"/>
      <c r="AM11" s="60"/>
      <c r="AN11" s="60"/>
      <c r="AO11" s="60"/>
      <c r="AP11" s="60"/>
      <c r="AQ11" s="60"/>
      <c r="AR11" s="60"/>
      <c r="AS11" s="60"/>
      <c r="AT11" s="45"/>
      <c r="AU11" s="45"/>
      <c r="AW11" s="45"/>
      <c r="AX11" s="46">
        <f t="shared" ref="AX11:AX74" si="1">IFERROR(SUM(Q11:AS11)-SUM(AT11:AU11)+AV11,"-")</f>
        <v>0</v>
      </c>
      <c r="AY11" s="46">
        <f t="shared" ref="AY11:AY74" si="2">IFERROR(SUM(Q11:AS11)-SUM(AT11:AT11),"-")</f>
        <v>0</v>
      </c>
      <c r="AZ11" s="46">
        <f t="shared" ref="AZ11:AZ74" si="3">SUM(Q11:AS11)</f>
        <v>0</v>
      </c>
    </row>
    <row r="12" spans="1:52" ht="20.100000000000001" customHeight="1">
      <c r="C12" s="102"/>
      <c r="D12" s="3"/>
      <c r="E12" s="12"/>
      <c r="F12" s="3"/>
      <c r="G12" s="3"/>
      <c r="H12" s="3"/>
      <c r="J12" s="3"/>
      <c r="K12" s="3"/>
      <c r="L12" s="4"/>
      <c r="M12" s="3"/>
      <c r="O12" s="58"/>
      <c r="Q12" s="64"/>
      <c r="R12" s="45"/>
      <c r="S12" s="45"/>
      <c r="U12" s="64"/>
      <c r="V12" s="45"/>
      <c r="W12" s="64"/>
      <c r="X12" s="64"/>
      <c r="Y12" s="45"/>
      <c r="Z12" s="45"/>
      <c r="AA12" s="105"/>
      <c r="AB12" s="105"/>
      <c r="AC12" s="105"/>
      <c r="AD12" s="64"/>
      <c r="AG12" s="45"/>
      <c r="AH12" s="64"/>
      <c r="AI12" s="45"/>
      <c r="AJ12" s="105"/>
      <c r="AK12" s="105"/>
      <c r="AL12" s="60"/>
      <c r="AM12" s="60"/>
      <c r="AN12" s="60"/>
      <c r="AO12" s="60"/>
      <c r="AP12" s="60"/>
      <c r="AQ12" s="60"/>
      <c r="AR12" s="60"/>
      <c r="AS12" s="60"/>
      <c r="AT12" s="45"/>
      <c r="AU12" s="45"/>
      <c r="AW12" s="45"/>
      <c r="AX12" s="46">
        <f t="shared" si="1"/>
        <v>0</v>
      </c>
      <c r="AY12" s="46">
        <f t="shared" si="2"/>
        <v>0</v>
      </c>
      <c r="AZ12" s="46">
        <f t="shared" si="3"/>
        <v>0</v>
      </c>
    </row>
    <row r="13" spans="1:52" ht="20.100000000000001" customHeight="1">
      <c r="C13" s="102"/>
      <c r="D13" s="3"/>
      <c r="E13" s="12"/>
      <c r="F13" s="3"/>
      <c r="G13" s="3"/>
      <c r="H13" s="3"/>
      <c r="J13" s="3"/>
      <c r="K13" s="3"/>
      <c r="L13" s="4"/>
      <c r="M13" s="3"/>
      <c r="O13" s="58"/>
      <c r="Q13" s="64"/>
      <c r="R13" s="45"/>
      <c r="S13" s="45"/>
      <c r="U13" s="64"/>
      <c r="V13" s="45"/>
      <c r="W13" s="64"/>
      <c r="X13" s="64"/>
      <c r="Y13" s="45"/>
      <c r="Z13" s="45"/>
      <c r="AA13" s="105"/>
      <c r="AB13" s="105"/>
      <c r="AC13" s="105"/>
      <c r="AD13" s="64"/>
      <c r="AG13" s="45"/>
      <c r="AH13" s="64"/>
      <c r="AI13" s="45"/>
      <c r="AJ13" s="105"/>
      <c r="AK13" s="105"/>
      <c r="AL13" s="60"/>
      <c r="AM13" s="60"/>
      <c r="AN13" s="60"/>
      <c r="AO13" s="60"/>
      <c r="AP13" s="60"/>
      <c r="AQ13" s="60"/>
      <c r="AR13" s="60"/>
      <c r="AS13" s="60"/>
      <c r="AT13" s="45"/>
      <c r="AU13" s="45"/>
      <c r="AW13" s="45"/>
      <c r="AX13" s="46">
        <f t="shared" si="1"/>
        <v>0</v>
      </c>
      <c r="AY13" s="46">
        <f t="shared" si="2"/>
        <v>0</v>
      </c>
      <c r="AZ13" s="46">
        <f t="shared" si="3"/>
        <v>0</v>
      </c>
    </row>
    <row r="14" spans="1:52" ht="20.100000000000001" customHeight="1">
      <c r="C14" s="102"/>
      <c r="D14" s="3"/>
      <c r="E14" s="12"/>
      <c r="F14" s="3"/>
      <c r="G14" s="3"/>
      <c r="H14" s="3"/>
      <c r="J14" s="3"/>
      <c r="K14" s="3"/>
      <c r="L14" s="4"/>
      <c r="M14" s="3"/>
      <c r="O14" s="58"/>
      <c r="Q14" s="64"/>
      <c r="R14" s="45"/>
      <c r="S14" s="45"/>
      <c r="U14" s="64"/>
      <c r="V14" s="45"/>
      <c r="W14" s="64"/>
      <c r="X14" s="64"/>
      <c r="Y14" s="45"/>
      <c r="Z14" s="45"/>
      <c r="AA14" s="105"/>
      <c r="AB14" s="105"/>
      <c r="AC14" s="105"/>
      <c r="AD14" s="64"/>
      <c r="AG14" s="45"/>
      <c r="AH14" s="64"/>
      <c r="AI14" s="45"/>
      <c r="AJ14" s="105"/>
      <c r="AK14" s="105"/>
      <c r="AL14" s="60"/>
      <c r="AM14" s="60"/>
      <c r="AN14" s="60"/>
      <c r="AO14" s="60"/>
      <c r="AP14" s="60"/>
      <c r="AQ14" s="60"/>
      <c r="AR14" s="60"/>
      <c r="AS14" s="60"/>
      <c r="AT14" s="45"/>
      <c r="AU14" s="45"/>
      <c r="AW14" s="45"/>
      <c r="AX14" s="46">
        <f t="shared" si="1"/>
        <v>0</v>
      </c>
      <c r="AY14" s="46">
        <f t="shared" si="2"/>
        <v>0</v>
      </c>
      <c r="AZ14" s="46">
        <f t="shared" si="3"/>
        <v>0</v>
      </c>
    </row>
    <row r="15" spans="1:52" ht="20.100000000000001" customHeight="1">
      <c r="C15" s="102"/>
      <c r="D15" s="3"/>
      <c r="E15" s="12"/>
      <c r="F15" s="3"/>
      <c r="G15" s="3"/>
      <c r="H15" s="3"/>
      <c r="J15" s="3"/>
      <c r="K15" s="3"/>
      <c r="L15" s="4"/>
      <c r="M15" s="3"/>
      <c r="O15" s="58"/>
      <c r="Q15" s="64"/>
      <c r="R15" s="45"/>
      <c r="S15" s="45"/>
      <c r="U15" s="64"/>
      <c r="V15" s="45"/>
      <c r="W15" s="64"/>
      <c r="X15" s="64"/>
      <c r="Y15" s="45"/>
      <c r="Z15" s="45"/>
      <c r="AA15" s="105"/>
      <c r="AB15" s="105"/>
      <c r="AC15" s="105"/>
      <c r="AD15" s="64"/>
      <c r="AG15" s="45"/>
      <c r="AH15" s="64"/>
      <c r="AI15" s="45"/>
      <c r="AJ15" s="105"/>
      <c r="AK15" s="105"/>
      <c r="AL15" s="60"/>
      <c r="AM15" s="60"/>
      <c r="AN15" s="60"/>
      <c r="AO15" s="60"/>
      <c r="AP15" s="60"/>
      <c r="AQ15" s="60"/>
      <c r="AR15" s="60"/>
      <c r="AS15" s="60"/>
      <c r="AT15" s="45"/>
      <c r="AU15" s="45"/>
      <c r="AW15" s="45"/>
      <c r="AX15" s="46">
        <f t="shared" si="1"/>
        <v>0</v>
      </c>
      <c r="AY15" s="46">
        <f t="shared" si="2"/>
        <v>0</v>
      </c>
      <c r="AZ15" s="46">
        <f t="shared" si="3"/>
        <v>0</v>
      </c>
    </row>
    <row r="16" spans="1:52" ht="20.100000000000001" customHeight="1">
      <c r="C16" s="102"/>
      <c r="D16" s="3"/>
      <c r="E16" s="12"/>
      <c r="F16" s="3"/>
      <c r="G16" s="3"/>
      <c r="H16" s="3"/>
      <c r="J16" s="3"/>
      <c r="K16" s="3"/>
      <c r="L16" s="4"/>
      <c r="M16" s="3"/>
      <c r="O16" s="58"/>
      <c r="Q16" s="64"/>
      <c r="R16" s="45"/>
      <c r="S16" s="45"/>
      <c r="U16" s="64"/>
      <c r="V16" s="45"/>
      <c r="W16" s="64"/>
      <c r="X16" s="64"/>
      <c r="Y16" s="45"/>
      <c r="Z16" s="45"/>
      <c r="AA16" s="105"/>
      <c r="AB16" s="105"/>
      <c r="AC16" s="105"/>
      <c r="AD16" s="64"/>
      <c r="AG16" s="45"/>
      <c r="AH16" s="64"/>
      <c r="AI16" s="45"/>
      <c r="AJ16" s="105"/>
      <c r="AK16" s="105"/>
      <c r="AL16" s="60"/>
      <c r="AM16" s="60"/>
      <c r="AN16" s="60"/>
      <c r="AO16" s="60"/>
      <c r="AP16" s="60"/>
      <c r="AQ16" s="60"/>
      <c r="AR16" s="60"/>
      <c r="AS16" s="60"/>
      <c r="AT16" s="45"/>
      <c r="AU16" s="45"/>
      <c r="AW16" s="45"/>
      <c r="AX16" s="46">
        <f t="shared" si="1"/>
        <v>0</v>
      </c>
      <c r="AY16" s="46">
        <f t="shared" si="2"/>
        <v>0</v>
      </c>
      <c r="AZ16" s="46">
        <f t="shared" si="3"/>
        <v>0</v>
      </c>
    </row>
    <row r="17" spans="1:52" s="13" customFormat="1" ht="20.100000000000001" customHeight="1">
      <c r="A17" s="76"/>
      <c r="B17" s="5"/>
      <c r="C17" s="102"/>
      <c r="D17" s="3"/>
      <c r="E17" s="12"/>
      <c r="F17" s="3"/>
      <c r="G17" s="3"/>
      <c r="H17" s="3"/>
      <c r="I17" s="6"/>
      <c r="J17" s="3"/>
      <c r="K17" s="3"/>
      <c r="L17" s="4"/>
      <c r="M17" s="3"/>
      <c r="N17" s="6"/>
      <c r="O17" s="58"/>
      <c r="P17" s="6"/>
      <c r="Q17" s="64"/>
      <c r="R17" s="45"/>
      <c r="S17" s="45"/>
      <c r="T17" s="48"/>
      <c r="U17" s="64"/>
      <c r="V17" s="45"/>
      <c r="W17" s="64"/>
      <c r="X17" s="64"/>
      <c r="Y17" s="45"/>
      <c r="Z17" s="45"/>
      <c r="AA17" s="105"/>
      <c r="AB17" s="105"/>
      <c r="AC17" s="105"/>
      <c r="AD17" s="64"/>
      <c r="AE17" s="48"/>
      <c r="AF17" s="47"/>
      <c r="AG17" s="45"/>
      <c r="AH17" s="64"/>
      <c r="AI17" s="45"/>
      <c r="AJ17" s="105"/>
      <c r="AK17" s="105"/>
      <c r="AL17" s="60"/>
      <c r="AM17" s="60"/>
      <c r="AN17" s="60"/>
      <c r="AO17" s="60"/>
      <c r="AP17" s="60"/>
      <c r="AQ17" s="60"/>
      <c r="AR17" s="60"/>
      <c r="AS17" s="60"/>
      <c r="AT17" s="45"/>
      <c r="AU17" s="45"/>
      <c r="AV17" s="48"/>
      <c r="AW17" s="45"/>
      <c r="AX17" s="46">
        <f t="shared" si="1"/>
        <v>0</v>
      </c>
      <c r="AY17" s="46">
        <f t="shared" si="2"/>
        <v>0</v>
      </c>
      <c r="AZ17" s="46">
        <f t="shared" si="3"/>
        <v>0</v>
      </c>
    </row>
    <row r="18" spans="1:52" ht="20.100000000000001" customHeight="1">
      <c r="C18" s="102"/>
      <c r="D18" s="3"/>
      <c r="E18" s="12"/>
      <c r="F18" s="3"/>
      <c r="G18" s="3"/>
      <c r="H18" s="3"/>
      <c r="J18" s="3"/>
      <c r="K18" s="3"/>
      <c r="L18" s="4"/>
      <c r="M18" s="3"/>
      <c r="O18" s="58"/>
      <c r="Q18" s="64"/>
      <c r="R18" s="45"/>
      <c r="S18" s="45"/>
      <c r="U18" s="64"/>
      <c r="V18" s="45"/>
      <c r="W18" s="64"/>
      <c r="X18" s="64"/>
      <c r="Y18" s="45"/>
      <c r="Z18" s="45"/>
      <c r="AA18" s="105"/>
      <c r="AB18" s="105"/>
      <c r="AC18" s="105"/>
      <c r="AD18" s="64"/>
      <c r="AG18" s="45"/>
      <c r="AH18" s="64"/>
      <c r="AI18" s="45"/>
      <c r="AJ18" s="105"/>
      <c r="AK18" s="105"/>
      <c r="AL18" s="60"/>
      <c r="AM18" s="60"/>
      <c r="AN18" s="60"/>
      <c r="AO18" s="60"/>
      <c r="AP18" s="60"/>
      <c r="AQ18" s="60"/>
      <c r="AR18" s="60"/>
      <c r="AS18" s="60"/>
      <c r="AT18" s="45"/>
      <c r="AU18" s="45"/>
      <c r="AW18" s="45"/>
      <c r="AX18" s="46">
        <f t="shared" si="1"/>
        <v>0</v>
      </c>
      <c r="AY18" s="46">
        <f t="shared" si="2"/>
        <v>0</v>
      </c>
      <c r="AZ18" s="46">
        <f t="shared" si="3"/>
        <v>0</v>
      </c>
    </row>
    <row r="19" spans="1:52" s="13" customFormat="1" ht="20.100000000000001" customHeight="1">
      <c r="A19" s="76"/>
      <c r="B19" s="5"/>
      <c r="C19" s="102"/>
      <c r="D19" s="3"/>
      <c r="E19" s="67"/>
      <c r="F19" s="3"/>
      <c r="G19" s="3"/>
      <c r="H19" s="3"/>
      <c r="I19" s="6"/>
      <c r="J19" s="3"/>
      <c r="K19" s="3"/>
      <c r="L19" s="4"/>
      <c r="M19" s="3"/>
      <c r="N19" s="6"/>
      <c r="O19" s="58"/>
      <c r="P19" s="6"/>
      <c r="Q19" s="64"/>
      <c r="R19" s="45"/>
      <c r="S19" s="45"/>
      <c r="T19" s="48"/>
      <c r="U19" s="64"/>
      <c r="V19" s="45"/>
      <c r="W19" s="64"/>
      <c r="X19" s="64"/>
      <c r="Y19" s="45"/>
      <c r="Z19" s="45"/>
      <c r="AA19" s="105"/>
      <c r="AB19" s="105"/>
      <c r="AC19" s="105"/>
      <c r="AD19" s="64"/>
      <c r="AE19" s="48"/>
      <c r="AF19" s="47"/>
      <c r="AG19" s="45"/>
      <c r="AH19" s="64"/>
      <c r="AI19" s="45"/>
      <c r="AJ19" s="105"/>
      <c r="AK19" s="105"/>
      <c r="AL19" s="60"/>
      <c r="AM19" s="60"/>
      <c r="AN19" s="60"/>
      <c r="AO19" s="60"/>
      <c r="AP19" s="60"/>
      <c r="AQ19" s="60"/>
      <c r="AR19" s="60"/>
      <c r="AS19" s="60"/>
      <c r="AT19" s="45"/>
      <c r="AU19" s="45"/>
      <c r="AV19" s="48"/>
      <c r="AW19" s="45"/>
      <c r="AX19" s="46">
        <f t="shared" si="1"/>
        <v>0</v>
      </c>
      <c r="AY19" s="46">
        <f t="shared" si="2"/>
        <v>0</v>
      </c>
      <c r="AZ19" s="46">
        <f t="shared" si="3"/>
        <v>0</v>
      </c>
    </row>
    <row r="20" spans="1:52" ht="20.100000000000001" customHeight="1">
      <c r="C20" s="102"/>
      <c r="D20" s="3"/>
      <c r="E20" s="12"/>
      <c r="F20" s="3"/>
      <c r="G20" s="3"/>
      <c r="H20" s="3"/>
      <c r="J20" s="3"/>
      <c r="K20" s="3"/>
      <c r="L20" s="4"/>
      <c r="M20" s="3"/>
      <c r="O20" s="58"/>
      <c r="Q20" s="64"/>
      <c r="R20" s="45"/>
      <c r="S20" s="45"/>
      <c r="U20" s="64"/>
      <c r="V20" s="45"/>
      <c r="W20" s="64"/>
      <c r="X20" s="64"/>
      <c r="Y20" s="45"/>
      <c r="Z20" s="45"/>
      <c r="AA20" s="105"/>
      <c r="AB20" s="105"/>
      <c r="AC20" s="105"/>
      <c r="AD20" s="64"/>
      <c r="AG20" s="45"/>
      <c r="AH20" s="64"/>
      <c r="AI20" s="45"/>
      <c r="AJ20" s="105"/>
      <c r="AK20" s="105"/>
      <c r="AL20" s="60"/>
      <c r="AM20" s="60"/>
      <c r="AN20" s="60"/>
      <c r="AO20" s="60"/>
      <c r="AP20" s="60"/>
      <c r="AQ20" s="60"/>
      <c r="AR20" s="60"/>
      <c r="AS20" s="60"/>
      <c r="AT20" s="45"/>
      <c r="AU20" s="45"/>
      <c r="AW20" s="45"/>
      <c r="AX20" s="46">
        <f t="shared" si="1"/>
        <v>0</v>
      </c>
      <c r="AY20" s="46">
        <f t="shared" si="2"/>
        <v>0</v>
      </c>
      <c r="AZ20" s="46">
        <f t="shared" si="3"/>
        <v>0</v>
      </c>
    </row>
    <row r="21" spans="1:52" ht="20.100000000000001" customHeight="1">
      <c r="C21" s="102"/>
      <c r="D21" s="3"/>
      <c r="E21" s="12"/>
      <c r="F21" s="3"/>
      <c r="G21" s="3"/>
      <c r="H21" s="3"/>
      <c r="J21" s="3"/>
      <c r="K21" s="3"/>
      <c r="L21" s="4"/>
      <c r="M21" s="3"/>
      <c r="O21" s="58"/>
      <c r="Q21" s="64"/>
      <c r="R21" s="45"/>
      <c r="S21" s="45"/>
      <c r="U21" s="64"/>
      <c r="V21" s="45"/>
      <c r="W21" s="64"/>
      <c r="X21" s="64"/>
      <c r="Y21" s="45"/>
      <c r="Z21" s="45"/>
      <c r="AA21" s="105"/>
      <c r="AB21" s="105"/>
      <c r="AC21" s="105"/>
      <c r="AD21" s="64"/>
      <c r="AG21" s="45"/>
      <c r="AH21" s="64"/>
      <c r="AI21" s="45"/>
      <c r="AJ21" s="105"/>
      <c r="AK21" s="105"/>
      <c r="AL21" s="60"/>
      <c r="AM21" s="60"/>
      <c r="AN21" s="60"/>
      <c r="AO21" s="60"/>
      <c r="AP21" s="60"/>
      <c r="AQ21" s="60"/>
      <c r="AR21" s="60"/>
      <c r="AS21" s="60"/>
      <c r="AT21" s="45"/>
      <c r="AU21" s="45"/>
      <c r="AW21" s="45"/>
      <c r="AX21" s="46">
        <f t="shared" si="1"/>
        <v>0</v>
      </c>
      <c r="AY21" s="46">
        <f t="shared" si="2"/>
        <v>0</v>
      </c>
      <c r="AZ21" s="46">
        <f t="shared" si="3"/>
        <v>0</v>
      </c>
    </row>
    <row r="22" spans="1:52" ht="20.100000000000001" customHeight="1">
      <c r="C22" s="102"/>
      <c r="D22" s="3"/>
      <c r="E22" s="67"/>
      <c r="F22" s="3"/>
      <c r="G22" s="3"/>
      <c r="H22" s="3"/>
      <c r="J22" s="3"/>
      <c r="K22" s="3"/>
      <c r="L22" s="4"/>
      <c r="M22" s="3"/>
      <c r="O22" s="58"/>
      <c r="Q22" s="64"/>
      <c r="R22" s="45"/>
      <c r="S22" s="45"/>
      <c r="U22" s="64"/>
      <c r="V22" s="45"/>
      <c r="W22" s="64"/>
      <c r="X22" s="64"/>
      <c r="Y22" s="45"/>
      <c r="Z22" s="45"/>
      <c r="AA22" s="105"/>
      <c r="AB22" s="105"/>
      <c r="AC22" s="105"/>
      <c r="AD22" s="64"/>
      <c r="AG22" s="45"/>
      <c r="AH22" s="64"/>
      <c r="AI22" s="45"/>
      <c r="AJ22" s="105"/>
      <c r="AK22" s="105"/>
      <c r="AL22" s="60"/>
      <c r="AM22" s="60"/>
      <c r="AN22" s="60"/>
      <c r="AO22" s="60"/>
      <c r="AP22" s="60"/>
      <c r="AQ22" s="60"/>
      <c r="AR22" s="60"/>
      <c r="AS22" s="60"/>
      <c r="AT22" s="45"/>
      <c r="AU22" s="45"/>
      <c r="AW22" s="45"/>
      <c r="AX22" s="46">
        <f t="shared" si="1"/>
        <v>0</v>
      </c>
      <c r="AY22" s="46">
        <f t="shared" si="2"/>
        <v>0</v>
      </c>
      <c r="AZ22" s="46">
        <f t="shared" si="3"/>
        <v>0</v>
      </c>
    </row>
    <row r="23" spans="1:52" ht="20.100000000000001" customHeight="1">
      <c r="C23" s="102"/>
      <c r="D23" s="3"/>
      <c r="E23" s="12"/>
      <c r="F23" s="3"/>
      <c r="G23" s="3"/>
      <c r="H23" s="3"/>
      <c r="J23" s="3"/>
      <c r="K23" s="3"/>
      <c r="L23" s="4"/>
      <c r="M23" s="3"/>
      <c r="O23" s="58"/>
      <c r="Q23" s="64"/>
      <c r="R23" s="45"/>
      <c r="S23" s="45"/>
      <c r="U23" s="64"/>
      <c r="V23" s="45"/>
      <c r="W23" s="64"/>
      <c r="X23" s="64"/>
      <c r="Y23" s="45"/>
      <c r="Z23" s="45"/>
      <c r="AA23" s="105"/>
      <c r="AB23" s="105"/>
      <c r="AC23" s="105"/>
      <c r="AD23" s="64"/>
      <c r="AG23" s="45"/>
      <c r="AH23" s="64"/>
      <c r="AI23" s="45"/>
      <c r="AJ23" s="105"/>
      <c r="AK23" s="105"/>
      <c r="AL23" s="60"/>
      <c r="AM23" s="60"/>
      <c r="AN23" s="60"/>
      <c r="AO23" s="60"/>
      <c r="AP23" s="60"/>
      <c r="AQ23" s="60"/>
      <c r="AR23" s="60"/>
      <c r="AS23" s="60"/>
      <c r="AT23" s="45"/>
      <c r="AU23" s="45"/>
      <c r="AW23" s="45"/>
      <c r="AX23" s="46">
        <f t="shared" si="1"/>
        <v>0</v>
      </c>
      <c r="AY23" s="46">
        <f t="shared" si="2"/>
        <v>0</v>
      </c>
      <c r="AZ23" s="46">
        <f t="shared" si="3"/>
        <v>0</v>
      </c>
    </row>
    <row r="24" spans="1:52" ht="20.100000000000001" customHeight="1">
      <c r="C24" s="102"/>
      <c r="D24" s="3"/>
      <c r="E24" s="12"/>
      <c r="F24" s="3"/>
      <c r="G24" s="3"/>
      <c r="H24" s="3"/>
      <c r="J24" s="3"/>
      <c r="K24" s="3"/>
      <c r="L24" s="4"/>
      <c r="M24" s="3"/>
      <c r="O24" s="58"/>
      <c r="Q24" s="64"/>
      <c r="R24" s="45"/>
      <c r="S24" s="45"/>
      <c r="U24" s="64"/>
      <c r="V24" s="45"/>
      <c r="W24" s="64"/>
      <c r="X24" s="64"/>
      <c r="Y24" s="45"/>
      <c r="Z24" s="45"/>
      <c r="AA24" s="105"/>
      <c r="AB24" s="105"/>
      <c r="AC24" s="105"/>
      <c r="AD24" s="64"/>
      <c r="AG24" s="45"/>
      <c r="AH24" s="64"/>
      <c r="AI24" s="45"/>
      <c r="AJ24" s="105"/>
      <c r="AK24" s="105"/>
      <c r="AL24" s="60"/>
      <c r="AM24" s="60"/>
      <c r="AN24" s="60"/>
      <c r="AO24" s="60"/>
      <c r="AP24" s="60"/>
      <c r="AQ24" s="60"/>
      <c r="AR24" s="60"/>
      <c r="AS24" s="60"/>
      <c r="AT24" s="45"/>
      <c r="AU24" s="45"/>
      <c r="AW24" s="45"/>
      <c r="AX24" s="46">
        <f t="shared" si="1"/>
        <v>0</v>
      </c>
      <c r="AY24" s="46">
        <f t="shared" si="2"/>
        <v>0</v>
      </c>
      <c r="AZ24" s="46">
        <f t="shared" si="3"/>
        <v>0</v>
      </c>
    </row>
    <row r="25" spans="1:52" ht="20.100000000000001" customHeight="1">
      <c r="C25" s="102"/>
      <c r="D25" s="3"/>
      <c r="E25" s="12"/>
      <c r="F25" s="3"/>
      <c r="G25" s="3"/>
      <c r="H25" s="3"/>
      <c r="J25" s="3"/>
      <c r="K25" s="3"/>
      <c r="L25" s="4"/>
      <c r="M25" s="3"/>
      <c r="O25" s="58"/>
      <c r="Q25" s="64"/>
      <c r="R25" s="45"/>
      <c r="S25" s="45"/>
      <c r="U25" s="64"/>
      <c r="V25" s="45"/>
      <c r="W25" s="64"/>
      <c r="X25" s="64"/>
      <c r="Y25" s="45"/>
      <c r="Z25" s="45"/>
      <c r="AA25" s="105"/>
      <c r="AB25" s="105"/>
      <c r="AC25" s="105"/>
      <c r="AD25" s="64"/>
      <c r="AG25" s="45"/>
      <c r="AH25" s="64"/>
      <c r="AI25" s="45"/>
      <c r="AJ25" s="105"/>
      <c r="AK25" s="105"/>
      <c r="AL25" s="60"/>
      <c r="AM25" s="60"/>
      <c r="AN25" s="60"/>
      <c r="AO25" s="60"/>
      <c r="AP25" s="60"/>
      <c r="AQ25" s="60"/>
      <c r="AR25" s="60"/>
      <c r="AS25" s="60"/>
      <c r="AT25" s="45"/>
      <c r="AU25" s="45"/>
      <c r="AW25" s="45"/>
      <c r="AX25" s="46">
        <f t="shared" si="1"/>
        <v>0</v>
      </c>
      <c r="AY25" s="46">
        <f t="shared" si="2"/>
        <v>0</v>
      </c>
      <c r="AZ25" s="46">
        <f t="shared" si="3"/>
        <v>0</v>
      </c>
    </row>
    <row r="26" spans="1:52" ht="20.100000000000001" customHeight="1">
      <c r="C26" s="102"/>
      <c r="D26" s="3"/>
      <c r="E26" s="12"/>
      <c r="F26" s="3"/>
      <c r="G26" s="3"/>
      <c r="H26" s="3"/>
      <c r="J26" s="3"/>
      <c r="K26" s="3"/>
      <c r="L26" s="4"/>
      <c r="M26" s="3"/>
      <c r="O26" s="58"/>
      <c r="Q26" s="64"/>
      <c r="R26" s="45"/>
      <c r="S26" s="45"/>
      <c r="U26" s="64"/>
      <c r="V26" s="45"/>
      <c r="W26" s="64"/>
      <c r="X26" s="64"/>
      <c r="Y26" s="45"/>
      <c r="Z26" s="45"/>
      <c r="AA26" s="105"/>
      <c r="AB26" s="105"/>
      <c r="AC26" s="105"/>
      <c r="AD26" s="64"/>
      <c r="AG26" s="45"/>
      <c r="AH26" s="64"/>
      <c r="AI26" s="45"/>
      <c r="AJ26" s="105"/>
      <c r="AK26" s="105"/>
      <c r="AL26" s="60"/>
      <c r="AM26" s="60"/>
      <c r="AN26" s="60"/>
      <c r="AO26" s="60"/>
      <c r="AP26" s="60"/>
      <c r="AQ26" s="60"/>
      <c r="AR26" s="60"/>
      <c r="AS26" s="60"/>
      <c r="AT26" s="45"/>
      <c r="AU26" s="45"/>
      <c r="AW26" s="45"/>
      <c r="AX26" s="46">
        <f t="shared" si="1"/>
        <v>0</v>
      </c>
      <c r="AY26" s="46">
        <f t="shared" si="2"/>
        <v>0</v>
      </c>
      <c r="AZ26" s="46">
        <f t="shared" si="3"/>
        <v>0</v>
      </c>
    </row>
    <row r="27" spans="1:52" ht="20.100000000000001" customHeight="1">
      <c r="C27" s="102"/>
      <c r="D27" s="3"/>
      <c r="E27" s="12"/>
      <c r="F27" s="3"/>
      <c r="G27" s="3"/>
      <c r="H27" s="3"/>
      <c r="J27" s="3"/>
      <c r="K27" s="3"/>
      <c r="L27" s="4"/>
      <c r="M27" s="3"/>
      <c r="O27" s="58"/>
      <c r="Q27" s="64"/>
      <c r="R27" s="45"/>
      <c r="S27" s="45"/>
      <c r="U27" s="64"/>
      <c r="V27" s="45"/>
      <c r="W27" s="64"/>
      <c r="X27" s="64"/>
      <c r="Y27" s="45"/>
      <c r="Z27" s="45"/>
      <c r="AA27" s="105"/>
      <c r="AB27" s="105"/>
      <c r="AC27" s="105"/>
      <c r="AD27" s="64"/>
      <c r="AG27" s="45"/>
      <c r="AH27" s="64"/>
      <c r="AI27" s="45"/>
      <c r="AJ27" s="105"/>
      <c r="AK27" s="105"/>
      <c r="AL27" s="60"/>
      <c r="AM27" s="60"/>
      <c r="AN27" s="60"/>
      <c r="AO27" s="60"/>
      <c r="AP27" s="60"/>
      <c r="AQ27" s="60"/>
      <c r="AR27" s="60"/>
      <c r="AS27" s="60"/>
      <c r="AT27" s="45"/>
      <c r="AU27" s="45"/>
      <c r="AW27" s="45"/>
      <c r="AX27" s="46">
        <f t="shared" si="1"/>
        <v>0</v>
      </c>
      <c r="AY27" s="46">
        <f t="shared" si="2"/>
        <v>0</v>
      </c>
      <c r="AZ27" s="46">
        <f t="shared" si="3"/>
        <v>0</v>
      </c>
    </row>
    <row r="28" spans="1:52" ht="20.100000000000001" customHeight="1">
      <c r="C28" s="102"/>
      <c r="D28" s="3"/>
      <c r="E28" s="12"/>
      <c r="F28" s="3"/>
      <c r="G28" s="3"/>
      <c r="H28" s="3"/>
      <c r="J28" s="3"/>
      <c r="K28" s="3"/>
      <c r="L28" s="4"/>
      <c r="M28" s="3"/>
      <c r="O28" s="58"/>
      <c r="Q28" s="64"/>
      <c r="R28" s="45"/>
      <c r="S28" s="45"/>
      <c r="U28" s="64"/>
      <c r="V28" s="45"/>
      <c r="W28" s="64"/>
      <c r="X28" s="64"/>
      <c r="Y28" s="45"/>
      <c r="Z28" s="45"/>
      <c r="AA28" s="105"/>
      <c r="AB28" s="105"/>
      <c r="AC28" s="105"/>
      <c r="AD28" s="64"/>
      <c r="AG28" s="45"/>
      <c r="AH28" s="64"/>
      <c r="AI28" s="45"/>
      <c r="AJ28" s="105"/>
      <c r="AK28" s="105"/>
      <c r="AL28" s="60"/>
      <c r="AM28" s="60"/>
      <c r="AN28" s="60"/>
      <c r="AO28" s="60"/>
      <c r="AP28" s="60"/>
      <c r="AQ28" s="60"/>
      <c r="AR28" s="60"/>
      <c r="AS28" s="60"/>
      <c r="AT28" s="45"/>
      <c r="AU28" s="45"/>
      <c r="AW28" s="45"/>
      <c r="AX28" s="46">
        <f t="shared" si="1"/>
        <v>0</v>
      </c>
      <c r="AY28" s="46">
        <f t="shared" si="2"/>
        <v>0</v>
      </c>
      <c r="AZ28" s="46">
        <f t="shared" si="3"/>
        <v>0</v>
      </c>
    </row>
    <row r="29" spans="1:52" ht="20.100000000000001" customHeight="1">
      <c r="C29" s="102"/>
      <c r="D29" s="3"/>
      <c r="E29" s="12"/>
      <c r="F29" s="3"/>
      <c r="G29" s="3"/>
      <c r="H29" s="3"/>
      <c r="J29" s="3"/>
      <c r="K29" s="3"/>
      <c r="L29" s="4"/>
      <c r="M29" s="3"/>
      <c r="O29" s="58"/>
      <c r="Q29" s="64"/>
      <c r="R29" s="45"/>
      <c r="S29" s="45"/>
      <c r="U29" s="64"/>
      <c r="V29" s="45"/>
      <c r="W29" s="64"/>
      <c r="X29" s="64"/>
      <c r="Y29" s="45"/>
      <c r="Z29" s="45"/>
      <c r="AA29" s="105"/>
      <c r="AB29" s="105"/>
      <c r="AC29" s="105"/>
      <c r="AD29" s="64"/>
      <c r="AG29" s="45"/>
      <c r="AH29" s="64"/>
      <c r="AI29" s="45"/>
      <c r="AJ29" s="105"/>
      <c r="AK29" s="105"/>
      <c r="AL29" s="60"/>
      <c r="AM29" s="60"/>
      <c r="AN29" s="60"/>
      <c r="AO29" s="60"/>
      <c r="AP29" s="60"/>
      <c r="AQ29" s="60"/>
      <c r="AR29" s="60"/>
      <c r="AS29" s="60"/>
      <c r="AT29" s="45"/>
      <c r="AU29" s="45"/>
      <c r="AW29" s="45"/>
      <c r="AX29" s="46">
        <f t="shared" si="1"/>
        <v>0</v>
      </c>
      <c r="AY29" s="46">
        <f t="shared" si="2"/>
        <v>0</v>
      </c>
      <c r="AZ29" s="46">
        <f t="shared" si="3"/>
        <v>0</v>
      </c>
    </row>
    <row r="30" spans="1:52" s="13" customFormat="1" ht="20.100000000000001" customHeight="1">
      <c r="A30" s="76"/>
      <c r="B30" s="5"/>
      <c r="C30" s="102"/>
      <c r="D30" s="3"/>
      <c r="E30" s="12"/>
      <c r="F30" s="3"/>
      <c r="G30" s="3"/>
      <c r="H30" s="3"/>
      <c r="I30" s="6"/>
      <c r="J30" s="3"/>
      <c r="K30" s="3"/>
      <c r="L30" s="4"/>
      <c r="M30" s="3"/>
      <c r="N30" s="6"/>
      <c r="O30" s="58"/>
      <c r="P30" s="6"/>
      <c r="Q30" s="64"/>
      <c r="R30" s="45"/>
      <c r="S30" s="45"/>
      <c r="T30" s="48"/>
      <c r="U30" s="64"/>
      <c r="V30" s="45"/>
      <c r="W30" s="64"/>
      <c r="X30" s="64"/>
      <c r="Y30" s="45"/>
      <c r="Z30" s="45"/>
      <c r="AA30" s="105"/>
      <c r="AB30" s="105"/>
      <c r="AC30" s="105"/>
      <c r="AD30" s="64"/>
      <c r="AE30" s="48"/>
      <c r="AF30" s="47"/>
      <c r="AG30" s="45"/>
      <c r="AH30" s="64"/>
      <c r="AI30" s="45"/>
      <c r="AJ30" s="105"/>
      <c r="AK30" s="105"/>
      <c r="AL30" s="60"/>
      <c r="AM30" s="60"/>
      <c r="AN30" s="60"/>
      <c r="AO30" s="60"/>
      <c r="AP30" s="60"/>
      <c r="AQ30" s="60"/>
      <c r="AR30" s="60"/>
      <c r="AS30" s="60"/>
      <c r="AT30" s="45"/>
      <c r="AU30" s="45"/>
      <c r="AV30" s="48"/>
      <c r="AW30" s="45"/>
      <c r="AX30" s="46">
        <f t="shared" si="1"/>
        <v>0</v>
      </c>
      <c r="AY30" s="46">
        <f t="shared" si="2"/>
        <v>0</v>
      </c>
      <c r="AZ30" s="46">
        <f t="shared" si="3"/>
        <v>0</v>
      </c>
    </row>
    <row r="31" spans="1:52" ht="20.100000000000001" customHeight="1">
      <c r="C31" s="102"/>
      <c r="D31" s="3"/>
      <c r="E31" s="12"/>
      <c r="F31" s="3"/>
      <c r="G31" s="3"/>
      <c r="H31" s="3"/>
      <c r="J31" s="3"/>
      <c r="K31" s="3"/>
      <c r="L31" s="4"/>
      <c r="M31" s="3"/>
      <c r="O31" s="58"/>
      <c r="Q31" s="64"/>
      <c r="R31" s="45"/>
      <c r="AG31" s="45"/>
      <c r="AI31" s="45"/>
      <c r="AJ31" s="105"/>
      <c r="AK31" s="105"/>
      <c r="AL31" s="60"/>
      <c r="AM31" s="60"/>
      <c r="AN31" s="60"/>
      <c r="AO31" s="60"/>
      <c r="AP31" s="60"/>
      <c r="AQ31" s="60"/>
      <c r="AR31" s="60"/>
      <c r="AS31" s="60"/>
      <c r="AT31" s="45"/>
      <c r="AU31" s="45"/>
      <c r="AW31" s="45"/>
      <c r="AX31" s="46">
        <f t="shared" si="1"/>
        <v>0</v>
      </c>
      <c r="AY31" s="46">
        <f t="shared" si="2"/>
        <v>0</v>
      </c>
      <c r="AZ31" s="46">
        <f t="shared" si="3"/>
        <v>0</v>
      </c>
    </row>
    <row r="32" spans="1:52" ht="20.100000000000001" customHeight="1">
      <c r="C32" s="102"/>
      <c r="D32" s="3"/>
      <c r="E32" s="12"/>
      <c r="F32" s="3"/>
      <c r="G32" s="3"/>
      <c r="H32" s="3"/>
      <c r="J32" s="3"/>
      <c r="K32" s="3"/>
      <c r="L32" s="4"/>
      <c r="M32" s="3"/>
      <c r="O32" s="58"/>
      <c r="Q32" s="64"/>
      <c r="R32" s="45"/>
      <c r="S32" s="45"/>
      <c r="AG32" s="45"/>
      <c r="AI32" s="45"/>
      <c r="AJ32" s="105"/>
      <c r="AK32" s="105"/>
      <c r="AL32" s="60"/>
      <c r="AM32" s="60"/>
      <c r="AN32" s="60"/>
      <c r="AO32" s="60"/>
      <c r="AP32" s="60"/>
      <c r="AQ32" s="60"/>
      <c r="AR32" s="60"/>
      <c r="AS32" s="60"/>
      <c r="AT32" s="45"/>
      <c r="AU32" s="45"/>
      <c r="AW32" s="45"/>
      <c r="AX32" s="46">
        <f t="shared" si="1"/>
        <v>0</v>
      </c>
      <c r="AY32" s="46">
        <f t="shared" si="2"/>
        <v>0</v>
      </c>
      <c r="AZ32" s="46">
        <f t="shared" si="3"/>
        <v>0</v>
      </c>
    </row>
    <row r="33" spans="1:52" s="13" customFormat="1" ht="20.100000000000001" customHeight="1">
      <c r="A33" s="76"/>
      <c r="B33" s="5"/>
      <c r="C33" s="102"/>
      <c r="D33" s="3"/>
      <c r="E33" s="12"/>
      <c r="F33" s="3"/>
      <c r="G33" s="3"/>
      <c r="H33" s="3"/>
      <c r="I33" s="6"/>
      <c r="J33" s="3"/>
      <c r="K33" s="3"/>
      <c r="L33" s="4"/>
      <c r="M33" s="3"/>
      <c r="N33" s="6"/>
      <c r="O33" s="58"/>
      <c r="P33" s="6"/>
      <c r="Q33" s="64"/>
      <c r="R33" s="45"/>
      <c r="S33" s="45"/>
      <c r="T33" s="48"/>
      <c r="U33" s="64"/>
      <c r="V33" s="45"/>
      <c r="W33" s="64"/>
      <c r="X33" s="64"/>
      <c r="Y33" s="45"/>
      <c r="Z33" s="45"/>
      <c r="AA33" s="105"/>
      <c r="AB33" s="105"/>
      <c r="AC33" s="105"/>
      <c r="AD33" s="64"/>
      <c r="AE33" s="48"/>
      <c r="AF33" s="47"/>
      <c r="AG33" s="45"/>
      <c r="AH33" s="64"/>
      <c r="AI33" s="45"/>
      <c r="AJ33" s="105"/>
      <c r="AK33" s="105"/>
      <c r="AL33" s="60"/>
      <c r="AM33" s="60"/>
      <c r="AN33" s="60"/>
      <c r="AO33" s="60"/>
      <c r="AP33" s="60"/>
      <c r="AQ33" s="60"/>
      <c r="AR33" s="60"/>
      <c r="AS33" s="60"/>
      <c r="AT33" s="45"/>
      <c r="AU33" s="45"/>
      <c r="AV33" s="48"/>
      <c r="AW33" s="45"/>
      <c r="AX33" s="46">
        <f t="shared" si="1"/>
        <v>0</v>
      </c>
      <c r="AY33" s="46">
        <f t="shared" si="2"/>
        <v>0</v>
      </c>
      <c r="AZ33" s="46">
        <f t="shared" si="3"/>
        <v>0</v>
      </c>
    </row>
    <row r="34" spans="1:52" ht="20.100000000000001" customHeight="1">
      <c r="C34" s="102"/>
      <c r="D34" s="3"/>
      <c r="E34" s="12"/>
      <c r="F34" s="3"/>
      <c r="G34" s="3"/>
      <c r="H34" s="3"/>
      <c r="J34" s="3"/>
      <c r="K34" s="3"/>
      <c r="L34" s="4"/>
      <c r="M34" s="3"/>
      <c r="O34" s="58"/>
      <c r="Q34" s="64"/>
      <c r="R34" s="45"/>
      <c r="S34" s="45"/>
      <c r="U34" s="64"/>
      <c r="V34" s="45"/>
      <c r="W34" s="64"/>
      <c r="X34" s="64"/>
      <c r="Y34" s="45"/>
      <c r="Z34" s="45"/>
      <c r="AA34" s="105"/>
      <c r="AB34" s="105"/>
      <c r="AC34" s="105"/>
      <c r="AD34" s="64"/>
      <c r="AG34" s="45"/>
      <c r="AH34" s="64"/>
      <c r="AI34" s="45"/>
      <c r="AJ34" s="105"/>
      <c r="AK34" s="105"/>
      <c r="AL34" s="60"/>
      <c r="AM34" s="60"/>
      <c r="AN34" s="60"/>
      <c r="AO34" s="60"/>
      <c r="AP34" s="60"/>
      <c r="AQ34" s="60"/>
      <c r="AR34" s="60"/>
      <c r="AS34" s="60"/>
      <c r="AT34" s="45"/>
      <c r="AU34" s="45"/>
      <c r="AW34" s="45"/>
      <c r="AX34" s="46">
        <f t="shared" si="1"/>
        <v>0</v>
      </c>
      <c r="AY34" s="46">
        <f t="shared" si="2"/>
        <v>0</v>
      </c>
      <c r="AZ34" s="46">
        <f t="shared" si="3"/>
        <v>0</v>
      </c>
    </row>
    <row r="35" spans="1:52" ht="20.100000000000001" customHeight="1">
      <c r="C35" s="102"/>
      <c r="D35" s="3"/>
      <c r="E35" s="12"/>
      <c r="F35" s="3"/>
      <c r="G35" s="3"/>
      <c r="H35" s="3"/>
      <c r="J35" s="3"/>
      <c r="K35" s="3"/>
      <c r="L35" s="4"/>
      <c r="M35" s="3"/>
      <c r="O35" s="58"/>
      <c r="Q35" s="64"/>
      <c r="R35" s="45"/>
      <c r="S35" s="45"/>
      <c r="U35" s="64"/>
      <c r="V35" s="45"/>
      <c r="W35" s="64"/>
      <c r="X35" s="64"/>
      <c r="Y35" s="45"/>
      <c r="Z35" s="45"/>
      <c r="AA35" s="105"/>
      <c r="AB35" s="105"/>
      <c r="AC35" s="105"/>
      <c r="AD35" s="64"/>
      <c r="AG35" s="45"/>
      <c r="AH35" s="64"/>
      <c r="AI35" s="45"/>
      <c r="AJ35" s="105"/>
      <c r="AK35" s="105"/>
      <c r="AL35" s="60"/>
      <c r="AM35" s="60"/>
      <c r="AN35" s="60"/>
      <c r="AO35" s="60"/>
      <c r="AP35" s="60"/>
      <c r="AQ35" s="60"/>
      <c r="AR35" s="60"/>
      <c r="AS35" s="60"/>
      <c r="AT35" s="45"/>
      <c r="AU35" s="45"/>
      <c r="AW35" s="45"/>
      <c r="AX35" s="46">
        <f t="shared" si="1"/>
        <v>0</v>
      </c>
      <c r="AY35" s="46">
        <f t="shared" si="2"/>
        <v>0</v>
      </c>
      <c r="AZ35" s="46">
        <f t="shared" si="3"/>
        <v>0</v>
      </c>
    </row>
    <row r="36" spans="1:52" ht="20.100000000000001" customHeight="1">
      <c r="C36" s="102"/>
      <c r="D36" s="3"/>
      <c r="E36" s="12"/>
      <c r="F36" s="3"/>
      <c r="G36" s="3"/>
      <c r="H36" s="3"/>
      <c r="J36" s="3"/>
      <c r="K36" s="3"/>
      <c r="L36" s="4"/>
      <c r="M36" s="3"/>
      <c r="O36" s="58"/>
      <c r="Q36" s="64"/>
      <c r="R36" s="45"/>
      <c r="S36" s="45"/>
      <c r="U36" s="64"/>
      <c r="V36" s="45"/>
      <c r="W36" s="64"/>
      <c r="X36" s="64"/>
      <c r="Y36" s="45"/>
      <c r="Z36" s="45"/>
      <c r="AA36" s="105"/>
      <c r="AB36" s="105"/>
      <c r="AC36" s="105"/>
      <c r="AD36" s="64"/>
      <c r="AG36" s="45"/>
      <c r="AH36" s="64"/>
      <c r="AI36" s="45"/>
      <c r="AJ36" s="105"/>
      <c r="AK36" s="105"/>
      <c r="AL36" s="60"/>
      <c r="AM36" s="60"/>
      <c r="AN36" s="60"/>
      <c r="AO36" s="60"/>
      <c r="AP36" s="60"/>
      <c r="AQ36" s="60"/>
      <c r="AR36" s="60"/>
      <c r="AS36" s="60"/>
      <c r="AT36" s="45"/>
      <c r="AU36" s="45"/>
      <c r="AW36" s="45"/>
      <c r="AX36" s="46">
        <f t="shared" si="1"/>
        <v>0</v>
      </c>
      <c r="AY36" s="46">
        <f t="shared" si="2"/>
        <v>0</v>
      </c>
      <c r="AZ36" s="46">
        <f t="shared" si="3"/>
        <v>0</v>
      </c>
    </row>
    <row r="37" spans="1:52" s="13" customFormat="1" ht="20.100000000000001" customHeight="1">
      <c r="A37" s="76"/>
      <c r="B37" s="5"/>
      <c r="C37" s="102"/>
      <c r="D37" s="3"/>
      <c r="E37" s="12"/>
      <c r="F37" s="3"/>
      <c r="G37" s="3"/>
      <c r="H37" s="3"/>
      <c r="I37" s="6"/>
      <c r="J37" s="3"/>
      <c r="K37" s="3"/>
      <c r="L37" s="4"/>
      <c r="M37" s="3"/>
      <c r="N37" s="6"/>
      <c r="O37" s="58"/>
      <c r="P37" s="6"/>
      <c r="Q37" s="64"/>
      <c r="R37" s="45"/>
      <c r="S37" s="45"/>
      <c r="T37" s="48"/>
      <c r="U37" s="64"/>
      <c r="V37" s="45"/>
      <c r="W37" s="64"/>
      <c r="X37" s="64"/>
      <c r="Y37" s="45"/>
      <c r="Z37" s="45"/>
      <c r="AA37" s="105"/>
      <c r="AB37" s="105"/>
      <c r="AC37" s="105"/>
      <c r="AD37" s="64"/>
      <c r="AE37" s="48"/>
      <c r="AF37" s="47"/>
      <c r="AG37" s="45"/>
      <c r="AH37" s="64"/>
      <c r="AI37" s="45"/>
      <c r="AJ37" s="105"/>
      <c r="AK37" s="105"/>
      <c r="AL37" s="60"/>
      <c r="AM37" s="60"/>
      <c r="AN37" s="60"/>
      <c r="AO37" s="60"/>
      <c r="AP37" s="60"/>
      <c r="AQ37" s="60"/>
      <c r="AR37" s="60"/>
      <c r="AS37" s="60"/>
      <c r="AT37" s="45"/>
      <c r="AU37" s="45"/>
      <c r="AV37" s="48"/>
      <c r="AW37" s="45"/>
      <c r="AX37" s="46">
        <f t="shared" si="1"/>
        <v>0</v>
      </c>
      <c r="AY37" s="46">
        <f t="shared" si="2"/>
        <v>0</v>
      </c>
      <c r="AZ37" s="46">
        <f t="shared" si="3"/>
        <v>0</v>
      </c>
    </row>
    <row r="38" spans="1:52" ht="20.100000000000001" customHeight="1">
      <c r="C38" s="102"/>
      <c r="D38" s="3"/>
      <c r="E38" s="12"/>
      <c r="F38" s="3"/>
      <c r="G38" s="3"/>
      <c r="H38" s="3"/>
      <c r="J38" s="3"/>
      <c r="K38" s="3"/>
      <c r="L38" s="4"/>
      <c r="M38" s="3"/>
      <c r="O38" s="58"/>
      <c r="Q38" s="64"/>
      <c r="R38" s="45"/>
      <c r="S38" s="45"/>
      <c r="U38" s="64"/>
      <c r="V38" s="45"/>
      <c r="W38" s="64"/>
      <c r="X38" s="64"/>
      <c r="Y38" s="45"/>
      <c r="Z38" s="45"/>
      <c r="AA38" s="105"/>
      <c r="AB38" s="105"/>
      <c r="AC38" s="105"/>
      <c r="AD38" s="64"/>
      <c r="AG38" s="45"/>
      <c r="AH38" s="64"/>
      <c r="AI38" s="45"/>
      <c r="AJ38" s="105"/>
      <c r="AK38" s="105"/>
      <c r="AL38" s="60"/>
      <c r="AM38" s="60"/>
      <c r="AN38" s="60"/>
      <c r="AO38" s="60"/>
      <c r="AP38" s="60"/>
      <c r="AQ38" s="60"/>
      <c r="AR38" s="60"/>
      <c r="AS38" s="60"/>
      <c r="AT38" s="45"/>
      <c r="AU38" s="45"/>
      <c r="AW38" s="45"/>
      <c r="AX38" s="46">
        <f t="shared" si="1"/>
        <v>0</v>
      </c>
      <c r="AY38" s="46">
        <f t="shared" si="2"/>
        <v>0</v>
      </c>
      <c r="AZ38" s="46">
        <f t="shared" si="3"/>
        <v>0</v>
      </c>
    </row>
    <row r="39" spans="1:52" ht="20.100000000000001" customHeight="1">
      <c r="C39" s="102"/>
      <c r="D39" s="3"/>
      <c r="E39" s="67"/>
      <c r="F39" s="3"/>
      <c r="G39" s="3"/>
      <c r="H39" s="3"/>
      <c r="J39" s="3"/>
      <c r="K39" s="3"/>
      <c r="L39" s="4"/>
      <c r="M39" s="3"/>
      <c r="O39" s="58"/>
      <c r="Q39" s="64"/>
      <c r="R39" s="45"/>
      <c r="S39" s="45"/>
      <c r="U39" s="64"/>
      <c r="V39" s="45"/>
      <c r="W39" s="64"/>
      <c r="X39" s="64"/>
      <c r="Y39" s="45"/>
      <c r="Z39" s="45"/>
      <c r="AA39" s="105"/>
      <c r="AB39" s="105"/>
      <c r="AC39" s="105"/>
      <c r="AD39" s="64"/>
      <c r="AG39" s="45"/>
      <c r="AH39" s="64"/>
      <c r="AI39" s="45"/>
      <c r="AJ39" s="105"/>
      <c r="AK39" s="105"/>
      <c r="AL39" s="60"/>
      <c r="AM39" s="60"/>
      <c r="AN39" s="60"/>
      <c r="AO39" s="60"/>
      <c r="AP39" s="60"/>
      <c r="AQ39" s="60"/>
      <c r="AR39" s="60"/>
      <c r="AS39" s="60"/>
      <c r="AT39" s="45"/>
      <c r="AU39" s="45"/>
      <c r="AW39" s="45"/>
      <c r="AX39" s="46">
        <f t="shared" si="1"/>
        <v>0</v>
      </c>
      <c r="AY39" s="46">
        <f t="shared" si="2"/>
        <v>0</v>
      </c>
      <c r="AZ39" s="46">
        <f t="shared" si="3"/>
        <v>0</v>
      </c>
    </row>
    <row r="40" spans="1:52" ht="20.100000000000001" customHeight="1">
      <c r="A40" s="77"/>
      <c r="B40" s="61"/>
      <c r="C40" s="103"/>
      <c r="D40" s="3"/>
      <c r="E40" s="12"/>
      <c r="F40" s="3"/>
      <c r="G40" s="3"/>
      <c r="H40" s="3"/>
      <c r="J40" s="3"/>
      <c r="K40" s="3"/>
      <c r="L40" s="4"/>
      <c r="M40" s="3"/>
      <c r="O40" s="58"/>
      <c r="Q40" s="64"/>
      <c r="R40" s="45"/>
      <c r="S40" s="45"/>
      <c r="U40" s="64"/>
      <c r="V40" s="45"/>
      <c r="W40" s="64"/>
      <c r="X40" s="64"/>
      <c r="Y40" s="45"/>
      <c r="Z40" s="45"/>
      <c r="AA40" s="105"/>
      <c r="AB40" s="105"/>
      <c r="AC40" s="105"/>
      <c r="AD40" s="64"/>
      <c r="AE40" s="62"/>
      <c r="AG40" s="45"/>
      <c r="AH40" s="64"/>
      <c r="AI40" s="45"/>
      <c r="AJ40" s="105"/>
      <c r="AK40" s="105"/>
      <c r="AL40" s="60"/>
      <c r="AM40" s="60"/>
      <c r="AN40" s="60"/>
      <c r="AO40" s="60"/>
      <c r="AP40" s="60"/>
      <c r="AQ40" s="60"/>
      <c r="AR40" s="60"/>
      <c r="AS40" s="60"/>
      <c r="AT40" s="45"/>
      <c r="AU40" s="45"/>
      <c r="AW40" s="45"/>
      <c r="AX40" s="46">
        <f t="shared" si="1"/>
        <v>0</v>
      </c>
      <c r="AY40" s="46">
        <f t="shared" si="2"/>
        <v>0</v>
      </c>
      <c r="AZ40" s="46">
        <f t="shared" si="3"/>
        <v>0</v>
      </c>
    </row>
    <row r="41" spans="1:52" ht="20.100000000000001" customHeight="1">
      <c r="C41" s="102"/>
      <c r="D41" s="3"/>
      <c r="E41" s="12"/>
      <c r="F41" s="3"/>
      <c r="G41" s="3"/>
      <c r="H41" s="3"/>
      <c r="J41" s="3"/>
      <c r="K41" s="3"/>
      <c r="L41" s="4"/>
      <c r="M41" s="3"/>
      <c r="O41" s="58"/>
      <c r="Q41" s="64"/>
      <c r="R41" s="45"/>
      <c r="S41" s="45"/>
      <c r="U41" s="64"/>
      <c r="V41" s="45"/>
      <c r="W41" s="64"/>
      <c r="X41" s="64"/>
      <c r="Y41" s="45"/>
      <c r="Z41" s="45"/>
      <c r="AA41" s="105"/>
      <c r="AB41" s="105"/>
      <c r="AC41" s="105"/>
      <c r="AD41" s="64"/>
      <c r="AG41" s="45"/>
      <c r="AH41" s="64"/>
      <c r="AI41" s="45"/>
      <c r="AJ41" s="105"/>
      <c r="AK41" s="105"/>
      <c r="AL41" s="60"/>
      <c r="AM41" s="60"/>
      <c r="AN41" s="60"/>
      <c r="AO41" s="60"/>
      <c r="AP41" s="60"/>
      <c r="AQ41" s="60"/>
      <c r="AR41" s="60"/>
      <c r="AS41" s="60"/>
      <c r="AT41" s="45"/>
      <c r="AU41" s="45"/>
      <c r="AW41" s="45"/>
      <c r="AX41" s="46">
        <f t="shared" si="1"/>
        <v>0</v>
      </c>
      <c r="AY41" s="46">
        <f t="shared" si="2"/>
        <v>0</v>
      </c>
      <c r="AZ41" s="46">
        <f t="shared" si="3"/>
        <v>0</v>
      </c>
    </row>
    <row r="42" spans="1:52" ht="20.100000000000001" customHeight="1">
      <c r="C42" s="102"/>
      <c r="D42" s="3"/>
      <c r="E42" s="67"/>
      <c r="F42" s="3"/>
      <c r="G42" s="3"/>
      <c r="H42" s="3"/>
      <c r="J42" s="3"/>
      <c r="K42" s="3"/>
      <c r="L42" s="4"/>
      <c r="M42" s="3"/>
      <c r="O42" s="58"/>
      <c r="Q42" s="64"/>
      <c r="R42" s="45"/>
      <c r="S42" s="45"/>
      <c r="U42" s="64"/>
      <c r="V42" s="45"/>
      <c r="W42" s="64"/>
      <c r="X42" s="64"/>
      <c r="Y42" s="45"/>
      <c r="Z42" s="45"/>
      <c r="AA42" s="105"/>
      <c r="AB42" s="105"/>
      <c r="AC42" s="105"/>
      <c r="AD42" s="64"/>
      <c r="AG42" s="45"/>
      <c r="AH42" s="64"/>
      <c r="AI42" s="45"/>
      <c r="AJ42" s="105"/>
      <c r="AK42" s="105"/>
      <c r="AL42" s="60"/>
      <c r="AM42" s="60"/>
      <c r="AN42" s="60"/>
      <c r="AO42" s="60"/>
      <c r="AP42" s="60"/>
      <c r="AQ42" s="60"/>
      <c r="AR42" s="60"/>
      <c r="AS42" s="60"/>
      <c r="AT42" s="45"/>
      <c r="AU42" s="45"/>
      <c r="AW42" s="45"/>
      <c r="AX42" s="46">
        <f t="shared" si="1"/>
        <v>0</v>
      </c>
      <c r="AY42" s="46">
        <f t="shared" si="2"/>
        <v>0</v>
      </c>
      <c r="AZ42" s="46">
        <f t="shared" si="3"/>
        <v>0</v>
      </c>
    </row>
    <row r="43" spans="1:52" ht="20.100000000000001" customHeight="1">
      <c r="C43" s="102"/>
      <c r="D43" s="3"/>
      <c r="E43" s="12"/>
      <c r="F43" s="3"/>
      <c r="G43" s="3"/>
      <c r="H43" s="3"/>
      <c r="J43" s="3"/>
      <c r="K43" s="3"/>
      <c r="L43" s="4"/>
      <c r="M43" s="3"/>
      <c r="O43" s="58"/>
      <c r="Q43" s="64"/>
      <c r="R43" s="45"/>
      <c r="S43" s="45"/>
      <c r="U43" s="64"/>
      <c r="V43" s="45"/>
      <c r="W43" s="64"/>
      <c r="X43" s="64"/>
      <c r="Y43" s="45"/>
      <c r="Z43" s="45"/>
      <c r="AA43" s="105"/>
      <c r="AB43" s="105"/>
      <c r="AC43" s="105"/>
      <c r="AD43" s="64"/>
      <c r="AG43" s="45"/>
      <c r="AH43" s="64"/>
      <c r="AI43" s="45"/>
      <c r="AJ43" s="105"/>
      <c r="AK43" s="105"/>
      <c r="AL43" s="60"/>
      <c r="AM43" s="60"/>
      <c r="AN43" s="60"/>
      <c r="AO43" s="60"/>
      <c r="AP43" s="60"/>
      <c r="AQ43" s="60"/>
      <c r="AR43" s="60"/>
      <c r="AS43" s="60"/>
      <c r="AT43" s="45"/>
      <c r="AU43" s="45"/>
      <c r="AW43" s="45"/>
      <c r="AX43" s="46">
        <f t="shared" si="1"/>
        <v>0</v>
      </c>
      <c r="AY43" s="46">
        <f t="shared" si="2"/>
        <v>0</v>
      </c>
      <c r="AZ43" s="46">
        <f t="shared" si="3"/>
        <v>0</v>
      </c>
    </row>
    <row r="44" spans="1:52" s="13" customFormat="1" ht="20.100000000000001" customHeight="1">
      <c r="A44" s="76"/>
      <c r="B44" s="5"/>
      <c r="C44" s="102"/>
      <c r="D44" s="3"/>
      <c r="E44" s="67"/>
      <c r="F44" s="3"/>
      <c r="G44" s="3"/>
      <c r="H44" s="3"/>
      <c r="I44" s="6"/>
      <c r="J44" s="3"/>
      <c r="K44" s="3"/>
      <c r="L44" s="4"/>
      <c r="M44" s="3"/>
      <c r="N44" s="6"/>
      <c r="O44" s="58"/>
      <c r="P44" s="6"/>
      <c r="Q44" s="64"/>
      <c r="R44" s="45"/>
      <c r="S44" s="45"/>
      <c r="T44" s="48"/>
      <c r="U44" s="64"/>
      <c r="V44" s="45"/>
      <c r="W44" s="64"/>
      <c r="X44" s="64"/>
      <c r="Y44" s="45"/>
      <c r="Z44" s="45"/>
      <c r="AA44" s="105"/>
      <c r="AB44" s="105"/>
      <c r="AC44" s="105"/>
      <c r="AD44" s="64"/>
      <c r="AE44" s="48"/>
      <c r="AF44" s="47"/>
      <c r="AG44" s="45"/>
      <c r="AH44" s="64"/>
      <c r="AI44" s="45"/>
      <c r="AJ44" s="105"/>
      <c r="AK44" s="105"/>
      <c r="AL44" s="60"/>
      <c r="AM44" s="60"/>
      <c r="AN44" s="60"/>
      <c r="AO44" s="60"/>
      <c r="AP44" s="60"/>
      <c r="AQ44" s="60"/>
      <c r="AR44" s="60"/>
      <c r="AS44" s="60"/>
      <c r="AT44" s="45"/>
      <c r="AU44" s="45"/>
      <c r="AV44" s="48"/>
      <c r="AW44" s="45"/>
      <c r="AX44" s="46">
        <f t="shared" si="1"/>
        <v>0</v>
      </c>
      <c r="AY44" s="46">
        <f t="shared" si="2"/>
        <v>0</v>
      </c>
      <c r="AZ44" s="46">
        <f t="shared" si="3"/>
        <v>0</v>
      </c>
    </row>
    <row r="45" spans="1:52" ht="20.100000000000001" customHeight="1">
      <c r="C45" s="102"/>
      <c r="D45" s="3"/>
      <c r="E45" s="67"/>
      <c r="F45" s="3"/>
      <c r="G45" s="3"/>
      <c r="H45" s="3"/>
      <c r="J45" s="3"/>
      <c r="K45" s="3"/>
      <c r="L45" s="4"/>
      <c r="M45" s="3"/>
      <c r="O45" s="58"/>
      <c r="Q45" s="64"/>
      <c r="R45" s="45"/>
      <c r="S45" s="45"/>
      <c r="U45" s="64"/>
      <c r="V45" s="45"/>
      <c r="W45" s="64"/>
      <c r="X45" s="64"/>
      <c r="Y45" s="45"/>
      <c r="Z45" s="45"/>
      <c r="AA45" s="105"/>
      <c r="AB45" s="105"/>
      <c r="AC45" s="105"/>
      <c r="AD45" s="64"/>
      <c r="AG45" s="45"/>
      <c r="AH45" s="64"/>
      <c r="AI45" s="45"/>
      <c r="AJ45" s="105"/>
      <c r="AK45" s="105"/>
      <c r="AL45" s="60"/>
      <c r="AM45" s="60"/>
      <c r="AN45" s="60"/>
      <c r="AO45" s="60"/>
      <c r="AP45" s="60"/>
      <c r="AQ45" s="60"/>
      <c r="AR45" s="60"/>
      <c r="AS45" s="60"/>
      <c r="AT45" s="45"/>
      <c r="AU45" s="45"/>
      <c r="AW45" s="45"/>
      <c r="AX45" s="46">
        <f t="shared" si="1"/>
        <v>0</v>
      </c>
      <c r="AY45" s="46">
        <f t="shared" si="2"/>
        <v>0</v>
      </c>
      <c r="AZ45" s="46">
        <f t="shared" si="3"/>
        <v>0</v>
      </c>
    </row>
    <row r="46" spans="1:52" ht="20.100000000000001" customHeight="1">
      <c r="C46" s="102"/>
      <c r="D46" s="3"/>
      <c r="E46" s="12"/>
      <c r="F46" s="3"/>
      <c r="G46" s="3"/>
      <c r="H46" s="3"/>
      <c r="J46" s="3"/>
      <c r="K46" s="3"/>
      <c r="L46" s="4"/>
      <c r="M46" s="3"/>
      <c r="O46" s="58"/>
      <c r="Q46" s="64"/>
      <c r="R46" s="45"/>
      <c r="S46" s="45"/>
      <c r="U46" s="64"/>
      <c r="V46" s="45"/>
      <c r="W46" s="64"/>
      <c r="X46" s="64"/>
      <c r="Y46" s="45"/>
      <c r="Z46" s="45"/>
      <c r="AA46" s="105"/>
      <c r="AB46" s="105"/>
      <c r="AC46" s="105"/>
      <c r="AD46" s="64"/>
      <c r="AG46" s="45"/>
      <c r="AH46" s="64"/>
      <c r="AI46" s="45"/>
      <c r="AJ46" s="105"/>
      <c r="AK46" s="105"/>
      <c r="AL46" s="60"/>
      <c r="AM46" s="60"/>
      <c r="AN46" s="60"/>
      <c r="AO46" s="60"/>
      <c r="AP46" s="60"/>
      <c r="AQ46" s="60"/>
      <c r="AR46" s="60"/>
      <c r="AS46" s="60"/>
      <c r="AT46" s="45"/>
      <c r="AU46" s="45"/>
      <c r="AW46" s="45"/>
      <c r="AX46" s="46">
        <f t="shared" si="1"/>
        <v>0</v>
      </c>
      <c r="AY46" s="46">
        <f t="shared" si="2"/>
        <v>0</v>
      </c>
      <c r="AZ46" s="46">
        <f t="shared" si="3"/>
        <v>0</v>
      </c>
    </row>
    <row r="47" spans="1:52" s="13" customFormat="1" ht="20.100000000000001" customHeight="1">
      <c r="A47" s="76"/>
      <c r="B47" s="5"/>
      <c r="C47" s="102"/>
      <c r="D47" s="3"/>
      <c r="E47" s="12"/>
      <c r="F47" s="3"/>
      <c r="G47" s="3"/>
      <c r="H47" s="3"/>
      <c r="I47" s="6"/>
      <c r="J47" s="3"/>
      <c r="K47" s="3"/>
      <c r="L47" s="4"/>
      <c r="M47" s="3"/>
      <c r="N47" s="6"/>
      <c r="O47" s="58"/>
      <c r="P47" s="6"/>
      <c r="Q47" s="64"/>
      <c r="R47" s="45"/>
      <c r="S47" s="45"/>
      <c r="T47" s="48"/>
      <c r="U47" s="64"/>
      <c r="V47" s="45"/>
      <c r="W47" s="64"/>
      <c r="X47" s="64"/>
      <c r="Y47" s="45"/>
      <c r="Z47" s="45"/>
      <c r="AA47" s="105"/>
      <c r="AB47" s="105"/>
      <c r="AC47" s="105"/>
      <c r="AD47" s="64"/>
      <c r="AE47" s="48"/>
      <c r="AF47" s="47"/>
      <c r="AG47" s="45"/>
      <c r="AH47" s="64"/>
      <c r="AI47" s="45"/>
      <c r="AJ47" s="105"/>
      <c r="AK47" s="105"/>
      <c r="AL47" s="60"/>
      <c r="AM47" s="60"/>
      <c r="AN47" s="60"/>
      <c r="AO47" s="60"/>
      <c r="AP47" s="60"/>
      <c r="AQ47" s="60"/>
      <c r="AR47" s="60"/>
      <c r="AS47" s="60"/>
      <c r="AT47" s="45"/>
      <c r="AU47" s="45"/>
      <c r="AV47" s="48"/>
      <c r="AW47" s="45"/>
      <c r="AX47" s="46">
        <f t="shared" si="1"/>
        <v>0</v>
      </c>
      <c r="AY47" s="46">
        <f t="shared" si="2"/>
        <v>0</v>
      </c>
      <c r="AZ47" s="46">
        <f t="shared" si="3"/>
        <v>0</v>
      </c>
    </row>
    <row r="48" spans="1:52" s="13" customFormat="1" ht="20.100000000000001" customHeight="1">
      <c r="A48" s="76"/>
      <c r="B48" s="5"/>
      <c r="C48" s="102"/>
      <c r="D48" s="3"/>
      <c r="E48" s="12"/>
      <c r="F48" s="3"/>
      <c r="G48" s="3"/>
      <c r="H48" s="3"/>
      <c r="I48" s="6"/>
      <c r="J48" s="3"/>
      <c r="K48" s="3"/>
      <c r="L48" s="4"/>
      <c r="M48" s="3"/>
      <c r="N48" s="6"/>
      <c r="O48" s="58"/>
      <c r="P48" s="6"/>
      <c r="Q48" s="64"/>
      <c r="R48" s="45"/>
      <c r="S48" s="45"/>
      <c r="T48" s="48"/>
      <c r="U48" s="64"/>
      <c r="V48" s="45"/>
      <c r="W48" s="64"/>
      <c r="X48" s="64"/>
      <c r="Y48" s="45"/>
      <c r="Z48" s="45"/>
      <c r="AA48" s="105"/>
      <c r="AB48" s="105"/>
      <c r="AC48" s="105"/>
      <c r="AD48" s="64"/>
      <c r="AE48" s="48"/>
      <c r="AF48" s="47"/>
      <c r="AG48" s="45"/>
      <c r="AH48" s="64"/>
      <c r="AI48" s="45"/>
      <c r="AJ48" s="105"/>
      <c r="AK48" s="105"/>
      <c r="AL48" s="60"/>
      <c r="AM48" s="60"/>
      <c r="AN48" s="60"/>
      <c r="AO48" s="60"/>
      <c r="AP48" s="60"/>
      <c r="AQ48" s="60"/>
      <c r="AR48" s="60"/>
      <c r="AS48" s="60"/>
      <c r="AT48" s="45"/>
      <c r="AU48" s="45"/>
      <c r="AV48" s="48"/>
      <c r="AW48" s="45"/>
      <c r="AX48" s="46">
        <f t="shared" si="1"/>
        <v>0</v>
      </c>
      <c r="AY48" s="46">
        <f t="shared" si="2"/>
        <v>0</v>
      </c>
      <c r="AZ48" s="46">
        <f t="shared" si="3"/>
        <v>0</v>
      </c>
    </row>
    <row r="49" spans="1:52" ht="20.100000000000001" customHeight="1">
      <c r="C49" s="102"/>
      <c r="D49" s="3"/>
      <c r="E49" s="12"/>
      <c r="F49" s="3"/>
      <c r="G49" s="3"/>
      <c r="H49" s="3"/>
      <c r="J49" s="3"/>
      <c r="K49" s="3"/>
      <c r="L49" s="4"/>
      <c r="M49" s="3"/>
      <c r="O49" s="58"/>
      <c r="Q49" s="64"/>
      <c r="R49" s="45"/>
      <c r="S49" s="45"/>
      <c r="U49" s="64"/>
      <c r="V49" s="45"/>
      <c r="W49" s="64"/>
      <c r="X49" s="64"/>
      <c r="Y49" s="45"/>
      <c r="Z49" s="45"/>
      <c r="AA49" s="105"/>
      <c r="AB49" s="105"/>
      <c r="AC49" s="105"/>
      <c r="AD49" s="64"/>
      <c r="AG49" s="45"/>
      <c r="AH49" s="64"/>
      <c r="AI49" s="45"/>
      <c r="AJ49" s="105"/>
      <c r="AK49" s="105"/>
      <c r="AL49" s="60"/>
      <c r="AM49" s="60"/>
      <c r="AN49" s="60"/>
      <c r="AO49" s="60"/>
      <c r="AP49" s="60"/>
      <c r="AQ49" s="60"/>
      <c r="AR49" s="60"/>
      <c r="AS49" s="60"/>
      <c r="AT49" s="45"/>
      <c r="AU49" s="45"/>
      <c r="AW49" s="45"/>
      <c r="AX49" s="46">
        <f t="shared" si="1"/>
        <v>0</v>
      </c>
      <c r="AY49" s="46">
        <f t="shared" si="2"/>
        <v>0</v>
      </c>
      <c r="AZ49" s="46">
        <f t="shared" si="3"/>
        <v>0</v>
      </c>
    </row>
    <row r="50" spans="1:52" s="13" customFormat="1" ht="20.100000000000001" customHeight="1">
      <c r="A50" s="76"/>
      <c r="B50" s="5"/>
      <c r="C50" s="102"/>
      <c r="D50" s="3"/>
      <c r="E50" s="12"/>
      <c r="F50" s="3"/>
      <c r="G50" s="3"/>
      <c r="H50" s="3"/>
      <c r="I50" s="6"/>
      <c r="J50" s="3"/>
      <c r="K50" s="3"/>
      <c r="L50" s="4"/>
      <c r="M50" s="3"/>
      <c r="N50" s="6"/>
      <c r="O50" s="58"/>
      <c r="P50" s="6"/>
      <c r="Q50" s="64"/>
      <c r="R50" s="45"/>
      <c r="S50" s="45"/>
      <c r="T50" s="48"/>
      <c r="U50" s="64"/>
      <c r="V50" s="45"/>
      <c r="W50" s="64"/>
      <c r="X50" s="64"/>
      <c r="Y50" s="45"/>
      <c r="Z50" s="45"/>
      <c r="AA50" s="105"/>
      <c r="AB50" s="105"/>
      <c r="AC50" s="105"/>
      <c r="AD50" s="64"/>
      <c r="AE50" s="48"/>
      <c r="AF50" s="47"/>
      <c r="AG50" s="45"/>
      <c r="AH50" s="64"/>
      <c r="AI50" s="45"/>
      <c r="AJ50" s="105"/>
      <c r="AK50" s="105"/>
      <c r="AL50" s="60"/>
      <c r="AM50" s="60"/>
      <c r="AN50" s="60"/>
      <c r="AO50" s="60"/>
      <c r="AP50" s="60"/>
      <c r="AQ50" s="60"/>
      <c r="AR50" s="60"/>
      <c r="AS50" s="60"/>
      <c r="AT50" s="45"/>
      <c r="AU50" s="45"/>
      <c r="AV50" s="48"/>
      <c r="AW50" s="45"/>
      <c r="AX50" s="46">
        <f t="shared" si="1"/>
        <v>0</v>
      </c>
      <c r="AY50" s="46">
        <f t="shared" si="2"/>
        <v>0</v>
      </c>
      <c r="AZ50" s="46">
        <f t="shared" si="3"/>
        <v>0</v>
      </c>
    </row>
    <row r="51" spans="1:52" s="13" customFormat="1" ht="20.100000000000001" customHeight="1">
      <c r="A51" s="77"/>
      <c r="B51" s="61"/>
      <c r="C51" s="103"/>
      <c r="D51" s="3"/>
      <c r="E51" s="12"/>
      <c r="F51" s="3"/>
      <c r="G51" s="3"/>
      <c r="H51" s="3"/>
      <c r="I51" s="6"/>
      <c r="J51" s="3"/>
      <c r="K51" s="3"/>
      <c r="L51" s="4"/>
      <c r="M51" s="3"/>
      <c r="N51" s="6"/>
      <c r="O51" s="58"/>
      <c r="P51" s="6"/>
      <c r="Q51" s="64"/>
      <c r="R51" s="45"/>
      <c r="S51" s="45"/>
      <c r="T51" s="48"/>
      <c r="U51" s="64"/>
      <c r="V51" s="45"/>
      <c r="W51" s="64"/>
      <c r="X51" s="64"/>
      <c r="Y51" s="45"/>
      <c r="Z51" s="45"/>
      <c r="AA51" s="105"/>
      <c r="AB51" s="105"/>
      <c r="AC51" s="105"/>
      <c r="AD51" s="64"/>
      <c r="AE51" s="62"/>
      <c r="AF51" s="47"/>
      <c r="AG51" s="45"/>
      <c r="AH51" s="64"/>
      <c r="AI51" s="45"/>
      <c r="AJ51" s="105"/>
      <c r="AK51" s="105"/>
      <c r="AL51" s="60"/>
      <c r="AM51" s="60"/>
      <c r="AN51" s="60"/>
      <c r="AO51" s="60"/>
      <c r="AP51" s="60"/>
      <c r="AQ51" s="60"/>
      <c r="AR51" s="60"/>
      <c r="AS51" s="60"/>
      <c r="AT51" s="45"/>
      <c r="AU51" s="45"/>
      <c r="AV51" s="48"/>
      <c r="AW51" s="45"/>
      <c r="AX51" s="46">
        <f t="shared" si="1"/>
        <v>0</v>
      </c>
      <c r="AY51" s="46">
        <f t="shared" si="2"/>
        <v>0</v>
      </c>
      <c r="AZ51" s="46">
        <f t="shared" si="3"/>
        <v>0</v>
      </c>
    </row>
    <row r="52" spans="1:52" s="13" customFormat="1" ht="20.100000000000001" customHeight="1">
      <c r="A52" s="76"/>
      <c r="B52" s="5"/>
      <c r="C52" s="102"/>
      <c r="D52" s="3"/>
      <c r="E52" s="12"/>
      <c r="F52" s="3"/>
      <c r="G52" s="3"/>
      <c r="H52" s="3"/>
      <c r="I52" s="6"/>
      <c r="J52" s="3"/>
      <c r="K52" s="3"/>
      <c r="L52" s="4"/>
      <c r="M52" s="3"/>
      <c r="N52" s="6"/>
      <c r="O52" s="58"/>
      <c r="P52" s="6"/>
      <c r="Q52" s="64"/>
      <c r="R52" s="45"/>
      <c r="S52" s="45"/>
      <c r="T52" s="48"/>
      <c r="U52" s="64"/>
      <c r="V52" s="45"/>
      <c r="W52" s="64"/>
      <c r="X52" s="64"/>
      <c r="Y52" s="45"/>
      <c r="Z52" s="45"/>
      <c r="AA52" s="105"/>
      <c r="AB52" s="105"/>
      <c r="AC52" s="105"/>
      <c r="AD52" s="64"/>
      <c r="AE52" s="48"/>
      <c r="AF52" s="47"/>
      <c r="AG52" s="45"/>
      <c r="AH52" s="64"/>
      <c r="AI52" s="45"/>
      <c r="AJ52" s="105"/>
      <c r="AK52" s="105"/>
      <c r="AL52" s="60"/>
      <c r="AM52" s="60"/>
      <c r="AN52" s="60"/>
      <c r="AO52" s="60"/>
      <c r="AP52" s="60"/>
      <c r="AQ52" s="60"/>
      <c r="AR52" s="60"/>
      <c r="AS52" s="60"/>
      <c r="AT52" s="45"/>
      <c r="AU52" s="45"/>
      <c r="AV52" s="48"/>
      <c r="AW52" s="45"/>
      <c r="AX52" s="46">
        <f t="shared" si="1"/>
        <v>0</v>
      </c>
      <c r="AY52" s="46">
        <f t="shared" si="2"/>
        <v>0</v>
      </c>
      <c r="AZ52" s="46">
        <f t="shared" si="3"/>
        <v>0</v>
      </c>
    </row>
    <row r="53" spans="1:52" s="13" customFormat="1" ht="20.100000000000001" customHeight="1">
      <c r="A53" s="76"/>
      <c r="B53" s="5"/>
      <c r="C53" s="102"/>
      <c r="D53" s="3"/>
      <c r="E53" s="12"/>
      <c r="F53" s="3"/>
      <c r="G53" s="3"/>
      <c r="H53" s="3"/>
      <c r="I53" s="6"/>
      <c r="J53" s="3"/>
      <c r="K53" s="3"/>
      <c r="L53" s="4"/>
      <c r="M53" s="3"/>
      <c r="N53" s="6"/>
      <c r="O53" s="58"/>
      <c r="P53" s="6"/>
      <c r="Q53" s="64"/>
      <c r="R53" s="45"/>
      <c r="S53" s="45"/>
      <c r="T53" s="48"/>
      <c r="U53" s="64"/>
      <c r="V53" s="45"/>
      <c r="W53" s="64"/>
      <c r="X53" s="64"/>
      <c r="Y53" s="45"/>
      <c r="Z53" s="45"/>
      <c r="AA53" s="105"/>
      <c r="AB53" s="105"/>
      <c r="AC53" s="105"/>
      <c r="AD53" s="64"/>
      <c r="AE53" s="48"/>
      <c r="AF53" s="47"/>
      <c r="AG53" s="48"/>
      <c r="AH53" s="64"/>
      <c r="AI53" s="45"/>
      <c r="AJ53" s="105"/>
      <c r="AK53" s="105"/>
      <c r="AL53" s="60"/>
      <c r="AM53" s="60"/>
      <c r="AN53" s="60"/>
      <c r="AO53" s="60"/>
      <c r="AP53" s="60"/>
      <c r="AQ53" s="60"/>
      <c r="AR53" s="60"/>
      <c r="AS53" s="60"/>
      <c r="AT53" s="45"/>
      <c r="AU53" s="45"/>
      <c r="AV53" s="48"/>
      <c r="AW53" s="45"/>
      <c r="AX53" s="46">
        <f t="shared" si="1"/>
        <v>0</v>
      </c>
      <c r="AY53" s="46">
        <f t="shared" si="2"/>
        <v>0</v>
      </c>
      <c r="AZ53" s="46">
        <f t="shared" si="3"/>
        <v>0</v>
      </c>
    </row>
    <row r="54" spans="1:52" ht="20.100000000000001" customHeight="1">
      <c r="C54" s="102"/>
      <c r="D54" s="3"/>
      <c r="E54" s="12"/>
      <c r="F54" s="3"/>
      <c r="G54" s="3"/>
      <c r="H54" s="3"/>
      <c r="J54" s="3"/>
      <c r="K54" s="3"/>
      <c r="L54" s="4"/>
      <c r="M54" s="3"/>
      <c r="O54" s="58"/>
      <c r="Q54" s="64"/>
      <c r="R54" s="45"/>
      <c r="S54" s="45"/>
      <c r="U54" s="64"/>
      <c r="V54" s="45"/>
      <c r="W54" s="64"/>
      <c r="X54" s="64"/>
      <c r="Y54" s="45"/>
      <c r="Z54" s="45"/>
      <c r="AA54" s="105"/>
      <c r="AB54" s="105"/>
      <c r="AC54" s="105"/>
      <c r="AD54" s="64"/>
      <c r="AG54" s="45"/>
      <c r="AH54" s="64"/>
      <c r="AI54" s="45"/>
      <c r="AJ54" s="105"/>
      <c r="AK54" s="105"/>
      <c r="AL54" s="60"/>
      <c r="AM54" s="60"/>
      <c r="AN54" s="60"/>
      <c r="AO54" s="60"/>
      <c r="AP54" s="60"/>
      <c r="AQ54" s="60"/>
      <c r="AR54" s="60"/>
      <c r="AS54" s="60"/>
      <c r="AT54" s="45"/>
      <c r="AU54" s="45"/>
      <c r="AW54" s="45"/>
      <c r="AX54" s="46">
        <f t="shared" si="1"/>
        <v>0</v>
      </c>
      <c r="AY54" s="46">
        <f t="shared" si="2"/>
        <v>0</v>
      </c>
      <c r="AZ54" s="46">
        <f t="shared" si="3"/>
        <v>0</v>
      </c>
    </row>
    <row r="55" spans="1:52" ht="20.100000000000001" customHeight="1">
      <c r="C55" s="102"/>
      <c r="D55" s="3"/>
      <c r="E55" s="12"/>
      <c r="F55" s="3"/>
      <c r="G55" s="3"/>
      <c r="H55" s="3"/>
      <c r="J55" s="3"/>
      <c r="K55" s="3"/>
      <c r="L55" s="4"/>
      <c r="M55" s="3"/>
      <c r="O55" s="58"/>
      <c r="Q55" s="64"/>
      <c r="R55" s="45"/>
      <c r="S55" s="45"/>
      <c r="U55" s="64"/>
      <c r="V55" s="45"/>
      <c r="W55" s="64"/>
      <c r="X55" s="64"/>
      <c r="Y55" s="45"/>
      <c r="Z55" s="45"/>
      <c r="AA55" s="105"/>
      <c r="AB55" s="105"/>
      <c r="AC55" s="105"/>
      <c r="AD55" s="64"/>
      <c r="AH55" s="64"/>
      <c r="AI55" s="45"/>
      <c r="AJ55" s="105"/>
      <c r="AK55" s="105"/>
      <c r="AL55" s="60"/>
      <c r="AM55" s="60"/>
      <c r="AN55" s="60"/>
      <c r="AO55" s="60"/>
      <c r="AP55" s="60"/>
      <c r="AQ55" s="60"/>
      <c r="AR55" s="60"/>
      <c r="AS55" s="60"/>
      <c r="AT55" s="45"/>
      <c r="AU55" s="45"/>
      <c r="AW55" s="45"/>
      <c r="AX55" s="46">
        <f t="shared" si="1"/>
        <v>0</v>
      </c>
      <c r="AY55" s="46">
        <f t="shared" si="2"/>
        <v>0</v>
      </c>
      <c r="AZ55" s="46">
        <f t="shared" si="3"/>
        <v>0</v>
      </c>
    </row>
    <row r="56" spans="1:52" ht="20.100000000000001" customHeight="1">
      <c r="C56" s="102"/>
      <c r="D56" s="3"/>
      <c r="E56" s="12"/>
      <c r="F56" s="3"/>
      <c r="G56" s="3"/>
      <c r="H56" s="3"/>
      <c r="J56" s="3"/>
      <c r="K56" s="3"/>
      <c r="L56" s="4"/>
      <c r="M56" s="3"/>
      <c r="O56" s="58"/>
      <c r="Q56" s="64"/>
      <c r="R56" s="45"/>
      <c r="S56" s="45"/>
      <c r="U56" s="64"/>
      <c r="V56" s="45"/>
      <c r="W56" s="64"/>
      <c r="X56" s="64"/>
      <c r="Y56" s="45"/>
      <c r="Z56" s="45"/>
      <c r="AA56" s="105"/>
      <c r="AB56" s="105"/>
      <c r="AC56" s="105"/>
      <c r="AD56" s="64"/>
      <c r="AG56" s="45"/>
      <c r="AH56" s="64"/>
      <c r="AI56" s="45"/>
      <c r="AJ56" s="105"/>
      <c r="AK56" s="105"/>
      <c r="AL56" s="60"/>
      <c r="AM56" s="60"/>
      <c r="AN56" s="60"/>
      <c r="AO56" s="60"/>
      <c r="AP56" s="60"/>
      <c r="AQ56" s="60"/>
      <c r="AR56" s="60"/>
      <c r="AS56" s="60"/>
      <c r="AT56" s="45"/>
      <c r="AU56" s="45"/>
      <c r="AW56" s="45"/>
      <c r="AX56" s="46">
        <f t="shared" si="1"/>
        <v>0</v>
      </c>
      <c r="AY56" s="46">
        <f t="shared" si="2"/>
        <v>0</v>
      </c>
      <c r="AZ56" s="46">
        <f t="shared" si="3"/>
        <v>0</v>
      </c>
    </row>
    <row r="57" spans="1:52" ht="20.100000000000001" customHeight="1">
      <c r="C57" s="102"/>
      <c r="D57" s="3"/>
      <c r="E57" s="12"/>
      <c r="F57" s="3"/>
      <c r="G57" s="3"/>
      <c r="H57" s="3"/>
      <c r="J57" s="3"/>
      <c r="K57" s="3"/>
      <c r="L57" s="4"/>
      <c r="M57" s="3"/>
      <c r="O57" s="58"/>
      <c r="Q57" s="64"/>
      <c r="R57" s="45"/>
      <c r="S57" s="45"/>
      <c r="U57" s="64"/>
      <c r="V57" s="45"/>
      <c r="W57" s="64"/>
      <c r="X57" s="64"/>
      <c r="Y57" s="45"/>
      <c r="Z57" s="45"/>
      <c r="AA57" s="105"/>
      <c r="AB57" s="105"/>
      <c r="AC57" s="105"/>
      <c r="AD57" s="64"/>
      <c r="AG57" s="45"/>
      <c r="AH57" s="64"/>
      <c r="AI57" s="45"/>
      <c r="AJ57" s="105"/>
      <c r="AK57" s="105"/>
      <c r="AL57" s="60"/>
      <c r="AM57" s="60"/>
      <c r="AN57" s="60"/>
      <c r="AO57" s="60"/>
      <c r="AP57" s="60"/>
      <c r="AQ57" s="60"/>
      <c r="AR57" s="60"/>
      <c r="AS57" s="60"/>
      <c r="AT57" s="45"/>
      <c r="AU57" s="45"/>
      <c r="AW57" s="45"/>
      <c r="AX57" s="46">
        <f t="shared" si="1"/>
        <v>0</v>
      </c>
      <c r="AY57" s="46">
        <f t="shared" si="2"/>
        <v>0</v>
      </c>
      <c r="AZ57" s="46">
        <f t="shared" si="3"/>
        <v>0</v>
      </c>
    </row>
    <row r="58" spans="1:52" ht="20.100000000000001" customHeight="1">
      <c r="C58" s="102"/>
      <c r="D58" s="3"/>
      <c r="E58" s="12"/>
      <c r="F58" s="3"/>
      <c r="G58" s="3"/>
      <c r="H58" s="3"/>
      <c r="J58" s="3"/>
      <c r="K58" s="3"/>
      <c r="L58" s="4"/>
      <c r="M58" s="3"/>
      <c r="O58" s="58"/>
      <c r="Q58" s="64"/>
      <c r="R58" s="45"/>
      <c r="S58" s="45"/>
      <c r="U58" s="64"/>
      <c r="V58" s="45"/>
      <c r="W58" s="64"/>
      <c r="X58" s="64"/>
      <c r="Y58" s="45"/>
      <c r="Z58" s="45"/>
      <c r="AA58" s="105"/>
      <c r="AB58" s="105"/>
      <c r="AC58" s="105"/>
      <c r="AD58" s="64"/>
      <c r="AG58" s="45"/>
      <c r="AH58" s="64"/>
      <c r="AI58" s="45"/>
      <c r="AJ58" s="105"/>
      <c r="AK58" s="105"/>
      <c r="AL58" s="60"/>
      <c r="AM58" s="60"/>
      <c r="AN58" s="60"/>
      <c r="AO58" s="60"/>
      <c r="AP58" s="60"/>
      <c r="AQ58" s="60"/>
      <c r="AR58" s="60"/>
      <c r="AS58" s="60"/>
      <c r="AT58" s="45"/>
      <c r="AU58" s="45"/>
      <c r="AW58" s="45"/>
      <c r="AX58" s="46">
        <f t="shared" si="1"/>
        <v>0</v>
      </c>
      <c r="AY58" s="46">
        <f t="shared" si="2"/>
        <v>0</v>
      </c>
      <c r="AZ58" s="46">
        <f t="shared" si="3"/>
        <v>0</v>
      </c>
    </row>
    <row r="59" spans="1:52" s="13" customFormat="1" ht="20.100000000000001" customHeight="1">
      <c r="A59" s="76"/>
      <c r="B59" s="5"/>
      <c r="C59" s="102"/>
      <c r="D59" s="3"/>
      <c r="E59" s="67"/>
      <c r="F59" s="3"/>
      <c r="G59" s="3"/>
      <c r="H59" s="3"/>
      <c r="I59" s="6"/>
      <c r="J59" s="3"/>
      <c r="K59" s="3"/>
      <c r="L59" s="4"/>
      <c r="M59" s="3"/>
      <c r="N59" s="6"/>
      <c r="O59" s="58"/>
      <c r="P59" s="6"/>
      <c r="Q59" s="64"/>
      <c r="R59" s="45"/>
      <c r="S59" s="45"/>
      <c r="T59" s="48"/>
      <c r="U59" s="64"/>
      <c r="V59" s="45"/>
      <c r="W59" s="64"/>
      <c r="X59" s="64"/>
      <c r="Y59" s="45"/>
      <c r="Z59" s="45"/>
      <c r="AA59" s="105"/>
      <c r="AB59" s="105"/>
      <c r="AC59" s="105"/>
      <c r="AD59" s="64"/>
      <c r="AE59" s="48"/>
      <c r="AF59" s="47"/>
      <c r="AG59" s="45"/>
      <c r="AH59" s="64"/>
      <c r="AI59" s="45"/>
      <c r="AJ59" s="105"/>
      <c r="AK59" s="105"/>
      <c r="AL59" s="60"/>
      <c r="AM59" s="60"/>
      <c r="AN59" s="60"/>
      <c r="AO59" s="60"/>
      <c r="AP59" s="60"/>
      <c r="AQ59" s="60"/>
      <c r="AR59" s="60"/>
      <c r="AS59" s="60"/>
      <c r="AT59" s="45"/>
      <c r="AU59" s="45"/>
      <c r="AV59" s="48"/>
      <c r="AW59" s="45"/>
      <c r="AX59" s="46">
        <f t="shared" si="1"/>
        <v>0</v>
      </c>
      <c r="AY59" s="46">
        <f t="shared" si="2"/>
        <v>0</v>
      </c>
      <c r="AZ59" s="46">
        <f t="shared" si="3"/>
        <v>0</v>
      </c>
    </row>
    <row r="60" spans="1:52" ht="20.100000000000001" customHeight="1">
      <c r="C60" s="102"/>
      <c r="D60" s="3"/>
      <c r="E60" s="12"/>
      <c r="F60" s="3"/>
      <c r="G60" s="3"/>
      <c r="H60" s="3"/>
      <c r="J60" s="3"/>
      <c r="K60" s="3"/>
      <c r="L60" s="4"/>
      <c r="M60" s="3"/>
      <c r="O60" s="58"/>
      <c r="Q60" s="64"/>
      <c r="R60" s="45"/>
      <c r="S60" s="45"/>
      <c r="U60" s="64"/>
      <c r="V60" s="45"/>
      <c r="W60" s="64"/>
      <c r="X60" s="64"/>
      <c r="Y60" s="45"/>
      <c r="Z60" s="45"/>
      <c r="AA60" s="105"/>
      <c r="AB60" s="105"/>
      <c r="AC60" s="105"/>
      <c r="AD60" s="64"/>
      <c r="AG60" s="45"/>
      <c r="AH60" s="64"/>
      <c r="AI60" s="45"/>
      <c r="AJ60" s="105"/>
      <c r="AK60" s="105"/>
      <c r="AL60" s="60"/>
      <c r="AM60" s="60"/>
      <c r="AN60" s="60"/>
      <c r="AO60" s="60"/>
      <c r="AP60" s="60"/>
      <c r="AQ60" s="60"/>
      <c r="AR60" s="60"/>
      <c r="AS60" s="60"/>
      <c r="AT60" s="45"/>
      <c r="AU60" s="45"/>
      <c r="AW60" s="45"/>
      <c r="AX60" s="46">
        <f t="shared" si="1"/>
        <v>0</v>
      </c>
      <c r="AY60" s="46">
        <f t="shared" si="2"/>
        <v>0</v>
      </c>
      <c r="AZ60" s="46">
        <f t="shared" si="3"/>
        <v>0</v>
      </c>
    </row>
    <row r="61" spans="1:52" ht="20.100000000000001" customHeight="1">
      <c r="C61" s="102"/>
      <c r="D61" s="3"/>
      <c r="E61" s="12"/>
      <c r="F61" s="3"/>
      <c r="G61" s="3"/>
      <c r="H61" s="3"/>
      <c r="J61" s="3"/>
      <c r="K61" s="3"/>
      <c r="L61" s="4"/>
      <c r="M61" s="3"/>
      <c r="O61" s="58"/>
      <c r="Q61" s="64"/>
      <c r="R61" s="45"/>
      <c r="S61" s="45"/>
      <c r="U61" s="64"/>
      <c r="V61" s="45"/>
      <c r="W61" s="64"/>
      <c r="X61" s="64"/>
      <c r="Y61" s="45"/>
      <c r="Z61" s="45"/>
      <c r="AA61" s="105"/>
      <c r="AB61" s="105"/>
      <c r="AC61" s="105"/>
      <c r="AD61" s="64"/>
      <c r="AG61" s="45"/>
      <c r="AH61" s="64"/>
      <c r="AI61" s="45"/>
      <c r="AJ61" s="105"/>
      <c r="AK61" s="105"/>
      <c r="AL61" s="60"/>
      <c r="AM61" s="60"/>
      <c r="AN61" s="60"/>
      <c r="AO61" s="60"/>
      <c r="AP61" s="60"/>
      <c r="AQ61" s="60"/>
      <c r="AR61" s="60"/>
      <c r="AS61" s="60"/>
      <c r="AT61" s="45"/>
      <c r="AU61" s="45"/>
      <c r="AW61" s="45"/>
      <c r="AX61" s="46">
        <f t="shared" si="1"/>
        <v>0</v>
      </c>
      <c r="AY61" s="46">
        <f t="shared" si="2"/>
        <v>0</v>
      </c>
      <c r="AZ61" s="46">
        <f t="shared" si="3"/>
        <v>0</v>
      </c>
    </row>
    <row r="62" spans="1:52" ht="20.100000000000001" customHeight="1">
      <c r="C62" s="102"/>
      <c r="D62" s="3"/>
      <c r="E62" s="12"/>
      <c r="F62" s="3"/>
      <c r="G62" s="3"/>
      <c r="H62" s="3"/>
      <c r="J62" s="3"/>
      <c r="K62" s="3"/>
      <c r="L62" s="4"/>
      <c r="M62" s="3"/>
      <c r="O62" s="58"/>
      <c r="Q62" s="64"/>
      <c r="R62" s="45"/>
      <c r="S62" s="45"/>
      <c r="U62" s="64"/>
      <c r="V62" s="45"/>
      <c r="W62" s="64"/>
      <c r="X62" s="64"/>
      <c r="Y62" s="45"/>
      <c r="Z62" s="45"/>
      <c r="AA62" s="105"/>
      <c r="AB62" s="105"/>
      <c r="AC62" s="105"/>
      <c r="AD62" s="64"/>
      <c r="AG62" s="45"/>
      <c r="AH62" s="64"/>
      <c r="AI62" s="45"/>
      <c r="AJ62" s="105"/>
      <c r="AK62" s="105"/>
      <c r="AL62" s="60"/>
      <c r="AM62" s="60"/>
      <c r="AN62" s="60"/>
      <c r="AO62" s="60"/>
      <c r="AP62" s="60"/>
      <c r="AQ62" s="60"/>
      <c r="AR62" s="60"/>
      <c r="AS62" s="60"/>
      <c r="AT62" s="45"/>
      <c r="AU62" s="45"/>
      <c r="AW62" s="45"/>
      <c r="AX62" s="46">
        <f t="shared" si="1"/>
        <v>0</v>
      </c>
      <c r="AY62" s="46">
        <f t="shared" si="2"/>
        <v>0</v>
      </c>
      <c r="AZ62" s="46">
        <f t="shared" si="3"/>
        <v>0</v>
      </c>
    </row>
    <row r="63" spans="1:52" ht="20.100000000000001" customHeight="1">
      <c r="C63" s="102"/>
      <c r="D63" s="3"/>
      <c r="E63" s="12"/>
      <c r="F63" s="3"/>
      <c r="G63" s="3"/>
      <c r="H63" s="3"/>
      <c r="J63" s="3"/>
      <c r="K63" s="3"/>
      <c r="L63" s="4"/>
      <c r="M63" s="3"/>
      <c r="O63" s="58"/>
      <c r="Q63" s="64"/>
      <c r="R63" s="45"/>
      <c r="S63" s="45"/>
      <c r="U63" s="64"/>
      <c r="V63" s="45"/>
      <c r="W63" s="64"/>
      <c r="X63" s="64"/>
      <c r="Y63" s="45"/>
      <c r="Z63" s="45"/>
      <c r="AA63" s="105"/>
      <c r="AB63" s="105"/>
      <c r="AC63" s="105"/>
      <c r="AD63" s="64"/>
      <c r="AG63" s="45"/>
      <c r="AH63" s="64"/>
      <c r="AI63" s="45"/>
      <c r="AJ63" s="105"/>
      <c r="AK63" s="105"/>
      <c r="AL63" s="60"/>
      <c r="AM63" s="60"/>
      <c r="AN63" s="60"/>
      <c r="AO63" s="60"/>
      <c r="AP63" s="60"/>
      <c r="AQ63" s="60"/>
      <c r="AR63" s="60"/>
      <c r="AS63" s="60"/>
      <c r="AT63" s="45"/>
      <c r="AU63" s="45"/>
      <c r="AW63" s="45"/>
      <c r="AX63" s="46">
        <f t="shared" si="1"/>
        <v>0</v>
      </c>
      <c r="AY63" s="46">
        <f t="shared" si="2"/>
        <v>0</v>
      </c>
      <c r="AZ63" s="46">
        <f t="shared" si="3"/>
        <v>0</v>
      </c>
    </row>
    <row r="64" spans="1:52" s="13" customFormat="1" ht="20.100000000000001" customHeight="1">
      <c r="A64" s="76"/>
      <c r="B64" s="5"/>
      <c r="C64" s="102"/>
      <c r="D64" s="3"/>
      <c r="E64" s="12"/>
      <c r="F64" s="3"/>
      <c r="G64" s="3"/>
      <c r="H64" s="3"/>
      <c r="I64" s="6"/>
      <c r="J64" s="3"/>
      <c r="K64" s="3"/>
      <c r="L64" s="4"/>
      <c r="M64" s="3"/>
      <c r="N64" s="6"/>
      <c r="O64" s="58"/>
      <c r="P64" s="6"/>
      <c r="Q64" s="64"/>
      <c r="R64" s="45"/>
      <c r="S64" s="45"/>
      <c r="T64" s="48"/>
      <c r="U64" s="64"/>
      <c r="V64" s="45"/>
      <c r="W64" s="64"/>
      <c r="X64" s="64"/>
      <c r="Y64" s="45"/>
      <c r="Z64" s="45"/>
      <c r="AA64" s="105"/>
      <c r="AB64" s="105"/>
      <c r="AC64" s="105"/>
      <c r="AD64" s="64"/>
      <c r="AE64" s="48"/>
      <c r="AF64" s="47"/>
      <c r="AG64" s="45"/>
      <c r="AH64" s="64"/>
      <c r="AI64" s="45"/>
      <c r="AJ64" s="105"/>
      <c r="AK64" s="105"/>
      <c r="AL64" s="60"/>
      <c r="AM64" s="60"/>
      <c r="AN64" s="60"/>
      <c r="AO64" s="60"/>
      <c r="AP64" s="60"/>
      <c r="AQ64" s="60"/>
      <c r="AR64" s="60"/>
      <c r="AS64" s="60"/>
      <c r="AT64" s="45"/>
      <c r="AU64" s="45"/>
      <c r="AV64" s="48"/>
      <c r="AW64" s="45"/>
      <c r="AX64" s="46">
        <f t="shared" si="1"/>
        <v>0</v>
      </c>
      <c r="AY64" s="46">
        <f t="shared" si="2"/>
        <v>0</v>
      </c>
      <c r="AZ64" s="46">
        <f t="shared" si="3"/>
        <v>0</v>
      </c>
    </row>
    <row r="65" spans="1:52" s="13" customFormat="1" ht="20.100000000000001" customHeight="1">
      <c r="A65" s="76"/>
      <c r="B65" s="5"/>
      <c r="C65" s="102"/>
      <c r="D65" s="3"/>
      <c r="E65" s="12"/>
      <c r="F65" s="3"/>
      <c r="G65" s="3"/>
      <c r="H65" s="3"/>
      <c r="I65" s="6"/>
      <c r="J65" s="3"/>
      <c r="K65" s="3"/>
      <c r="L65" s="4"/>
      <c r="M65" s="3"/>
      <c r="N65" s="6"/>
      <c r="O65" s="58"/>
      <c r="P65" s="6"/>
      <c r="Q65" s="64"/>
      <c r="R65" s="45"/>
      <c r="S65" s="45"/>
      <c r="T65" s="48"/>
      <c r="U65" s="64"/>
      <c r="V65" s="45"/>
      <c r="W65" s="64"/>
      <c r="X65" s="64"/>
      <c r="Y65" s="45"/>
      <c r="Z65" s="45"/>
      <c r="AA65" s="105"/>
      <c r="AB65" s="105"/>
      <c r="AC65" s="105"/>
      <c r="AD65" s="64"/>
      <c r="AE65" s="48"/>
      <c r="AF65" s="47"/>
      <c r="AG65" s="45"/>
      <c r="AH65" s="64"/>
      <c r="AI65" s="45"/>
      <c r="AJ65" s="105"/>
      <c r="AK65" s="105"/>
      <c r="AL65" s="60"/>
      <c r="AM65" s="60"/>
      <c r="AN65" s="60"/>
      <c r="AO65" s="60"/>
      <c r="AP65" s="60"/>
      <c r="AQ65" s="60"/>
      <c r="AR65" s="60"/>
      <c r="AS65" s="60"/>
      <c r="AT65" s="45"/>
      <c r="AU65" s="45"/>
      <c r="AV65" s="48"/>
      <c r="AW65" s="45"/>
      <c r="AX65" s="46">
        <f t="shared" si="1"/>
        <v>0</v>
      </c>
      <c r="AY65" s="46">
        <f t="shared" si="2"/>
        <v>0</v>
      </c>
      <c r="AZ65" s="46">
        <f t="shared" si="3"/>
        <v>0</v>
      </c>
    </row>
    <row r="66" spans="1:52" ht="20.100000000000001" customHeight="1">
      <c r="C66" s="102"/>
      <c r="D66" s="3"/>
      <c r="E66" s="67"/>
      <c r="F66" s="3"/>
      <c r="G66" s="3"/>
      <c r="H66" s="3"/>
      <c r="J66" s="3"/>
      <c r="K66" s="3"/>
      <c r="L66" s="4"/>
      <c r="M66" s="3"/>
      <c r="O66" s="58"/>
      <c r="Q66" s="64"/>
      <c r="R66" s="45"/>
      <c r="S66" s="45"/>
      <c r="U66" s="64"/>
      <c r="V66" s="45"/>
      <c r="W66" s="64"/>
      <c r="X66" s="64"/>
      <c r="Y66" s="45"/>
      <c r="Z66" s="45"/>
      <c r="AA66" s="105"/>
      <c r="AB66" s="105"/>
      <c r="AC66" s="105"/>
      <c r="AD66" s="64"/>
      <c r="AG66" s="45"/>
      <c r="AH66" s="64"/>
      <c r="AI66" s="45"/>
      <c r="AJ66" s="105"/>
      <c r="AK66" s="105"/>
      <c r="AL66" s="60"/>
      <c r="AM66" s="60"/>
      <c r="AN66" s="60"/>
      <c r="AO66" s="60"/>
      <c r="AP66" s="60"/>
      <c r="AQ66" s="60"/>
      <c r="AR66" s="60"/>
      <c r="AS66" s="60"/>
      <c r="AT66" s="45"/>
      <c r="AU66" s="45"/>
      <c r="AW66" s="45"/>
      <c r="AX66" s="46">
        <f t="shared" si="1"/>
        <v>0</v>
      </c>
      <c r="AY66" s="46">
        <f t="shared" si="2"/>
        <v>0</v>
      </c>
      <c r="AZ66" s="46">
        <f t="shared" si="3"/>
        <v>0</v>
      </c>
    </row>
    <row r="67" spans="1:52" ht="20.100000000000001" customHeight="1">
      <c r="C67" s="102"/>
      <c r="D67" s="3"/>
      <c r="E67" s="67"/>
      <c r="F67" s="3"/>
      <c r="G67" s="3"/>
      <c r="H67" s="3"/>
      <c r="J67" s="3"/>
      <c r="K67" s="3"/>
      <c r="L67" s="4"/>
      <c r="M67" s="3"/>
      <c r="O67" s="58"/>
      <c r="Q67" s="64"/>
      <c r="R67" s="45"/>
      <c r="S67" s="45"/>
      <c r="U67" s="64"/>
      <c r="V67" s="45"/>
      <c r="W67" s="64"/>
      <c r="X67" s="64"/>
      <c r="Y67" s="45"/>
      <c r="Z67" s="45"/>
      <c r="AA67" s="105"/>
      <c r="AB67" s="105"/>
      <c r="AC67" s="105"/>
      <c r="AD67" s="64"/>
      <c r="AG67" s="45"/>
      <c r="AH67" s="64"/>
      <c r="AI67" s="45"/>
      <c r="AJ67" s="105"/>
      <c r="AK67" s="105"/>
      <c r="AL67" s="60"/>
      <c r="AM67" s="60"/>
      <c r="AN67" s="60"/>
      <c r="AO67" s="60"/>
      <c r="AP67" s="60"/>
      <c r="AQ67" s="60"/>
      <c r="AR67" s="60"/>
      <c r="AS67" s="60"/>
      <c r="AT67" s="45"/>
      <c r="AU67" s="45"/>
      <c r="AW67" s="45"/>
      <c r="AX67" s="46">
        <f t="shared" si="1"/>
        <v>0</v>
      </c>
      <c r="AY67" s="46">
        <f t="shared" si="2"/>
        <v>0</v>
      </c>
      <c r="AZ67" s="46">
        <f t="shared" si="3"/>
        <v>0</v>
      </c>
    </row>
    <row r="68" spans="1:52" ht="20.100000000000001" customHeight="1">
      <c r="C68" s="102"/>
      <c r="D68" s="3"/>
      <c r="E68" s="12"/>
      <c r="F68" s="3"/>
      <c r="G68" s="3"/>
      <c r="H68" s="3"/>
      <c r="J68" s="3"/>
      <c r="K68" s="3"/>
      <c r="L68" s="4"/>
      <c r="M68" s="3"/>
      <c r="O68" s="58"/>
      <c r="Q68" s="64"/>
      <c r="R68" s="45"/>
      <c r="S68" s="45"/>
      <c r="U68" s="64"/>
      <c r="V68" s="45"/>
      <c r="W68" s="64"/>
      <c r="X68" s="64"/>
      <c r="Y68" s="45"/>
      <c r="Z68" s="45"/>
      <c r="AA68" s="105"/>
      <c r="AB68" s="105"/>
      <c r="AC68" s="105"/>
      <c r="AD68" s="64"/>
      <c r="AH68" s="64"/>
      <c r="AI68" s="45"/>
      <c r="AJ68" s="105"/>
      <c r="AK68" s="105"/>
      <c r="AL68" s="60"/>
      <c r="AM68" s="60"/>
      <c r="AN68" s="60"/>
      <c r="AO68" s="60"/>
      <c r="AP68" s="60"/>
      <c r="AQ68" s="60"/>
      <c r="AR68" s="60"/>
      <c r="AS68" s="60"/>
      <c r="AT68" s="45"/>
      <c r="AU68" s="45"/>
      <c r="AW68" s="45"/>
      <c r="AX68" s="46">
        <f t="shared" si="1"/>
        <v>0</v>
      </c>
      <c r="AY68" s="46">
        <f t="shared" si="2"/>
        <v>0</v>
      </c>
      <c r="AZ68" s="46">
        <f t="shared" si="3"/>
        <v>0</v>
      </c>
    </row>
    <row r="69" spans="1:52" ht="20.100000000000001" customHeight="1">
      <c r="C69" s="102"/>
      <c r="D69" s="3"/>
      <c r="E69" s="12"/>
      <c r="F69" s="3"/>
      <c r="G69" s="3"/>
      <c r="H69" s="3"/>
      <c r="J69" s="3"/>
      <c r="K69" s="3"/>
      <c r="L69" s="4"/>
      <c r="M69" s="3"/>
      <c r="O69" s="58"/>
      <c r="Q69" s="64"/>
      <c r="R69" s="45"/>
      <c r="S69" s="45"/>
      <c r="U69" s="64"/>
      <c r="V69" s="45"/>
      <c r="W69" s="64"/>
      <c r="X69" s="64"/>
      <c r="Y69" s="45"/>
      <c r="Z69" s="45"/>
      <c r="AA69" s="105"/>
      <c r="AB69" s="105"/>
      <c r="AC69" s="105"/>
      <c r="AD69" s="64"/>
      <c r="AG69" s="45"/>
      <c r="AH69" s="64"/>
      <c r="AI69" s="45"/>
      <c r="AJ69" s="105"/>
      <c r="AK69" s="105"/>
      <c r="AL69" s="60"/>
      <c r="AM69" s="60"/>
      <c r="AN69" s="60"/>
      <c r="AO69" s="60"/>
      <c r="AP69" s="60"/>
      <c r="AQ69" s="60"/>
      <c r="AR69" s="60"/>
      <c r="AS69" s="60"/>
      <c r="AT69" s="45"/>
      <c r="AU69" s="45"/>
      <c r="AW69" s="45"/>
      <c r="AX69" s="46">
        <f t="shared" si="1"/>
        <v>0</v>
      </c>
      <c r="AY69" s="46">
        <f t="shared" si="2"/>
        <v>0</v>
      </c>
      <c r="AZ69" s="46">
        <f t="shared" si="3"/>
        <v>0</v>
      </c>
    </row>
    <row r="70" spans="1:52" ht="20.100000000000001" customHeight="1">
      <c r="C70" s="102"/>
      <c r="D70" s="3"/>
      <c r="E70" s="12"/>
      <c r="F70" s="3"/>
      <c r="G70" s="3"/>
      <c r="H70" s="3"/>
      <c r="J70" s="3"/>
      <c r="K70" s="3"/>
      <c r="L70" s="4"/>
      <c r="M70" s="3"/>
      <c r="O70" s="58"/>
      <c r="Q70" s="64"/>
      <c r="R70" s="45"/>
      <c r="S70" s="45"/>
      <c r="U70" s="64"/>
      <c r="V70" s="45"/>
      <c r="W70" s="64"/>
      <c r="X70" s="64"/>
      <c r="Y70" s="45"/>
      <c r="Z70" s="45"/>
      <c r="AA70" s="105"/>
      <c r="AB70" s="105"/>
      <c r="AC70" s="105"/>
      <c r="AD70" s="64"/>
      <c r="AH70" s="64"/>
      <c r="AI70" s="45"/>
      <c r="AJ70" s="105"/>
      <c r="AK70" s="105"/>
      <c r="AL70" s="60"/>
      <c r="AM70" s="60"/>
      <c r="AN70" s="60"/>
      <c r="AO70" s="60"/>
      <c r="AP70" s="60"/>
      <c r="AQ70" s="60"/>
      <c r="AR70" s="60"/>
      <c r="AS70" s="60"/>
      <c r="AT70" s="45"/>
      <c r="AU70" s="45"/>
      <c r="AW70" s="45"/>
      <c r="AX70" s="46">
        <f t="shared" si="1"/>
        <v>0</v>
      </c>
      <c r="AY70" s="46">
        <f t="shared" si="2"/>
        <v>0</v>
      </c>
      <c r="AZ70" s="46">
        <f t="shared" si="3"/>
        <v>0</v>
      </c>
    </row>
    <row r="71" spans="1:52" ht="20.100000000000001" customHeight="1">
      <c r="C71" s="102"/>
      <c r="D71" s="3"/>
      <c r="E71" s="12"/>
      <c r="F71" s="3"/>
      <c r="G71" s="3"/>
      <c r="H71" s="3"/>
      <c r="J71" s="3"/>
      <c r="K71" s="3"/>
      <c r="L71" s="4"/>
      <c r="M71" s="3"/>
      <c r="O71" s="58"/>
      <c r="Q71" s="64"/>
      <c r="R71" s="45"/>
      <c r="S71" s="45"/>
      <c r="U71" s="64"/>
      <c r="V71" s="45"/>
      <c r="W71" s="64"/>
      <c r="X71" s="64"/>
      <c r="Y71" s="45"/>
      <c r="Z71" s="45"/>
      <c r="AA71" s="105"/>
      <c r="AB71" s="105"/>
      <c r="AC71" s="105"/>
      <c r="AD71" s="64"/>
      <c r="AG71" s="45"/>
      <c r="AH71" s="64"/>
      <c r="AI71" s="45"/>
      <c r="AJ71" s="105"/>
      <c r="AK71" s="105"/>
      <c r="AL71" s="60"/>
      <c r="AM71" s="60"/>
      <c r="AN71" s="60"/>
      <c r="AO71" s="60"/>
      <c r="AP71" s="60"/>
      <c r="AQ71" s="60"/>
      <c r="AR71" s="60"/>
      <c r="AS71" s="60"/>
      <c r="AT71" s="45"/>
      <c r="AU71" s="45"/>
      <c r="AW71" s="45"/>
      <c r="AX71" s="46">
        <f t="shared" si="1"/>
        <v>0</v>
      </c>
      <c r="AY71" s="46">
        <f t="shared" si="2"/>
        <v>0</v>
      </c>
      <c r="AZ71" s="46">
        <f t="shared" si="3"/>
        <v>0</v>
      </c>
    </row>
    <row r="72" spans="1:52" ht="20.100000000000001" customHeight="1">
      <c r="C72" s="102"/>
      <c r="D72" s="3"/>
      <c r="E72" s="12"/>
      <c r="F72" s="3"/>
      <c r="G72" s="3"/>
      <c r="H72" s="3"/>
      <c r="J72" s="3"/>
      <c r="K72" s="3"/>
      <c r="L72" s="4"/>
      <c r="M72" s="3"/>
      <c r="O72" s="58"/>
      <c r="Q72" s="64"/>
      <c r="R72" s="45"/>
      <c r="S72" s="45"/>
      <c r="U72" s="64"/>
      <c r="V72" s="45"/>
      <c r="W72" s="64"/>
      <c r="X72" s="64"/>
      <c r="Y72" s="45"/>
      <c r="Z72" s="45"/>
      <c r="AA72" s="105"/>
      <c r="AB72" s="105"/>
      <c r="AC72" s="105"/>
      <c r="AD72" s="64"/>
      <c r="AG72" s="45"/>
      <c r="AH72" s="64"/>
      <c r="AI72" s="45"/>
      <c r="AJ72" s="105"/>
      <c r="AK72" s="105"/>
      <c r="AL72" s="60"/>
      <c r="AM72" s="60"/>
      <c r="AN72" s="60"/>
      <c r="AO72" s="60"/>
      <c r="AP72" s="60"/>
      <c r="AQ72" s="60"/>
      <c r="AR72" s="60"/>
      <c r="AS72" s="60"/>
      <c r="AT72" s="45"/>
      <c r="AU72" s="45"/>
      <c r="AW72" s="45"/>
      <c r="AX72" s="46">
        <f t="shared" si="1"/>
        <v>0</v>
      </c>
      <c r="AY72" s="46">
        <f t="shared" si="2"/>
        <v>0</v>
      </c>
      <c r="AZ72" s="46">
        <f t="shared" si="3"/>
        <v>0</v>
      </c>
    </row>
    <row r="73" spans="1:52" ht="20.100000000000001" customHeight="1">
      <c r="C73" s="102"/>
      <c r="D73" s="3"/>
      <c r="E73" s="12"/>
      <c r="F73" s="3"/>
      <c r="G73" s="3"/>
      <c r="H73" s="3"/>
      <c r="J73" s="3"/>
      <c r="K73" s="3"/>
      <c r="L73" s="4"/>
      <c r="M73" s="3"/>
      <c r="O73" s="58"/>
      <c r="Q73" s="64"/>
      <c r="R73" s="45"/>
      <c r="S73" s="45"/>
      <c r="U73" s="64"/>
      <c r="V73" s="45"/>
      <c r="W73" s="64"/>
      <c r="X73" s="64"/>
      <c r="Y73" s="45"/>
      <c r="Z73" s="45"/>
      <c r="AA73" s="105"/>
      <c r="AB73" s="105"/>
      <c r="AC73" s="105"/>
      <c r="AD73" s="64"/>
      <c r="AG73" s="45"/>
      <c r="AH73" s="64"/>
      <c r="AI73" s="45"/>
      <c r="AJ73" s="105"/>
      <c r="AK73" s="105"/>
      <c r="AL73" s="60"/>
      <c r="AM73" s="60"/>
      <c r="AN73" s="60"/>
      <c r="AO73" s="60"/>
      <c r="AP73" s="60"/>
      <c r="AQ73" s="60"/>
      <c r="AR73" s="60"/>
      <c r="AS73" s="60"/>
      <c r="AT73" s="45"/>
      <c r="AU73" s="45"/>
      <c r="AW73" s="45"/>
      <c r="AX73" s="46">
        <f t="shared" si="1"/>
        <v>0</v>
      </c>
      <c r="AY73" s="46">
        <f t="shared" si="2"/>
        <v>0</v>
      </c>
      <c r="AZ73" s="46">
        <f t="shared" si="3"/>
        <v>0</v>
      </c>
    </row>
    <row r="74" spans="1:52" ht="20.100000000000001" customHeight="1">
      <c r="C74" s="102"/>
      <c r="D74" s="3"/>
      <c r="E74" s="12"/>
      <c r="F74" s="3"/>
      <c r="G74" s="3"/>
      <c r="H74" s="3"/>
      <c r="J74" s="3"/>
      <c r="K74" s="3"/>
      <c r="L74" s="4"/>
      <c r="M74" s="3"/>
      <c r="O74" s="58"/>
      <c r="Q74" s="64"/>
      <c r="R74" s="45"/>
      <c r="S74" s="45"/>
      <c r="U74" s="64"/>
      <c r="V74" s="45"/>
      <c r="W74" s="64"/>
      <c r="X74" s="64"/>
      <c r="Y74" s="45"/>
      <c r="Z74" s="45"/>
      <c r="AA74" s="105"/>
      <c r="AB74" s="105"/>
      <c r="AC74" s="105"/>
      <c r="AD74" s="64"/>
      <c r="AG74" s="45"/>
      <c r="AH74" s="64"/>
      <c r="AI74" s="45"/>
      <c r="AJ74" s="105"/>
      <c r="AK74" s="105"/>
      <c r="AL74" s="60"/>
      <c r="AM74" s="60"/>
      <c r="AN74" s="60"/>
      <c r="AO74" s="60"/>
      <c r="AP74" s="60"/>
      <c r="AQ74" s="60"/>
      <c r="AR74" s="60"/>
      <c r="AS74" s="60"/>
      <c r="AT74" s="45"/>
      <c r="AU74" s="45"/>
      <c r="AW74" s="45"/>
      <c r="AX74" s="46">
        <f t="shared" si="1"/>
        <v>0</v>
      </c>
      <c r="AY74" s="46">
        <f t="shared" si="2"/>
        <v>0</v>
      </c>
      <c r="AZ74" s="46">
        <f t="shared" si="3"/>
        <v>0</v>
      </c>
    </row>
    <row r="75" spans="1:52" ht="20.100000000000001" customHeight="1">
      <c r="C75" s="102"/>
      <c r="D75" s="3"/>
      <c r="E75" s="12"/>
      <c r="F75" s="3"/>
      <c r="G75" s="3"/>
      <c r="H75" s="3"/>
      <c r="J75" s="3"/>
      <c r="K75" s="3"/>
      <c r="L75" s="4"/>
      <c r="M75" s="3"/>
      <c r="O75" s="58"/>
      <c r="Q75" s="64"/>
      <c r="R75" s="45"/>
      <c r="S75" s="45"/>
      <c r="U75" s="64"/>
      <c r="V75" s="45"/>
      <c r="W75" s="64"/>
      <c r="X75" s="64"/>
      <c r="Y75" s="45"/>
      <c r="Z75" s="45"/>
      <c r="AA75" s="105"/>
      <c r="AB75" s="105"/>
      <c r="AC75" s="105"/>
      <c r="AD75" s="64"/>
      <c r="AG75" s="45"/>
      <c r="AH75" s="64"/>
      <c r="AI75" s="45"/>
      <c r="AJ75" s="105"/>
      <c r="AK75" s="105"/>
      <c r="AL75" s="60"/>
      <c r="AM75" s="60"/>
      <c r="AN75" s="60"/>
      <c r="AO75" s="60"/>
      <c r="AP75" s="60"/>
      <c r="AQ75" s="60"/>
      <c r="AR75" s="60"/>
      <c r="AS75" s="60"/>
      <c r="AT75" s="45"/>
      <c r="AU75" s="45"/>
      <c r="AW75" s="45"/>
      <c r="AX75" s="46">
        <f t="shared" ref="AX75:AX138" si="4">IFERROR(SUM(Q75:AS75)-SUM(AT75:AU75)+AV75,"-")</f>
        <v>0</v>
      </c>
      <c r="AY75" s="46">
        <f t="shared" ref="AY75:AY138" si="5">IFERROR(SUM(Q75:AS75)-SUM(AT75:AT75),"-")</f>
        <v>0</v>
      </c>
      <c r="AZ75" s="46">
        <f t="shared" ref="AZ75:AZ138" si="6">SUM(Q75:AS75)</f>
        <v>0</v>
      </c>
    </row>
    <row r="76" spans="1:52" ht="20.100000000000001" customHeight="1">
      <c r="C76" s="102"/>
      <c r="D76" s="3"/>
      <c r="E76" s="12"/>
      <c r="F76" s="3"/>
      <c r="G76" s="3"/>
      <c r="H76" s="3"/>
      <c r="J76" s="3"/>
      <c r="K76" s="3"/>
      <c r="L76" s="4"/>
      <c r="M76" s="3"/>
      <c r="O76" s="58"/>
      <c r="Q76" s="64"/>
      <c r="R76" s="45"/>
      <c r="S76" s="45"/>
      <c r="U76" s="64"/>
      <c r="V76" s="45"/>
      <c r="W76" s="64"/>
      <c r="X76" s="64"/>
      <c r="Y76" s="45"/>
      <c r="Z76" s="45"/>
      <c r="AA76" s="105"/>
      <c r="AB76" s="105"/>
      <c r="AC76" s="105"/>
      <c r="AD76" s="64"/>
      <c r="AG76" s="45"/>
      <c r="AH76" s="64"/>
      <c r="AI76" s="45"/>
      <c r="AJ76" s="105"/>
      <c r="AK76" s="105"/>
      <c r="AL76" s="60"/>
      <c r="AM76" s="60"/>
      <c r="AN76" s="60"/>
      <c r="AO76" s="60"/>
      <c r="AP76" s="60"/>
      <c r="AQ76" s="60"/>
      <c r="AR76" s="60"/>
      <c r="AS76" s="60"/>
      <c r="AT76" s="45"/>
      <c r="AU76" s="45"/>
      <c r="AW76" s="45"/>
      <c r="AX76" s="46">
        <f t="shared" si="4"/>
        <v>0</v>
      </c>
      <c r="AY76" s="46">
        <f t="shared" si="5"/>
        <v>0</v>
      </c>
      <c r="AZ76" s="46">
        <f t="shared" si="6"/>
        <v>0</v>
      </c>
    </row>
    <row r="77" spans="1:52" ht="20.100000000000001" customHeight="1">
      <c r="C77" s="102"/>
      <c r="D77" s="3"/>
      <c r="E77" s="12"/>
      <c r="F77" s="3"/>
      <c r="G77" s="3"/>
      <c r="H77" s="3"/>
      <c r="J77" s="3"/>
      <c r="K77" s="3"/>
      <c r="L77" s="4"/>
      <c r="M77" s="3"/>
      <c r="O77" s="58"/>
      <c r="Q77" s="64"/>
      <c r="R77" s="45"/>
      <c r="S77" s="45"/>
      <c r="U77" s="64"/>
      <c r="V77" s="45"/>
      <c r="W77" s="64"/>
      <c r="X77" s="64"/>
      <c r="Y77" s="45"/>
      <c r="Z77" s="45"/>
      <c r="AA77" s="105"/>
      <c r="AB77" s="105"/>
      <c r="AC77" s="105"/>
      <c r="AD77" s="64"/>
      <c r="AG77" s="45"/>
      <c r="AH77" s="64"/>
      <c r="AI77" s="45"/>
      <c r="AJ77" s="105"/>
      <c r="AK77" s="105"/>
      <c r="AL77" s="60"/>
      <c r="AM77" s="60"/>
      <c r="AN77" s="60"/>
      <c r="AO77" s="60"/>
      <c r="AP77" s="60"/>
      <c r="AQ77" s="60"/>
      <c r="AR77" s="60"/>
      <c r="AS77" s="60"/>
      <c r="AT77" s="45"/>
      <c r="AU77" s="45"/>
      <c r="AW77" s="45"/>
      <c r="AX77" s="46">
        <f t="shared" si="4"/>
        <v>0</v>
      </c>
      <c r="AY77" s="46">
        <f t="shared" si="5"/>
        <v>0</v>
      </c>
      <c r="AZ77" s="46">
        <f t="shared" si="6"/>
        <v>0</v>
      </c>
    </row>
    <row r="78" spans="1:52" ht="20.100000000000001" customHeight="1">
      <c r="C78" s="102"/>
      <c r="D78" s="3"/>
      <c r="E78" s="12"/>
      <c r="F78" s="3"/>
      <c r="G78" s="3"/>
      <c r="H78" s="3"/>
      <c r="J78" s="3"/>
      <c r="K78" s="3"/>
      <c r="L78" s="4"/>
      <c r="M78" s="3"/>
      <c r="O78" s="58"/>
      <c r="Q78" s="64"/>
      <c r="R78" s="45"/>
      <c r="S78" s="45"/>
      <c r="U78" s="64"/>
      <c r="V78" s="45"/>
      <c r="W78" s="64"/>
      <c r="X78" s="64"/>
      <c r="Y78" s="45"/>
      <c r="Z78" s="45"/>
      <c r="AA78" s="105"/>
      <c r="AB78" s="105"/>
      <c r="AC78" s="105"/>
      <c r="AD78" s="64"/>
      <c r="AG78" s="45"/>
      <c r="AH78" s="64"/>
      <c r="AI78" s="45"/>
      <c r="AJ78" s="105"/>
      <c r="AK78" s="105"/>
      <c r="AL78" s="60"/>
      <c r="AM78" s="60"/>
      <c r="AN78" s="60"/>
      <c r="AO78" s="60"/>
      <c r="AP78" s="60"/>
      <c r="AQ78" s="60"/>
      <c r="AR78" s="60"/>
      <c r="AS78" s="60"/>
      <c r="AT78" s="45"/>
      <c r="AU78" s="45"/>
      <c r="AW78" s="45"/>
      <c r="AX78" s="46">
        <f t="shared" si="4"/>
        <v>0</v>
      </c>
      <c r="AY78" s="46">
        <f t="shared" si="5"/>
        <v>0</v>
      </c>
      <c r="AZ78" s="46">
        <f t="shared" si="6"/>
        <v>0</v>
      </c>
    </row>
    <row r="79" spans="1:52" ht="20.100000000000001" customHeight="1">
      <c r="C79" s="102"/>
      <c r="D79" s="3"/>
      <c r="E79" s="12"/>
      <c r="F79" s="3"/>
      <c r="G79" s="3"/>
      <c r="H79" s="3"/>
      <c r="J79" s="3"/>
      <c r="K79" s="3"/>
      <c r="L79" s="4"/>
      <c r="M79" s="3"/>
      <c r="O79" s="58"/>
      <c r="Q79" s="64"/>
      <c r="R79" s="45"/>
      <c r="S79" s="45"/>
      <c r="U79" s="64"/>
      <c r="V79" s="45"/>
      <c r="W79" s="64"/>
      <c r="X79" s="64"/>
      <c r="Y79" s="45"/>
      <c r="Z79" s="45"/>
      <c r="AA79" s="105"/>
      <c r="AB79" s="105"/>
      <c r="AC79" s="105"/>
      <c r="AD79" s="64"/>
      <c r="AG79" s="45"/>
      <c r="AH79" s="64"/>
      <c r="AI79" s="45"/>
      <c r="AJ79" s="105"/>
      <c r="AK79" s="105"/>
      <c r="AL79" s="60"/>
      <c r="AM79" s="60"/>
      <c r="AN79" s="60"/>
      <c r="AO79" s="60"/>
      <c r="AP79" s="60"/>
      <c r="AQ79" s="60"/>
      <c r="AR79" s="60"/>
      <c r="AS79" s="60"/>
      <c r="AT79" s="45"/>
      <c r="AU79" s="45"/>
      <c r="AW79" s="45"/>
      <c r="AX79" s="46">
        <f t="shared" si="4"/>
        <v>0</v>
      </c>
      <c r="AY79" s="46">
        <f t="shared" si="5"/>
        <v>0</v>
      </c>
      <c r="AZ79" s="46">
        <f t="shared" si="6"/>
        <v>0</v>
      </c>
    </row>
    <row r="80" spans="1:52" ht="20.100000000000001" customHeight="1">
      <c r="C80" s="102"/>
      <c r="D80" s="3"/>
      <c r="E80" s="12"/>
      <c r="F80" s="3"/>
      <c r="G80" s="3"/>
      <c r="H80" s="3"/>
      <c r="J80" s="3"/>
      <c r="K80" s="3"/>
      <c r="L80" s="4"/>
      <c r="M80" s="3"/>
      <c r="O80" s="58"/>
      <c r="Q80" s="64"/>
      <c r="R80" s="45"/>
      <c r="S80" s="45"/>
      <c r="U80" s="64"/>
      <c r="V80" s="45"/>
      <c r="W80" s="64"/>
      <c r="X80" s="64"/>
      <c r="Y80" s="45"/>
      <c r="Z80" s="45"/>
      <c r="AA80" s="105"/>
      <c r="AB80" s="105"/>
      <c r="AC80" s="105"/>
      <c r="AD80" s="64"/>
      <c r="AG80" s="45"/>
      <c r="AH80" s="64"/>
      <c r="AI80" s="45"/>
      <c r="AJ80" s="105"/>
      <c r="AK80" s="105"/>
      <c r="AL80" s="60"/>
      <c r="AM80" s="60"/>
      <c r="AN80" s="60"/>
      <c r="AO80" s="60"/>
      <c r="AP80" s="60"/>
      <c r="AQ80" s="60"/>
      <c r="AR80" s="60"/>
      <c r="AS80" s="60"/>
      <c r="AT80" s="45"/>
      <c r="AU80" s="45"/>
      <c r="AW80" s="45"/>
      <c r="AX80" s="46">
        <f t="shared" si="4"/>
        <v>0</v>
      </c>
      <c r="AY80" s="46">
        <f t="shared" si="5"/>
        <v>0</v>
      </c>
      <c r="AZ80" s="46">
        <f t="shared" si="6"/>
        <v>0</v>
      </c>
    </row>
    <row r="81" spans="1:52" ht="20.100000000000001" customHeight="1">
      <c r="C81" s="102"/>
      <c r="D81" s="3"/>
      <c r="E81" s="12"/>
      <c r="F81" s="3"/>
      <c r="G81" s="3"/>
      <c r="H81" s="3"/>
      <c r="J81" s="3"/>
      <c r="K81" s="3"/>
      <c r="L81" s="4"/>
      <c r="M81" s="3"/>
      <c r="O81" s="58"/>
      <c r="Q81" s="64"/>
      <c r="R81" s="45"/>
      <c r="S81" s="45"/>
      <c r="U81" s="64"/>
      <c r="V81" s="45"/>
      <c r="W81" s="64"/>
      <c r="X81" s="64"/>
      <c r="Y81" s="45"/>
      <c r="Z81" s="45"/>
      <c r="AA81" s="105"/>
      <c r="AB81" s="105"/>
      <c r="AC81" s="105"/>
      <c r="AD81" s="64"/>
      <c r="AG81" s="45"/>
      <c r="AH81" s="64"/>
      <c r="AI81" s="45"/>
      <c r="AJ81" s="105"/>
      <c r="AK81" s="105"/>
      <c r="AL81" s="60"/>
      <c r="AM81" s="60"/>
      <c r="AN81" s="60"/>
      <c r="AO81" s="60"/>
      <c r="AP81" s="60"/>
      <c r="AQ81" s="60"/>
      <c r="AR81" s="60"/>
      <c r="AS81" s="60"/>
      <c r="AT81" s="45"/>
      <c r="AU81" s="45"/>
      <c r="AW81" s="45"/>
      <c r="AX81" s="46">
        <f t="shared" si="4"/>
        <v>0</v>
      </c>
      <c r="AY81" s="46">
        <f t="shared" si="5"/>
        <v>0</v>
      </c>
      <c r="AZ81" s="46">
        <f t="shared" si="6"/>
        <v>0</v>
      </c>
    </row>
    <row r="82" spans="1:52" ht="20.100000000000001" customHeight="1">
      <c r="C82" s="102"/>
      <c r="D82" s="3"/>
      <c r="E82" s="12"/>
      <c r="F82" s="3"/>
      <c r="G82" s="3"/>
      <c r="H82" s="3"/>
      <c r="J82" s="3"/>
      <c r="K82" s="3"/>
      <c r="L82" s="4"/>
      <c r="M82" s="3"/>
      <c r="O82" s="58"/>
      <c r="Q82" s="64"/>
      <c r="R82" s="45"/>
      <c r="S82" s="45"/>
      <c r="U82" s="64"/>
      <c r="V82" s="45"/>
      <c r="W82" s="64"/>
      <c r="X82" s="64"/>
      <c r="Y82" s="45"/>
      <c r="Z82" s="45"/>
      <c r="AA82" s="105"/>
      <c r="AB82" s="105"/>
      <c r="AC82" s="105"/>
      <c r="AD82" s="64"/>
      <c r="AG82" s="45"/>
      <c r="AH82" s="64"/>
      <c r="AI82" s="45"/>
      <c r="AJ82" s="105"/>
      <c r="AK82" s="105"/>
      <c r="AL82" s="60"/>
      <c r="AM82" s="60"/>
      <c r="AN82" s="60"/>
      <c r="AO82" s="60"/>
      <c r="AP82" s="60"/>
      <c r="AQ82" s="60"/>
      <c r="AR82" s="60"/>
      <c r="AS82" s="60"/>
      <c r="AT82" s="45"/>
      <c r="AU82" s="45"/>
      <c r="AW82" s="45"/>
      <c r="AX82" s="46">
        <f t="shared" si="4"/>
        <v>0</v>
      </c>
      <c r="AY82" s="46">
        <f t="shared" si="5"/>
        <v>0</v>
      </c>
      <c r="AZ82" s="46">
        <f t="shared" si="6"/>
        <v>0</v>
      </c>
    </row>
    <row r="83" spans="1:52" ht="20.100000000000001" customHeight="1">
      <c r="C83" s="102"/>
      <c r="D83" s="3"/>
      <c r="E83" s="12"/>
      <c r="F83" s="3"/>
      <c r="G83" s="3"/>
      <c r="H83" s="3"/>
      <c r="J83" s="3"/>
      <c r="K83" s="3"/>
      <c r="L83" s="4"/>
      <c r="M83" s="3"/>
      <c r="O83" s="58"/>
      <c r="Q83" s="64"/>
      <c r="R83" s="45"/>
      <c r="S83" s="45"/>
      <c r="U83" s="64"/>
      <c r="V83" s="45"/>
      <c r="W83" s="64"/>
      <c r="X83" s="64"/>
      <c r="Y83" s="45"/>
      <c r="Z83" s="45"/>
      <c r="AA83" s="105"/>
      <c r="AB83" s="105"/>
      <c r="AC83" s="105"/>
      <c r="AD83" s="64"/>
      <c r="AG83" s="45"/>
      <c r="AH83" s="64"/>
      <c r="AI83" s="45"/>
      <c r="AJ83" s="105"/>
      <c r="AK83" s="105"/>
      <c r="AL83" s="60"/>
      <c r="AM83" s="60"/>
      <c r="AN83" s="60"/>
      <c r="AO83" s="60"/>
      <c r="AP83" s="60"/>
      <c r="AQ83" s="60"/>
      <c r="AR83" s="60"/>
      <c r="AS83" s="60"/>
      <c r="AT83" s="45"/>
      <c r="AU83" s="45"/>
      <c r="AW83" s="45"/>
      <c r="AX83" s="46">
        <f t="shared" si="4"/>
        <v>0</v>
      </c>
      <c r="AY83" s="46">
        <f t="shared" si="5"/>
        <v>0</v>
      </c>
      <c r="AZ83" s="46">
        <f t="shared" si="6"/>
        <v>0</v>
      </c>
    </row>
    <row r="84" spans="1:52" ht="20.100000000000001" customHeight="1">
      <c r="C84" s="102"/>
      <c r="D84" s="3"/>
      <c r="E84" s="67"/>
      <c r="F84" s="3"/>
      <c r="G84" s="3"/>
      <c r="H84" s="3"/>
      <c r="J84" s="3"/>
      <c r="K84" s="3"/>
      <c r="L84" s="4"/>
      <c r="M84" s="3"/>
      <c r="O84" s="58"/>
      <c r="Q84" s="64"/>
      <c r="R84" s="45"/>
      <c r="S84" s="45"/>
      <c r="U84" s="64"/>
      <c r="V84" s="45"/>
      <c r="W84" s="64"/>
      <c r="X84" s="64"/>
      <c r="Y84" s="45"/>
      <c r="Z84" s="45"/>
      <c r="AA84" s="105"/>
      <c r="AB84" s="105"/>
      <c r="AC84" s="105"/>
      <c r="AD84" s="64"/>
      <c r="AG84" s="45"/>
      <c r="AH84" s="64"/>
      <c r="AI84" s="45"/>
      <c r="AJ84" s="105"/>
      <c r="AK84" s="105"/>
      <c r="AL84" s="60"/>
      <c r="AM84" s="60"/>
      <c r="AN84" s="60"/>
      <c r="AO84" s="60"/>
      <c r="AP84" s="60"/>
      <c r="AQ84" s="60"/>
      <c r="AR84" s="60"/>
      <c r="AS84" s="60"/>
      <c r="AT84" s="45"/>
      <c r="AU84" s="45"/>
      <c r="AW84" s="45"/>
      <c r="AX84" s="46">
        <f t="shared" si="4"/>
        <v>0</v>
      </c>
      <c r="AY84" s="46">
        <f t="shared" si="5"/>
        <v>0</v>
      </c>
      <c r="AZ84" s="46">
        <f t="shared" si="6"/>
        <v>0</v>
      </c>
    </row>
    <row r="85" spans="1:52" ht="20.100000000000001" customHeight="1">
      <c r="C85" s="102"/>
      <c r="D85" s="3"/>
      <c r="E85" s="67"/>
      <c r="F85" s="3"/>
      <c r="G85" s="3"/>
      <c r="H85" s="3"/>
      <c r="J85" s="3"/>
      <c r="K85" s="3"/>
      <c r="L85" s="4"/>
      <c r="M85" s="3"/>
      <c r="O85" s="58"/>
      <c r="Q85" s="64"/>
      <c r="R85" s="45"/>
      <c r="S85" s="45"/>
      <c r="U85" s="64"/>
      <c r="V85" s="45"/>
      <c r="W85" s="64"/>
      <c r="X85" s="64"/>
      <c r="Y85" s="45"/>
      <c r="Z85" s="45"/>
      <c r="AA85" s="105"/>
      <c r="AB85" s="105"/>
      <c r="AC85" s="105"/>
      <c r="AD85" s="64"/>
      <c r="AG85" s="45"/>
      <c r="AH85" s="64"/>
      <c r="AI85" s="45"/>
      <c r="AJ85" s="105"/>
      <c r="AK85" s="105"/>
      <c r="AL85" s="60"/>
      <c r="AM85" s="60"/>
      <c r="AN85" s="60"/>
      <c r="AO85" s="60"/>
      <c r="AP85" s="60"/>
      <c r="AQ85" s="60"/>
      <c r="AR85" s="60"/>
      <c r="AS85" s="60"/>
      <c r="AT85" s="45"/>
      <c r="AU85" s="45"/>
      <c r="AW85" s="45"/>
      <c r="AX85" s="46">
        <f t="shared" si="4"/>
        <v>0</v>
      </c>
      <c r="AY85" s="46">
        <f t="shared" si="5"/>
        <v>0</v>
      </c>
      <c r="AZ85" s="46">
        <f t="shared" si="6"/>
        <v>0</v>
      </c>
    </row>
    <row r="86" spans="1:52" ht="20.100000000000001" customHeight="1">
      <c r="C86" s="102"/>
      <c r="D86" s="3"/>
      <c r="E86" s="12"/>
      <c r="F86" s="3"/>
      <c r="G86" s="3"/>
      <c r="H86" s="3"/>
      <c r="J86" s="3"/>
      <c r="K86" s="3"/>
      <c r="L86" s="4"/>
      <c r="M86" s="3"/>
      <c r="O86" s="58"/>
      <c r="Q86" s="64"/>
      <c r="R86" s="45"/>
      <c r="S86" s="45"/>
      <c r="U86" s="64"/>
      <c r="V86" s="45"/>
      <c r="W86" s="64"/>
      <c r="X86" s="64"/>
      <c r="Y86" s="45"/>
      <c r="Z86" s="45"/>
      <c r="AA86" s="105"/>
      <c r="AB86" s="105"/>
      <c r="AC86" s="105"/>
      <c r="AD86" s="64"/>
      <c r="AG86" s="45"/>
      <c r="AH86" s="64"/>
      <c r="AI86" s="45"/>
      <c r="AJ86" s="105"/>
      <c r="AK86" s="105"/>
      <c r="AL86" s="60"/>
      <c r="AM86" s="60"/>
      <c r="AN86" s="60"/>
      <c r="AO86" s="60"/>
      <c r="AP86" s="60"/>
      <c r="AQ86" s="60"/>
      <c r="AR86" s="60"/>
      <c r="AS86" s="60"/>
      <c r="AT86" s="45"/>
      <c r="AU86" s="45"/>
      <c r="AW86" s="45"/>
      <c r="AX86" s="46">
        <f t="shared" si="4"/>
        <v>0</v>
      </c>
      <c r="AY86" s="46">
        <f t="shared" si="5"/>
        <v>0</v>
      </c>
      <c r="AZ86" s="46">
        <f t="shared" si="6"/>
        <v>0</v>
      </c>
    </row>
    <row r="87" spans="1:52" ht="20.100000000000001" customHeight="1">
      <c r="C87" s="102"/>
      <c r="D87" s="3"/>
      <c r="E87" s="12"/>
      <c r="F87" s="3"/>
      <c r="G87" s="3"/>
      <c r="H87" s="3"/>
      <c r="J87" s="3"/>
      <c r="K87" s="3"/>
      <c r="L87" s="4"/>
      <c r="M87" s="3"/>
      <c r="O87" s="58"/>
      <c r="Q87" s="64"/>
      <c r="R87" s="45"/>
      <c r="S87" s="45"/>
      <c r="U87" s="64"/>
      <c r="V87" s="45"/>
      <c r="W87" s="64"/>
      <c r="X87" s="64"/>
      <c r="Y87" s="45"/>
      <c r="Z87" s="45"/>
      <c r="AA87" s="105"/>
      <c r="AB87" s="105"/>
      <c r="AC87" s="105"/>
      <c r="AD87" s="64"/>
      <c r="AG87" s="45"/>
      <c r="AH87" s="64"/>
      <c r="AI87" s="45"/>
      <c r="AJ87" s="105"/>
      <c r="AK87" s="105"/>
      <c r="AL87" s="60"/>
      <c r="AM87" s="60"/>
      <c r="AN87" s="60"/>
      <c r="AO87" s="60"/>
      <c r="AP87" s="60"/>
      <c r="AQ87" s="60"/>
      <c r="AR87" s="60"/>
      <c r="AS87" s="60"/>
      <c r="AT87" s="45"/>
      <c r="AU87" s="45"/>
      <c r="AW87" s="45"/>
      <c r="AX87" s="46">
        <f t="shared" si="4"/>
        <v>0</v>
      </c>
      <c r="AY87" s="46">
        <f t="shared" si="5"/>
        <v>0</v>
      </c>
      <c r="AZ87" s="46">
        <f t="shared" si="6"/>
        <v>0</v>
      </c>
    </row>
    <row r="88" spans="1:52" ht="20.100000000000001" customHeight="1">
      <c r="C88" s="102"/>
      <c r="D88" s="3"/>
      <c r="E88" s="67"/>
      <c r="F88" s="3"/>
      <c r="G88" s="3"/>
      <c r="H88" s="3"/>
      <c r="J88" s="3"/>
      <c r="K88" s="3"/>
      <c r="L88" s="4"/>
      <c r="M88" s="3"/>
      <c r="O88" s="58"/>
      <c r="Q88" s="64"/>
      <c r="R88" s="45"/>
      <c r="S88" s="45"/>
      <c r="U88" s="64"/>
      <c r="V88" s="45"/>
      <c r="W88" s="64"/>
      <c r="X88" s="64"/>
      <c r="Y88" s="45"/>
      <c r="Z88" s="45"/>
      <c r="AA88" s="105"/>
      <c r="AB88" s="105"/>
      <c r="AC88" s="105"/>
      <c r="AD88" s="64"/>
      <c r="AG88" s="45"/>
      <c r="AH88" s="64"/>
      <c r="AI88" s="45"/>
      <c r="AJ88" s="105"/>
      <c r="AK88" s="105"/>
      <c r="AL88" s="60"/>
      <c r="AM88" s="60"/>
      <c r="AN88" s="60"/>
      <c r="AO88" s="60"/>
      <c r="AP88" s="60"/>
      <c r="AQ88" s="60"/>
      <c r="AR88" s="60"/>
      <c r="AS88" s="60"/>
      <c r="AT88" s="45"/>
      <c r="AU88" s="45"/>
      <c r="AW88" s="45"/>
      <c r="AX88" s="46">
        <f t="shared" si="4"/>
        <v>0</v>
      </c>
      <c r="AY88" s="46">
        <f t="shared" si="5"/>
        <v>0</v>
      </c>
      <c r="AZ88" s="46">
        <f t="shared" si="6"/>
        <v>0</v>
      </c>
    </row>
    <row r="89" spans="1:52" ht="20.100000000000001" customHeight="1">
      <c r="C89" s="102"/>
      <c r="D89" s="3"/>
      <c r="E89" s="12"/>
      <c r="F89" s="3"/>
      <c r="G89" s="3"/>
      <c r="H89" s="3"/>
      <c r="J89" s="3"/>
      <c r="K89" s="3"/>
      <c r="L89" s="4"/>
      <c r="M89" s="3"/>
      <c r="O89" s="58"/>
      <c r="Q89" s="64"/>
      <c r="R89" s="45"/>
      <c r="S89" s="45"/>
      <c r="U89" s="64"/>
      <c r="V89" s="45"/>
      <c r="W89" s="64"/>
      <c r="X89" s="64"/>
      <c r="Y89" s="45"/>
      <c r="Z89" s="45"/>
      <c r="AA89" s="105"/>
      <c r="AB89" s="105"/>
      <c r="AC89" s="105"/>
      <c r="AD89" s="64"/>
      <c r="AG89" s="45"/>
      <c r="AH89" s="64"/>
      <c r="AI89" s="45"/>
      <c r="AJ89" s="105"/>
      <c r="AK89" s="105"/>
      <c r="AL89" s="60"/>
      <c r="AM89" s="60"/>
      <c r="AN89" s="60"/>
      <c r="AO89" s="60"/>
      <c r="AP89" s="60"/>
      <c r="AQ89" s="60"/>
      <c r="AR89" s="60"/>
      <c r="AS89" s="60"/>
      <c r="AT89" s="45"/>
      <c r="AU89" s="45"/>
      <c r="AW89" s="45"/>
      <c r="AX89" s="46">
        <f t="shared" si="4"/>
        <v>0</v>
      </c>
      <c r="AY89" s="46">
        <f t="shared" si="5"/>
        <v>0</v>
      </c>
      <c r="AZ89" s="46">
        <f t="shared" si="6"/>
        <v>0</v>
      </c>
    </row>
    <row r="90" spans="1:52" ht="20.100000000000001" customHeight="1">
      <c r="C90" s="102"/>
      <c r="D90" s="3"/>
      <c r="E90" s="12"/>
      <c r="F90" s="3"/>
      <c r="G90" s="3"/>
      <c r="H90" s="3"/>
      <c r="J90" s="3"/>
      <c r="K90" s="3"/>
      <c r="L90" s="4"/>
      <c r="M90" s="3"/>
      <c r="O90" s="58"/>
      <c r="Q90" s="64"/>
      <c r="R90" s="45"/>
      <c r="S90" s="45"/>
      <c r="U90" s="64"/>
      <c r="V90" s="45"/>
      <c r="W90" s="64"/>
      <c r="X90" s="64"/>
      <c r="Y90" s="45"/>
      <c r="Z90" s="45"/>
      <c r="AA90" s="105"/>
      <c r="AB90" s="105"/>
      <c r="AC90" s="105"/>
      <c r="AD90" s="64"/>
      <c r="AG90" s="45"/>
      <c r="AH90" s="64"/>
      <c r="AI90" s="45"/>
      <c r="AJ90" s="105"/>
      <c r="AK90" s="105"/>
      <c r="AL90" s="60"/>
      <c r="AM90" s="60"/>
      <c r="AN90" s="60"/>
      <c r="AO90" s="60"/>
      <c r="AP90" s="60"/>
      <c r="AQ90" s="60"/>
      <c r="AR90" s="60"/>
      <c r="AS90" s="60"/>
      <c r="AT90" s="45"/>
      <c r="AU90" s="45"/>
      <c r="AW90" s="45"/>
      <c r="AX90" s="46">
        <f t="shared" si="4"/>
        <v>0</v>
      </c>
      <c r="AY90" s="46">
        <f t="shared" si="5"/>
        <v>0</v>
      </c>
      <c r="AZ90" s="46">
        <f t="shared" si="6"/>
        <v>0</v>
      </c>
    </row>
    <row r="91" spans="1:52" ht="20.100000000000001" customHeight="1">
      <c r="A91" s="77"/>
      <c r="B91" s="61"/>
      <c r="C91" s="103"/>
      <c r="D91" s="3"/>
      <c r="E91" s="12"/>
      <c r="F91" s="3"/>
      <c r="G91" s="3"/>
      <c r="H91" s="3"/>
      <c r="J91" s="3"/>
      <c r="K91" s="3"/>
      <c r="L91" s="4"/>
      <c r="M91" s="3"/>
      <c r="O91" s="58"/>
      <c r="Q91" s="64"/>
      <c r="R91" s="45"/>
      <c r="S91" s="45"/>
      <c r="U91" s="64"/>
      <c r="V91" s="45"/>
      <c r="W91" s="64"/>
      <c r="X91" s="64"/>
      <c r="Y91" s="45"/>
      <c r="Z91" s="45"/>
      <c r="AA91" s="105"/>
      <c r="AB91" s="105"/>
      <c r="AC91" s="105"/>
      <c r="AD91" s="64"/>
      <c r="AE91" s="62"/>
      <c r="AG91" s="45"/>
      <c r="AH91" s="64"/>
      <c r="AI91" s="45"/>
      <c r="AJ91" s="105"/>
      <c r="AK91" s="105"/>
      <c r="AL91" s="60"/>
      <c r="AM91" s="60"/>
      <c r="AN91" s="60"/>
      <c r="AO91" s="60"/>
      <c r="AP91" s="60"/>
      <c r="AQ91" s="60"/>
      <c r="AR91" s="60"/>
      <c r="AS91" s="60"/>
      <c r="AT91" s="45"/>
      <c r="AU91" s="45"/>
      <c r="AW91" s="45"/>
      <c r="AX91" s="46">
        <f t="shared" si="4"/>
        <v>0</v>
      </c>
      <c r="AY91" s="46">
        <f t="shared" si="5"/>
        <v>0</v>
      </c>
      <c r="AZ91" s="46">
        <f t="shared" si="6"/>
        <v>0</v>
      </c>
    </row>
    <row r="92" spans="1:52" ht="20.100000000000001" customHeight="1">
      <c r="C92" s="102"/>
      <c r="D92" s="3"/>
      <c r="E92" s="12"/>
      <c r="F92" s="3"/>
      <c r="G92" s="3"/>
      <c r="H92" s="3"/>
      <c r="J92" s="3"/>
      <c r="K92" s="3"/>
      <c r="L92" s="4"/>
      <c r="M92" s="3"/>
      <c r="O92" s="58"/>
      <c r="Q92" s="64"/>
      <c r="R92" s="45"/>
      <c r="S92" s="45"/>
      <c r="U92" s="64"/>
      <c r="V92" s="45"/>
      <c r="W92" s="64"/>
      <c r="X92" s="64"/>
      <c r="Y92" s="45"/>
      <c r="Z92" s="45"/>
      <c r="AA92" s="105"/>
      <c r="AB92" s="105"/>
      <c r="AC92" s="105"/>
      <c r="AD92" s="64"/>
      <c r="AG92" s="45"/>
      <c r="AH92" s="64"/>
      <c r="AI92" s="45"/>
      <c r="AJ92" s="105"/>
      <c r="AK92" s="105"/>
      <c r="AL92" s="60"/>
      <c r="AM92" s="60"/>
      <c r="AN92" s="60"/>
      <c r="AO92" s="60"/>
      <c r="AP92" s="60"/>
      <c r="AQ92" s="60"/>
      <c r="AR92" s="60"/>
      <c r="AS92" s="60"/>
      <c r="AT92" s="45"/>
      <c r="AU92" s="45"/>
      <c r="AW92" s="45"/>
      <c r="AX92" s="46">
        <f t="shared" si="4"/>
        <v>0</v>
      </c>
      <c r="AY92" s="46">
        <f t="shared" si="5"/>
        <v>0</v>
      </c>
      <c r="AZ92" s="46">
        <f t="shared" si="6"/>
        <v>0</v>
      </c>
    </row>
    <row r="93" spans="1:52" ht="20.100000000000001" customHeight="1">
      <c r="C93" s="102"/>
      <c r="D93" s="3"/>
      <c r="E93" s="12"/>
      <c r="F93" s="3"/>
      <c r="G93" s="3"/>
      <c r="H93" s="3"/>
      <c r="J93" s="3"/>
      <c r="K93" s="3"/>
      <c r="L93" s="4"/>
      <c r="M93" s="3"/>
      <c r="O93" s="58"/>
      <c r="Q93" s="64"/>
      <c r="R93" s="45"/>
      <c r="S93" s="45"/>
      <c r="U93" s="64"/>
      <c r="V93" s="45"/>
      <c r="W93" s="64"/>
      <c r="X93" s="64"/>
      <c r="Y93" s="45"/>
      <c r="Z93" s="45"/>
      <c r="AA93" s="105"/>
      <c r="AB93" s="105"/>
      <c r="AC93" s="105"/>
      <c r="AD93" s="64"/>
      <c r="AG93" s="45"/>
      <c r="AH93" s="64"/>
      <c r="AI93" s="45"/>
      <c r="AJ93" s="105"/>
      <c r="AK93" s="105"/>
      <c r="AL93" s="60"/>
      <c r="AM93" s="60"/>
      <c r="AN93" s="60"/>
      <c r="AO93" s="60"/>
      <c r="AP93" s="60"/>
      <c r="AQ93" s="60"/>
      <c r="AR93" s="60"/>
      <c r="AS93" s="60"/>
      <c r="AT93" s="45"/>
      <c r="AU93" s="45"/>
      <c r="AW93" s="45"/>
      <c r="AX93" s="46">
        <f t="shared" si="4"/>
        <v>0</v>
      </c>
      <c r="AY93" s="46">
        <f t="shared" si="5"/>
        <v>0</v>
      </c>
      <c r="AZ93" s="46">
        <f t="shared" si="6"/>
        <v>0</v>
      </c>
    </row>
    <row r="94" spans="1:52" ht="20.100000000000001" customHeight="1">
      <c r="C94" s="102"/>
      <c r="D94" s="3"/>
      <c r="E94" s="12"/>
      <c r="F94" s="3"/>
      <c r="G94" s="3"/>
      <c r="H94" s="3"/>
      <c r="J94" s="3"/>
      <c r="K94" s="3"/>
      <c r="L94" s="4"/>
      <c r="M94" s="3"/>
      <c r="O94" s="58"/>
      <c r="Q94" s="64"/>
      <c r="R94" s="45"/>
      <c r="S94" s="45"/>
      <c r="U94" s="64"/>
      <c r="V94" s="45"/>
      <c r="W94" s="64"/>
      <c r="X94" s="64"/>
      <c r="Y94" s="45"/>
      <c r="Z94" s="45"/>
      <c r="AA94" s="105"/>
      <c r="AB94" s="105"/>
      <c r="AC94" s="105"/>
      <c r="AD94" s="64"/>
      <c r="AG94" s="45"/>
      <c r="AH94" s="64"/>
      <c r="AI94" s="45"/>
      <c r="AJ94" s="105"/>
      <c r="AK94" s="105"/>
      <c r="AL94" s="60"/>
      <c r="AM94" s="60"/>
      <c r="AN94" s="60"/>
      <c r="AO94" s="60"/>
      <c r="AP94" s="60"/>
      <c r="AQ94" s="60"/>
      <c r="AR94" s="60"/>
      <c r="AS94" s="60"/>
      <c r="AT94" s="45"/>
      <c r="AU94" s="45"/>
      <c r="AW94" s="45"/>
      <c r="AX94" s="46">
        <f t="shared" si="4"/>
        <v>0</v>
      </c>
      <c r="AY94" s="46">
        <f t="shared" si="5"/>
        <v>0</v>
      </c>
      <c r="AZ94" s="46">
        <f t="shared" si="6"/>
        <v>0</v>
      </c>
    </row>
    <row r="95" spans="1:52" ht="20.100000000000001" customHeight="1">
      <c r="C95" s="102"/>
      <c r="D95" s="3"/>
      <c r="E95" s="12"/>
      <c r="F95" s="3"/>
      <c r="G95" s="3"/>
      <c r="H95" s="3"/>
      <c r="J95" s="3"/>
      <c r="K95" s="3"/>
      <c r="L95" s="4"/>
      <c r="M95" s="3"/>
      <c r="O95" s="58"/>
      <c r="Q95" s="64"/>
      <c r="R95" s="45"/>
      <c r="S95" s="45"/>
      <c r="U95" s="64"/>
      <c r="V95" s="45"/>
      <c r="W95" s="64"/>
      <c r="X95" s="64"/>
      <c r="Y95" s="45"/>
      <c r="Z95" s="45"/>
      <c r="AA95" s="105"/>
      <c r="AB95" s="105"/>
      <c r="AC95" s="105"/>
      <c r="AD95" s="64"/>
      <c r="AG95" s="45"/>
      <c r="AH95" s="64"/>
      <c r="AI95" s="45"/>
      <c r="AJ95" s="105"/>
      <c r="AK95" s="105"/>
      <c r="AL95" s="60"/>
      <c r="AM95" s="60"/>
      <c r="AN95" s="60"/>
      <c r="AO95" s="60"/>
      <c r="AP95" s="60"/>
      <c r="AQ95" s="60"/>
      <c r="AR95" s="60"/>
      <c r="AS95" s="60"/>
      <c r="AT95" s="45"/>
      <c r="AU95" s="45"/>
      <c r="AW95" s="45"/>
      <c r="AX95" s="46">
        <f t="shared" si="4"/>
        <v>0</v>
      </c>
      <c r="AY95" s="46">
        <f t="shared" si="5"/>
        <v>0</v>
      </c>
      <c r="AZ95" s="46">
        <f t="shared" si="6"/>
        <v>0</v>
      </c>
    </row>
    <row r="96" spans="1:52" ht="20.100000000000001" customHeight="1">
      <c r="C96" s="102"/>
      <c r="D96" s="3"/>
      <c r="E96" s="12"/>
      <c r="F96" s="3"/>
      <c r="G96" s="3"/>
      <c r="H96" s="3"/>
      <c r="J96" s="3"/>
      <c r="K96" s="3"/>
      <c r="L96" s="4"/>
      <c r="M96" s="3"/>
      <c r="O96" s="58"/>
      <c r="Q96" s="64"/>
      <c r="R96" s="45"/>
      <c r="S96" s="45"/>
      <c r="U96" s="64"/>
      <c r="V96" s="45"/>
      <c r="W96" s="64"/>
      <c r="X96" s="64"/>
      <c r="Y96" s="45"/>
      <c r="Z96" s="45"/>
      <c r="AA96" s="105"/>
      <c r="AB96" s="105"/>
      <c r="AC96" s="105"/>
      <c r="AD96" s="64"/>
      <c r="AG96" s="45"/>
      <c r="AH96" s="64"/>
      <c r="AI96" s="45"/>
      <c r="AJ96" s="105"/>
      <c r="AK96" s="105"/>
      <c r="AL96" s="60"/>
      <c r="AM96" s="60"/>
      <c r="AN96" s="60"/>
      <c r="AO96" s="60"/>
      <c r="AP96" s="60"/>
      <c r="AQ96" s="60"/>
      <c r="AR96" s="60"/>
      <c r="AS96" s="60"/>
      <c r="AT96" s="45"/>
      <c r="AU96" s="45"/>
      <c r="AW96" s="45"/>
      <c r="AX96" s="46">
        <f t="shared" si="4"/>
        <v>0</v>
      </c>
      <c r="AY96" s="46">
        <f t="shared" si="5"/>
        <v>0</v>
      </c>
      <c r="AZ96" s="46">
        <f t="shared" si="6"/>
        <v>0</v>
      </c>
    </row>
    <row r="97" spans="2:52" ht="20.100000000000001" customHeight="1">
      <c r="C97" s="102"/>
      <c r="D97" s="3"/>
      <c r="E97" s="12"/>
      <c r="F97" s="3"/>
      <c r="G97" s="3"/>
      <c r="H97" s="3"/>
      <c r="J97" s="3"/>
      <c r="K97" s="3"/>
      <c r="L97" s="4"/>
      <c r="M97" s="3"/>
      <c r="O97" s="58"/>
      <c r="Q97" s="64"/>
      <c r="R97" s="45"/>
      <c r="S97" s="45"/>
      <c r="U97" s="64"/>
      <c r="V97" s="45"/>
      <c r="W97" s="64"/>
      <c r="X97" s="64"/>
      <c r="Y97" s="45"/>
      <c r="Z97" s="45"/>
      <c r="AA97" s="105"/>
      <c r="AB97" s="105"/>
      <c r="AC97" s="105"/>
      <c r="AD97" s="64"/>
      <c r="AG97" s="45"/>
      <c r="AH97" s="64"/>
      <c r="AI97" s="45"/>
      <c r="AJ97" s="105"/>
      <c r="AK97" s="105"/>
      <c r="AL97" s="60"/>
      <c r="AM97" s="60"/>
      <c r="AN97" s="60"/>
      <c r="AO97" s="60"/>
      <c r="AP97" s="60"/>
      <c r="AQ97" s="60"/>
      <c r="AR97" s="60"/>
      <c r="AS97" s="60"/>
      <c r="AT97" s="45"/>
      <c r="AU97" s="45"/>
      <c r="AW97" s="45"/>
      <c r="AX97" s="46">
        <f t="shared" si="4"/>
        <v>0</v>
      </c>
      <c r="AY97" s="46">
        <f t="shared" si="5"/>
        <v>0</v>
      </c>
      <c r="AZ97" s="46">
        <f t="shared" si="6"/>
        <v>0</v>
      </c>
    </row>
    <row r="98" spans="2:52" ht="20.100000000000001" customHeight="1">
      <c r="C98" s="102"/>
      <c r="D98" s="3"/>
      <c r="E98" s="12"/>
      <c r="F98" s="3"/>
      <c r="G98" s="3"/>
      <c r="H98" s="3"/>
      <c r="J98" s="3"/>
      <c r="K98" s="3"/>
      <c r="L98" s="4"/>
      <c r="M98" s="3"/>
      <c r="O98" s="58"/>
      <c r="Q98" s="64"/>
      <c r="R98" s="45"/>
      <c r="S98" s="45"/>
      <c r="U98" s="64"/>
      <c r="V98" s="45"/>
      <c r="W98" s="64"/>
      <c r="X98" s="64"/>
      <c r="Y98" s="45"/>
      <c r="Z98" s="45"/>
      <c r="AA98" s="105"/>
      <c r="AB98" s="105"/>
      <c r="AC98" s="105"/>
      <c r="AD98" s="64"/>
      <c r="AG98" s="45"/>
      <c r="AH98" s="64"/>
      <c r="AI98" s="45"/>
      <c r="AJ98" s="105"/>
      <c r="AK98" s="105"/>
      <c r="AL98" s="60"/>
      <c r="AM98" s="60"/>
      <c r="AN98" s="60"/>
      <c r="AO98" s="60"/>
      <c r="AP98" s="60"/>
      <c r="AQ98" s="60"/>
      <c r="AR98" s="60"/>
      <c r="AS98" s="60"/>
      <c r="AT98" s="45"/>
      <c r="AU98" s="45"/>
      <c r="AW98" s="45"/>
      <c r="AX98" s="46">
        <f t="shared" si="4"/>
        <v>0</v>
      </c>
      <c r="AY98" s="46">
        <f t="shared" si="5"/>
        <v>0</v>
      </c>
      <c r="AZ98" s="46">
        <f t="shared" si="6"/>
        <v>0</v>
      </c>
    </row>
    <row r="99" spans="2:52" ht="20.100000000000001" customHeight="1">
      <c r="C99" s="102"/>
      <c r="D99" s="3"/>
      <c r="E99" s="12"/>
      <c r="F99" s="3"/>
      <c r="G99" s="3"/>
      <c r="H99" s="3"/>
      <c r="J99" s="3"/>
      <c r="K99" s="3"/>
      <c r="L99" s="4"/>
      <c r="M99" s="3"/>
      <c r="O99" s="58"/>
      <c r="Q99" s="64"/>
      <c r="R99" s="45"/>
      <c r="S99" s="45"/>
      <c r="U99" s="64"/>
      <c r="V99" s="45"/>
      <c r="W99" s="64"/>
      <c r="X99" s="64"/>
      <c r="Y99" s="45"/>
      <c r="Z99" s="45"/>
      <c r="AA99" s="105"/>
      <c r="AB99" s="105"/>
      <c r="AC99" s="105"/>
      <c r="AD99" s="64"/>
      <c r="AG99" s="45"/>
      <c r="AH99" s="64"/>
      <c r="AI99" s="45"/>
      <c r="AJ99" s="105"/>
      <c r="AK99" s="105"/>
      <c r="AL99" s="60"/>
      <c r="AM99" s="60"/>
      <c r="AN99" s="60"/>
      <c r="AO99" s="60"/>
      <c r="AP99" s="60"/>
      <c r="AQ99" s="60"/>
      <c r="AR99" s="60"/>
      <c r="AS99" s="60"/>
      <c r="AT99" s="45"/>
      <c r="AU99" s="45"/>
      <c r="AW99" s="45"/>
      <c r="AX99" s="46">
        <f t="shared" si="4"/>
        <v>0</v>
      </c>
      <c r="AY99" s="46">
        <f t="shared" si="5"/>
        <v>0</v>
      </c>
      <c r="AZ99" s="46">
        <f t="shared" si="6"/>
        <v>0</v>
      </c>
    </row>
    <row r="100" spans="2:52" ht="20.100000000000001" customHeight="1">
      <c r="C100" s="102"/>
      <c r="D100" s="3"/>
      <c r="E100" s="12"/>
      <c r="F100" s="3"/>
      <c r="G100" s="3"/>
      <c r="H100" s="3"/>
      <c r="J100" s="3"/>
      <c r="K100" s="3"/>
      <c r="L100" s="4"/>
      <c r="M100" s="3"/>
      <c r="O100" s="58"/>
      <c r="Q100" s="64"/>
      <c r="R100" s="45"/>
      <c r="S100" s="45"/>
      <c r="U100" s="64"/>
      <c r="V100" s="45"/>
      <c r="W100" s="64"/>
      <c r="X100" s="64"/>
      <c r="Y100" s="45"/>
      <c r="Z100" s="45"/>
      <c r="AA100" s="105"/>
      <c r="AB100" s="105"/>
      <c r="AC100" s="105"/>
      <c r="AD100" s="64"/>
      <c r="AG100" s="45"/>
      <c r="AH100" s="64"/>
      <c r="AI100" s="45"/>
      <c r="AJ100" s="105"/>
      <c r="AK100" s="105"/>
      <c r="AL100" s="60"/>
      <c r="AM100" s="60"/>
      <c r="AN100" s="60"/>
      <c r="AO100" s="60"/>
      <c r="AP100" s="60"/>
      <c r="AQ100" s="60"/>
      <c r="AR100" s="60"/>
      <c r="AS100" s="60"/>
      <c r="AT100" s="45"/>
      <c r="AU100" s="45"/>
      <c r="AW100" s="45"/>
      <c r="AX100" s="46">
        <f t="shared" si="4"/>
        <v>0</v>
      </c>
      <c r="AY100" s="46">
        <f t="shared" si="5"/>
        <v>0</v>
      </c>
      <c r="AZ100" s="46">
        <f t="shared" si="6"/>
        <v>0</v>
      </c>
    </row>
    <row r="101" spans="2:52" ht="20.100000000000001" customHeight="1">
      <c r="C101" s="102"/>
      <c r="D101" s="3"/>
      <c r="E101" s="12"/>
      <c r="F101" s="3"/>
      <c r="G101" s="3"/>
      <c r="H101" s="3"/>
      <c r="J101" s="3"/>
      <c r="K101" s="3"/>
      <c r="L101" s="4"/>
      <c r="M101" s="3"/>
      <c r="O101" s="58"/>
      <c r="Q101" s="64"/>
      <c r="R101" s="45"/>
      <c r="S101" s="45"/>
      <c r="U101" s="64"/>
      <c r="V101" s="45"/>
      <c r="W101" s="64"/>
      <c r="X101" s="64"/>
      <c r="Y101" s="45"/>
      <c r="Z101" s="45"/>
      <c r="AA101" s="105"/>
      <c r="AB101" s="105"/>
      <c r="AC101" s="105"/>
      <c r="AD101" s="64"/>
      <c r="AG101" s="45"/>
      <c r="AH101" s="64"/>
      <c r="AI101" s="45"/>
      <c r="AJ101" s="105"/>
      <c r="AK101" s="105"/>
      <c r="AL101" s="60"/>
      <c r="AM101" s="60"/>
      <c r="AN101" s="60"/>
      <c r="AO101" s="60"/>
      <c r="AP101" s="60"/>
      <c r="AQ101" s="60"/>
      <c r="AR101" s="60"/>
      <c r="AS101" s="60"/>
      <c r="AT101" s="45"/>
      <c r="AU101" s="45"/>
      <c r="AW101" s="45"/>
      <c r="AX101" s="46">
        <f t="shared" si="4"/>
        <v>0</v>
      </c>
      <c r="AY101" s="46">
        <f t="shared" si="5"/>
        <v>0</v>
      </c>
      <c r="AZ101" s="46">
        <f t="shared" si="6"/>
        <v>0</v>
      </c>
    </row>
    <row r="102" spans="2:52" ht="20.100000000000001" customHeight="1">
      <c r="C102" s="102"/>
      <c r="D102" s="3"/>
      <c r="E102" s="12"/>
      <c r="F102" s="3"/>
      <c r="G102" s="3"/>
      <c r="H102" s="3"/>
      <c r="J102" s="3"/>
      <c r="K102" s="3"/>
      <c r="L102" s="4"/>
      <c r="M102" s="3"/>
      <c r="O102" s="58"/>
      <c r="Q102" s="64"/>
      <c r="R102" s="45"/>
      <c r="S102" s="45"/>
      <c r="U102" s="64"/>
      <c r="V102" s="45"/>
      <c r="W102" s="64"/>
      <c r="X102" s="64"/>
      <c r="Y102" s="45"/>
      <c r="Z102" s="45"/>
      <c r="AA102" s="105"/>
      <c r="AB102" s="105"/>
      <c r="AC102" s="105"/>
      <c r="AD102" s="64"/>
      <c r="AG102" s="45"/>
      <c r="AH102" s="64"/>
      <c r="AI102" s="45"/>
      <c r="AJ102" s="105"/>
      <c r="AK102" s="105"/>
      <c r="AL102" s="60"/>
      <c r="AM102" s="60"/>
      <c r="AN102" s="60"/>
      <c r="AO102" s="60"/>
      <c r="AP102" s="60"/>
      <c r="AQ102" s="60"/>
      <c r="AR102" s="60"/>
      <c r="AS102" s="60"/>
      <c r="AT102" s="45"/>
      <c r="AU102" s="45"/>
      <c r="AW102" s="45"/>
      <c r="AX102" s="46">
        <f t="shared" si="4"/>
        <v>0</v>
      </c>
      <c r="AY102" s="46">
        <f t="shared" si="5"/>
        <v>0</v>
      </c>
      <c r="AZ102" s="46">
        <f t="shared" si="6"/>
        <v>0</v>
      </c>
    </row>
    <row r="103" spans="2:52" ht="20.100000000000001" customHeight="1">
      <c r="C103" s="102"/>
      <c r="D103" s="3"/>
      <c r="E103" s="67"/>
      <c r="F103" s="3"/>
      <c r="G103" s="3"/>
      <c r="H103" s="3"/>
      <c r="J103" s="3"/>
      <c r="K103" s="3"/>
      <c r="L103" s="4"/>
      <c r="M103" s="3"/>
      <c r="O103" s="58"/>
      <c r="Q103" s="64"/>
      <c r="R103" s="45"/>
      <c r="S103" s="45"/>
      <c r="U103" s="64"/>
      <c r="V103" s="45"/>
      <c r="W103" s="64"/>
      <c r="X103" s="64"/>
      <c r="Y103" s="45"/>
      <c r="Z103" s="45"/>
      <c r="AA103" s="105"/>
      <c r="AB103" s="105"/>
      <c r="AC103" s="105"/>
      <c r="AD103" s="64"/>
      <c r="AG103" s="45"/>
      <c r="AH103" s="64"/>
      <c r="AI103" s="45"/>
      <c r="AJ103" s="105"/>
      <c r="AK103" s="105"/>
      <c r="AL103" s="60"/>
      <c r="AM103" s="60"/>
      <c r="AN103" s="60"/>
      <c r="AO103" s="60"/>
      <c r="AP103" s="60"/>
      <c r="AQ103" s="60"/>
      <c r="AR103" s="60"/>
      <c r="AS103" s="60"/>
      <c r="AT103" s="45"/>
      <c r="AU103" s="45"/>
      <c r="AW103" s="45"/>
      <c r="AX103" s="46">
        <f t="shared" si="4"/>
        <v>0</v>
      </c>
      <c r="AY103" s="46">
        <f t="shared" si="5"/>
        <v>0</v>
      </c>
      <c r="AZ103" s="46">
        <f t="shared" si="6"/>
        <v>0</v>
      </c>
    </row>
    <row r="104" spans="2:52" ht="20.100000000000001" customHeight="1">
      <c r="C104" s="102"/>
      <c r="D104" s="3"/>
      <c r="E104" s="12"/>
      <c r="F104" s="3"/>
      <c r="G104" s="3"/>
      <c r="H104" s="3"/>
      <c r="J104" s="3"/>
      <c r="K104" s="3"/>
      <c r="L104" s="4"/>
      <c r="M104" s="3"/>
      <c r="O104" s="58"/>
      <c r="Q104" s="64"/>
      <c r="R104" s="45"/>
      <c r="S104" s="45"/>
      <c r="U104" s="64"/>
      <c r="V104" s="45"/>
      <c r="W104" s="64"/>
      <c r="X104" s="64"/>
      <c r="Y104" s="45"/>
      <c r="Z104" s="45"/>
      <c r="AA104" s="105"/>
      <c r="AB104" s="105"/>
      <c r="AC104" s="105"/>
      <c r="AD104" s="64"/>
      <c r="AG104" s="45"/>
      <c r="AH104" s="64"/>
      <c r="AI104" s="45"/>
      <c r="AJ104" s="105"/>
      <c r="AK104" s="105"/>
      <c r="AL104" s="60"/>
      <c r="AM104" s="60"/>
      <c r="AN104" s="60"/>
      <c r="AO104" s="60"/>
      <c r="AP104" s="60"/>
      <c r="AQ104" s="60"/>
      <c r="AR104" s="60"/>
      <c r="AS104" s="60"/>
      <c r="AT104" s="45"/>
      <c r="AU104" s="45"/>
      <c r="AW104" s="45"/>
      <c r="AX104" s="46">
        <f t="shared" si="4"/>
        <v>0</v>
      </c>
      <c r="AY104" s="46">
        <f t="shared" si="5"/>
        <v>0</v>
      </c>
      <c r="AZ104" s="46">
        <f t="shared" si="6"/>
        <v>0</v>
      </c>
    </row>
    <row r="105" spans="2:52" ht="20.100000000000001" customHeight="1">
      <c r="C105" s="102"/>
      <c r="D105" s="3"/>
      <c r="E105" s="12"/>
      <c r="F105" s="3"/>
      <c r="G105" s="3"/>
      <c r="H105" s="3"/>
      <c r="J105" s="3"/>
      <c r="K105" s="3"/>
      <c r="L105" s="4"/>
      <c r="M105" s="3"/>
      <c r="O105" s="58"/>
      <c r="Q105" s="64"/>
      <c r="R105" s="45"/>
      <c r="S105" s="45"/>
      <c r="U105" s="64"/>
      <c r="V105" s="45"/>
      <c r="W105" s="64"/>
      <c r="X105" s="64"/>
      <c r="Y105" s="45"/>
      <c r="Z105" s="45"/>
      <c r="AA105" s="105"/>
      <c r="AB105" s="105"/>
      <c r="AC105" s="105"/>
      <c r="AD105" s="64"/>
      <c r="AG105" s="45"/>
      <c r="AH105" s="64"/>
      <c r="AI105" s="45"/>
      <c r="AJ105" s="105"/>
      <c r="AK105" s="105"/>
      <c r="AL105" s="60"/>
      <c r="AM105" s="60"/>
      <c r="AN105" s="60"/>
      <c r="AO105" s="60"/>
      <c r="AP105" s="60"/>
      <c r="AQ105" s="60"/>
      <c r="AR105" s="60"/>
      <c r="AS105" s="60"/>
      <c r="AT105" s="45"/>
      <c r="AU105" s="45"/>
      <c r="AW105" s="45"/>
      <c r="AX105" s="46">
        <f t="shared" si="4"/>
        <v>0</v>
      </c>
      <c r="AY105" s="46">
        <f t="shared" si="5"/>
        <v>0</v>
      </c>
      <c r="AZ105" s="46">
        <f t="shared" si="6"/>
        <v>0</v>
      </c>
    </row>
    <row r="106" spans="2:52" ht="20.100000000000001" customHeight="1">
      <c r="C106" s="102"/>
      <c r="D106" s="3"/>
      <c r="E106" s="12"/>
      <c r="F106" s="3"/>
      <c r="G106" s="3"/>
      <c r="H106" s="3"/>
      <c r="J106" s="3"/>
      <c r="K106" s="3"/>
      <c r="L106" s="4"/>
      <c r="M106" s="3"/>
      <c r="O106" s="58"/>
      <c r="Q106" s="64"/>
      <c r="R106" s="45"/>
      <c r="S106" s="45"/>
      <c r="U106" s="64"/>
      <c r="V106" s="45"/>
      <c r="W106" s="64"/>
      <c r="X106" s="64"/>
      <c r="Y106" s="45"/>
      <c r="Z106" s="45"/>
      <c r="AA106" s="105"/>
      <c r="AB106" s="105"/>
      <c r="AC106" s="105"/>
      <c r="AD106" s="64"/>
      <c r="AG106" s="45"/>
      <c r="AH106" s="64"/>
      <c r="AI106" s="45"/>
      <c r="AJ106" s="105"/>
      <c r="AK106" s="105"/>
      <c r="AL106" s="60"/>
      <c r="AM106" s="60"/>
      <c r="AN106" s="60"/>
      <c r="AO106" s="60"/>
      <c r="AP106" s="60"/>
      <c r="AQ106" s="60"/>
      <c r="AR106" s="60"/>
      <c r="AS106" s="60"/>
      <c r="AT106" s="45"/>
      <c r="AU106" s="45"/>
      <c r="AW106" s="45"/>
      <c r="AX106" s="46">
        <f t="shared" si="4"/>
        <v>0</v>
      </c>
      <c r="AY106" s="46">
        <f t="shared" si="5"/>
        <v>0</v>
      </c>
      <c r="AZ106" s="46">
        <f t="shared" si="6"/>
        <v>0</v>
      </c>
    </row>
    <row r="107" spans="2:52" ht="20.100000000000001" customHeight="1">
      <c r="B107" s="61"/>
      <c r="C107" s="103"/>
      <c r="D107" s="3"/>
      <c r="E107" s="12"/>
      <c r="F107" s="3"/>
      <c r="G107" s="3"/>
      <c r="H107" s="3"/>
      <c r="J107" s="3"/>
      <c r="K107" s="3"/>
      <c r="L107" s="4"/>
      <c r="M107" s="3"/>
      <c r="O107" s="58"/>
      <c r="Q107" s="64"/>
      <c r="R107" s="45"/>
      <c r="S107" s="45"/>
      <c r="U107" s="64"/>
      <c r="V107" s="45"/>
      <c r="W107" s="64"/>
      <c r="X107" s="64"/>
      <c r="Y107" s="45"/>
      <c r="Z107" s="45"/>
      <c r="AA107" s="105"/>
      <c r="AB107" s="105"/>
      <c r="AC107" s="105"/>
      <c r="AD107" s="64"/>
      <c r="AE107" s="62"/>
      <c r="AG107" s="45"/>
      <c r="AH107" s="64"/>
      <c r="AI107" s="45"/>
      <c r="AJ107" s="105"/>
      <c r="AK107" s="105"/>
      <c r="AL107" s="60"/>
      <c r="AM107" s="60"/>
      <c r="AN107" s="60"/>
      <c r="AO107" s="60"/>
      <c r="AP107" s="60"/>
      <c r="AQ107" s="60"/>
      <c r="AR107" s="60"/>
      <c r="AS107" s="60"/>
      <c r="AT107" s="45"/>
      <c r="AU107" s="45"/>
      <c r="AW107" s="45"/>
      <c r="AX107" s="46">
        <f t="shared" si="4"/>
        <v>0</v>
      </c>
      <c r="AY107" s="46">
        <f t="shared" si="5"/>
        <v>0</v>
      </c>
      <c r="AZ107" s="46">
        <f t="shared" si="6"/>
        <v>0</v>
      </c>
    </row>
    <row r="108" spans="2:52" ht="20.100000000000001" customHeight="1">
      <c r="C108" s="102"/>
      <c r="D108" s="3"/>
      <c r="E108" s="12"/>
      <c r="F108" s="3"/>
      <c r="G108" s="3"/>
      <c r="H108" s="3"/>
      <c r="J108" s="3"/>
      <c r="K108" s="3"/>
      <c r="L108" s="4"/>
      <c r="M108" s="3"/>
      <c r="O108" s="58"/>
      <c r="Q108" s="64"/>
      <c r="R108" s="45"/>
      <c r="S108" s="45"/>
      <c r="U108" s="64"/>
      <c r="V108" s="45"/>
      <c r="W108" s="64"/>
      <c r="X108" s="64"/>
      <c r="Y108" s="45"/>
      <c r="Z108" s="45"/>
      <c r="AA108" s="105"/>
      <c r="AB108" s="105"/>
      <c r="AC108" s="105"/>
      <c r="AD108" s="64"/>
      <c r="AG108" s="45"/>
      <c r="AH108" s="64"/>
      <c r="AI108" s="45"/>
      <c r="AJ108" s="105"/>
      <c r="AK108" s="105"/>
      <c r="AL108" s="60"/>
      <c r="AM108" s="60"/>
      <c r="AN108" s="60"/>
      <c r="AO108" s="60"/>
      <c r="AP108" s="60"/>
      <c r="AQ108" s="60"/>
      <c r="AR108" s="60"/>
      <c r="AS108" s="60"/>
      <c r="AT108" s="45"/>
      <c r="AU108" s="45"/>
      <c r="AW108" s="45"/>
      <c r="AX108" s="46">
        <f t="shared" si="4"/>
        <v>0</v>
      </c>
      <c r="AY108" s="46">
        <f t="shared" si="5"/>
        <v>0</v>
      </c>
      <c r="AZ108" s="46">
        <f t="shared" si="6"/>
        <v>0</v>
      </c>
    </row>
    <row r="109" spans="2:52" ht="20.100000000000001" customHeight="1">
      <c r="C109" s="102"/>
      <c r="D109" s="3"/>
      <c r="E109" s="12"/>
      <c r="F109" s="3"/>
      <c r="G109" s="3"/>
      <c r="H109" s="3"/>
      <c r="J109" s="3"/>
      <c r="K109" s="3"/>
      <c r="L109" s="4"/>
      <c r="M109" s="3"/>
      <c r="O109" s="58"/>
      <c r="Q109" s="64"/>
      <c r="R109" s="45"/>
      <c r="S109" s="45"/>
      <c r="U109" s="64"/>
      <c r="V109" s="45"/>
      <c r="W109" s="64"/>
      <c r="X109" s="64"/>
      <c r="Y109" s="45"/>
      <c r="Z109" s="45"/>
      <c r="AA109" s="105"/>
      <c r="AB109" s="105"/>
      <c r="AC109" s="105"/>
      <c r="AD109" s="64"/>
      <c r="AG109" s="45"/>
      <c r="AH109" s="64"/>
      <c r="AI109" s="45"/>
      <c r="AJ109" s="105"/>
      <c r="AK109" s="105"/>
      <c r="AL109" s="60"/>
      <c r="AM109" s="60"/>
      <c r="AN109" s="60"/>
      <c r="AO109" s="60"/>
      <c r="AP109" s="60"/>
      <c r="AQ109" s="60"/>
      <c r="AR109" s="60"/>
      <c r="AS109" s="60"/>
      <c r="AT109" s="45"/>
      <c r="AU109" s="45"/>
      <c r="AW109" s="45"/>
      <c r="AX109" s="46">
        <f t="shared" si="4"/>
        <v>0</v>
      </c>
      <c r="AY109" s="46">
        <f t="shared" si="5"/>
        <v>0</v>
      </c>
      <c r="AZ109" s="46">
        <f t="shared" si="6"/>
        <v>0</v>
      </c>
    </row>
    <row r="110" spans="2:52" ht="20.100000000000001" customHeight="1">
      <c r="C110" s="102"/>
      <c r="D110" s="3"/>
      <c r="E110" s="12"/>
      <c r="F110" s="3"/>
      <c r="G110" s="3"/>
      <c r="H110" s="3"/>
      <c r="J110" s="3"/>
      <c r="K110" s="3"/>
      <c r="L110" s="4"/>
      <c r="M110" s="3"/>
      <c r="O110" s="58"/>
      <c r="Q110" s="64"/>
      <c r="R110" s="45"/>
      <c r="S110" s="45"/>
      <c r="U110" s="64"/>
      <c r="V110" s="45"/>
      <c r="W110" s="64"/>
      <c r="X110" s="64"/>
      <c r="Y110" s="45"/>
      <c r="Z110" s="45"/>
      <c r="AA110" s="105"/>
      <c r="AB110" s="105"/>
      <c r="AC110" s="105"/>
      <c r="AD110" s="64"/>
      <c r="AG110" s="45"/>
      <c r="AH110" s="64"/>
      <c r="AI110" s="45"/>
      <c r="AJ110" s="105"/>
      <c r="AK110" s="105"/>
      <c r="AL110" s="60"/>
      <c r="AM110" s="60"/>
      <c r="AN110" s="60"/>
      <c r="AO110" s="60"/>
      <c r="AP110" s="60"/>
      <c r="AQ110" s="60"/>
      <c r="AR110" s="60"/>
      <c r="AS110" s="60"/>
      <c r="AT110" s="45"/>
      <c r="AU110" s="45"/>
      <c r="AW110" s="45"/>
      <c r="AX110" s="46">
        <f t="shared" si="4"/>
        <v>0</v>
      </c>
      <c r="AY110" s="46">
        <f t="shared" si="5"/>
        <v>0</v>
      </c>
      <c r="AZ110" s="46">
        <f t="shared" si="6"/>
        <v>0</v>
      </c>
    </row>
    <row r="111" spans="2:52" ht="20.100000000000001" customHeight="1">
      <c r="C111" s="102"/>
      <c r="D111" s="3"/>
      <c r="E111" s="12"/>
      <c r="F111" s="3"/>
      <c r="G111" s="3"/>
      <c r="H111" s="3"/>
      <c r="J111" s="3"/>
      <c r="K111" s="3"/>
      <c r="L111" s="4"/>
      <c r="M111" s="3"/>
      <c r="O111" s="58"/>
      <c r="Q111" s="64"/>
      <c r="R111" s="45"/>
      <c r="S111" s="45"/>
      <c r="U111" s="64"/>
      <c r="V111" s="45"/>
      <c r="W111" s="64"/>
      <c r="X111" s="64"/>
      <c r="Y111" s="45"/>
      <c r="Z111" s="45"/>
      <c r="AA111" s="105"/>
      <c r="AB111" s="105"/>
      <c r="AC111" s="105"/>
      <c r="AD111" s="64"/>
      <c r="AG111" s="45"/>
      <c r="AH111" s="64"/>
      <c r="AI111" s="45"/>
      <c r="AJ111" s="105"/>
      <c r="AK111" s="105"/>
      <c r="AL111" s="60"/>
      <c r="AM111" s="60"/>
      <c r="AN111" s="60"/>
      <c r="AO111" s="60"/>
      <c r="AP111" s="60"/>
      <c r="AQ111" s="60"/>
      <c r="AR111" s="60"/>
      <c r="AS111" s="60"/>
      <c r="AT111" s="45"/>
      <c r="AU111" s="45"/>
      <c r="AW111" s="45"/>
      <c r="AX111" s="46">
        <f t="shared" si="4"/>
        <v>0</v>
      </c>
      <c r="AY111" s="46">
        <f t="shared" si="5"/>
        <v>0</v>
      </c>
      <c r="AZ111" s="46">
        <f t="shared" si="6"/>
        <v>0</v>
      </c>
    </row>
    <row r="112" spans="2:52" ht="20.100000000000001" customHeight="1">
      <c r="C112" s="102"/>
      <c r="D112" s="3"/>
      <c r="E112" s="12"/>
      <c r="F112" s="3"/>
      <c r="G112" s="3"/>
      <c r="H112" s="3"/>
      <c r="J112" s="3"/>
      <c r="K112" s="3"/>
      <c r="L112" s="4"/>
      <c r="M112" s="3"/>
      <c r="O112" s="58"/>
      <c r="Q112" s="64"/>
      <c r="R112" s="45"/>
      <c r="S112" s="45"/>
      <c r="U112" s="64"/>
      <c r="V112" s="45"/>
      <c r="W112" s="64"/>
      <c r="X112" s="64"/>
      <c r="Y112" s="45"/>
      <c r="Z112" s="45"/>
      <c r="AA112" s="105"/>
      <c r="AB112" s="105"/>
      <c r="AC112" s="105"/>
      <c r="AD112" s="64"/>
      <c r="AG112" s="45"/>
      <c r="AH112" s="64"/>
      <c r="AI112" s="45"/>
      <c r="AJ112" s="105"/>
      <c r="AK112" s="105"/>
      <c r="AL112" s="60"/>
      <c r="AM112" s="60"/>
      <c r="AN112" s="60"/>
      <c r="AO112" s="60"/>
      <c r="AP112" s="60"/>
      <c r="AQ112" s="60"/>
      <c r="AR112" s="60"/>
      <c r="AS112" s="60"/>
      <c r="AT112" s="45"/>
      <c r="AU112" s="45"/>
      <c r="AW112" s="45"/>
      <c r="AX112" s="46">
        <f t="shared" si="4"/>
        <v>0</v>
      </c>
      <c r="AY112" s="46">
        <f t="shared" si="5"/>
        <v>0</v>
      </c>
      <c r="AZ112" s="46">
        <f t="shared" si="6"/>
        <v>0</v>
      </c>
    </row>
    <row r="113" spans="3:52" ht="20.100000000000001" customHeight="1">
      <c r="C113" s="102"/>
      <c r="D113" s="3"/>
      <c r="E113" s="67"/>
      <c r="F113" s="3"/>
      <c r="G113" s="3"/>
      <c r="H113" s="3"/>
      <c r="J113" s="3"/>
      <c r="K113" s="3"/>
      <c r="L113" s="4"/>
      <c r="M113" s="3"/>
      <c r="O113" s="58"/>
      <c r="Q113" s="64"/>
      <c r="R113" s="45"/>
      <c r="S113" s="45"/>
      <c r="U113" s="64"/>
      <c r="V113" s="45"/>
      <c r="W113" s="64"/>
      <c r="X113" s="64"/>
      <c r="Y113" s="45"/>
      <c r="Z113" s="45"/>
      <c r="AA113" s="105"/>
      <c r="AB113" s="105"/>
      <c r="AC113" s="105"/>
      <c r="AD113" s="64"/>
      <c r="AG113" s="45"/>
      <c r="AH113" s="64"/>
      <c r="AI113" s="45"/>
      <c r="AJ113" s="105"/>
      <c r="AK113" s="105"/>
      <c r="AL113" s="60"/>
      <c r="AM113" s="60"/>
      <c r="AN113" s="60"/>
      <c r="AO113" s="60"/>
      <c r="AP113" s="60"/>
      <c r="AQ113" s="60"/>
      <c r="AR113" s="60"/>
      <c r="AS113" s="60"/>
      <c r="AT113" s="45"/>
      <c r="AU113" s="45"/>
      <c r="AW113" s="45"/>
      <c r="AX113" s="46">
        <f t="shared" si="4"/>
        <v>0</v>
      </c>
      <c r="AY113" s="46">
        <f t="shared" si="5"/>
        <v>0</v>
      </c>
      <c r="AZ113" s="46">
        <f t="shared" si="6"/>
        <v>0</v>
      </c>
    </row>
    <row r="114" spans="3:52" ht="20.100000000000001" customHeight="1">
      <c r="C114" s="102"/>
      <c r="D114" s="3"/>
      <c r="E114" s="12"/>
      <c r="F114" s="3"/>
      <c r="G114" s="3"/>
      <c r="H114" s="3"/>
      <c r="J114" s="3"/>
      <c r="K114" s="3"/>
      <c r="L114" s="4"/>
      <c r="M114" s="3"/>
      <c r="O114" s="58"/>
      <c r="Q114" s="64"/>
      <c r="R114" s="45"/>
      <c r="S114" s="45"/>
      <c r="U114" s="64"/>
      <c r="V114" s="45"/>
      <c r="W114" s="64"/>
      <c r="X114" s="64"/>
      <c r="Y114" s="45"/>
      <c r="Z114" s="45"/>
      <c r="AA114" s="105"/>
      <c r="AB114" s="105"/>
      <c r="AC114" s="105"/>
      <c r="AD114" s="64"/>
      <c r="AG114" s="45"/>
      <c r="AH114" s="64"/>
      <c r="AI114" s="45"/>
      <c r="AJ114" s="105"/>
      <c r="AK114" s="105"/>
      <c r="AL114" s="60"/>
      <c r="AM114" s="60"/>
      <c r="AN114" s="60"/>
      <c r="AO114" s="60"/>
      <c r="AP114" s="60"/>
      <c r="AQ114" s="60"/>
      <c r="AR114" s="60"/>
      <c r="AS114" s="60"/>
      <c r="AT114" s="45"/>
      <c r="AU114" s="45"/>
      <c r="AW114" s="45"/>
      <c r="AX114" s="46">
        <f t="shared" si="4"/>
        <v>0</v>
      </c>
      <c r="AY114" s="46">
        <f t="shared" si="5"/>
        <v>0</v>
      </c>
      <c r="AZ114" s="46">
        <f t="shared" si="6"/>
        <v>0</v>
      </c>
    </row>
    <row r="115" spans="3:52" ht="20.100000000000001" customHeight="1">
      <c r="C115" s="102"/>
      <c r="D115" s="3"/>
      <c r="E115" s="12"/>
      <c r="F115" s="3"/>
      <c r="G115" s="3"/>
      <c r="H115" s="3"/>
      <c r="J115" s="3"/>
      <c r="K115" s="3"/>
      <c r="L115" s="4"/>
      <c r="M115" s="3"/>
      <c r="O115" s="58"/>
      <c r="Q115" s="64"/>
      <c r="R115" s="45"/>
      <c r="S115" s="45"/>
      <c r="U115" s="64"/>
      <c r="V115" s="45"/>
      <c r="W115" s="64"/>
      <c r="X115" s="64"/>
      <c r="Y115" s="45"/>
      <c r="Z115" s="45"/>
      <c r="AA115" s="105"/>
      <c r="AB115" s="105"/>
      <c r="AC115" s="105"/>
      <c r="AD115" s="64"/>
      <c r="AG115" s="45"/>
      <c r="AH115" s="64"/>
      <c r="AI115" s="45"/>
      <c r="AJ115" s="105"/>
      <c r="AK115" s="105"/>
      <c r="AL115" s="60"/>
      <c r="AM115" s="60"/>
      <c r="AN115" s="60"/>
      <c r="AO115" s="60"/>
      <c r="AP115" s="60"/>
      <c r="AQ115" s="60"/>
      <c r="AR115" s="60"/>
      <c r="AS115" s="60"/>
      <c r="AT115" s="45"/>
      <c r="AU115" s="45"/>
      <c r="AW115" s="45"/>
      <c r="AX115" s="46">
        <f t="shared" si="4"/>
        <v>0</v>
      </c>
      <c r="AY115" s="46">
        <f t="shared" si="5"/>
        <v>0</v>
      </c>
      <c r="AZ115" s="46">
        <f t="shared" si="6"/>
        <v>0</v>
      </c>
    </row>
    <row r="116" spans="3:52" ht="20.100000000000001" customHeight="1">
      <c r="C116" s="102"/>
      <c r="D116" s="3"/>
      <c r="E116" s="12"/>
      <c r="F116" s="3"/>
      <c r="G116" s="3"/>
      <c r="H116" s="3"/>
      <c r="J116" s="3"/>
      <c r="K116" s="3"/>
      <c r="L116" s="4"/>
      <c r="M116" s="3"/>
      <c r="O116" s="58"/>
      <c r="Q116" s="64"/>
      <c r="R116" s="45"/>
      <c r="S116" s="45"/>
      <c r="U116" s="64"/>
      <c r="V116" s="45"/>
      <c r="W116" s="64"/>
      <c r="X116" s="64"/>
      <c r="Y116" s="45"/>
      <c r="Z116" s="45"/>
      <c r="AA116" s="105"/>
      <c r="AB116" s="105"/>
      <c r="AC116" s="105"/>
      <c r="AD116" s="64"/>
      <c r="AG116" s="45"/>
      <c r="AH116" s="64"/>
      <c r="AI116" s="45"/>
      <c r="AJ116" s="105"/>
      <c r="AK116" s="105"/>
      <c r="AL116" s="60"/>
      <c r="AM116" s="60"/>
      <c r="AN116" s="60"/>
      <c r="AO116" s="60"/>
      <c r="AP116" s="60"/>
      <c r="AQ116" s="60"/>
      <c r="AR116" s="60"/>
      <c r="AS116" s="60"/>
      <c r="AT116" s="45"/>
      <c r="AU116" s="45"/>
      <c r="AW116" s="45"/>
      <c r="AX116" s="46">
        <f t="shared" si="4"/>
        <v>0</v>
      </c>
      <c r="AY116" s="46">
        <f t="shared" si="5"/>
        <v>0</v>
      </c>
      <c r="AZ116" s="46">
        <f t="shared" si="6"/>
        <v>0</v>
      </c>
    </row>
    <row r="117" spans="3:52" ht="20.100000000000001" customHeight="1">
      <c r="C117" s="102"/>
      <c r="D117" s="3"/>
      <c r="E117" s="12"/>
      <c r="F117" s="3"/>
      <c r="G117" s="3"/>
      <c r="H117" s="3"/>
      <c r="J117" s="3"/>
      <c r="K117" s="3"/>
      <c r="L117" s="4"/>
      <c r="M117" s="3"/>
      <c r="O117" s="58"/>
      <c r="Q117" s="64"/>
      <c r="R117" s="45"/>
      <c r="S117" s="45"/>
      <c r="U117" s="64"/>
      <c r="V117" s="45"/>
      <c r="W117" s="64"/>
      <c r="X117" s="64"/>
      <c r="Y117" s="45"/>
      <c r="Z117" s="45"/>
      <c r="AA117" s="105"/>
      <c r="AB117" s="105"/>
      <c r="AC117" s="105"/>
      <c r="AD117" s="64"/>
      <c r="AG117" s="45"/>
      <c r="AH117" s="64"/>
      <c r="AI117" s="45"/>
      <c r="AJ117" s="105"/>
      <c r="AK117" s="105"/>
      <c r="AL117" s="60"/>
      <c r="AM117" s="60"/>
      <c r="AN117" s="60"/>
      <c r="AO117" s="60"/>
      <c r="AP117" s="60"/>
      <c r="AQ117" s="60"/>
      <c r="AR117" s="60"/>
      <c r="AS117" s="60"/>
      <c r="AT117" s="45"/>
      <c r="AU117" s="45"/>
      <c r="AW117" s="45"/>
      <c r="AX117" s="46">
        <f t="shared" si="4"/>
        <v>0</v>
      </c>
      <c r="AY117" s="46">
        <f t="shared" si="5"/>
        <v>0</v>
      </c>
      <c r="AZ117" s="46">
        <f t="shared" si="6"/>
        <v>0</v>
      </c>
    </row>
    <row r="118" spans="3:52" ht="20.100000000000001" customHeight="1">
      <c r="C118" s="102"/>
      <c r="D118" s="3"/>
      <c r="E118" s="12"/>
      <c r="F118" s="3"/>
      <c r="G118" s="3"/>
      <c r="H118" s="3"/>
      <c r="J118" s="3"/>
      <c r="K118" s="3"/>
      <c r="L118" s="4"/>
      <c r="M118" s="3"/>
      <c r="O118" s="58"/>
      <c r="Q118" s="64"/>
      <c r="R118" s="45"/>
      <c r="S118" s="45"/>
      <c r="U118" s="64"/>
      <c r="V118" s="45"/>
      <c r="W118" s="64"/>
      <c r="X118" s="64"/>
      <c r="Y118" s="45"/>
      <c r="Z118" s="45"/>
      <c r="AA118" s="105"/>
      <c r="AB118" s="105"/>
      <c r="AC118" s="105"/>
      <c r="AD118" s="64"/>
      <c r="AG118" s="45"/>
      <c r="AH118" s="64"/>
      <c r="AI118" s="45"/>
      <c r="AJ118" s="105"/>
      <c r="AK118" s="105"/>
      <c r="AL118" s="60"/>
      <c r="AM118" s="60"/>
      <c r="AN118" s="60"/>
      <c r="AO118" s="60"/>
      <c r="AP118" s="60"/>
      <c r="AQ118" s="60"/>
      <c r="AR118" s="60"/>
      <c r="AS118" s="60"/>
      <c r="AT118" s="45"/>
      <c r="AU118" s="45"/>
      <c r="AW118" s="45"/>
      <c r="AX118" s="46">
        <f t="shared" si="4"/>
        <v>0</v>
      </c>
      <c r="AY118" s="46">
        <f t="shared" si="5"/>
        <v>0</v>
      </c>
      <c r="AZ118" s="46">
        <f t="shared" si="6"/>
        <v>0</v>
      </c>
    </row>
    <row r="119" spans="3:52" ht="20.100000000000001" customHeight="1">
      <c r="C119" s="102"/>
      <c r="D119" s="3"/>
      <c r="E119" s="12"/>
      <c r="F119" s="3"/>
      <c r="G119" s="3"/>
      <c r="H119" s="3"/>
      <c r="J119" s="3"/>
      <c r="K119" s="3"/>
      <c r="L119" s="4"/>
      <c r="M119" s="3"/>
      <c r="O119" s="58"/>
      <c r="Q119" s="64"/>
      <c r="R119" s="45"/>
      <c r="S119" s="45"/>
      <c r="U119" s="64"/>
      <c r="V119" s="45"/>
      <c r="W119" s="64"/>
      <c r="X119" s="64"/>
      <c r="Y119" s="45"/>
      <c r="Z119" s="45"/>
      <c r="AA119" s="105"/>
      <c r="AB119" s="105"/>
      <c r="AC119" s="105"/>
      <c r="AD119" s="64"/>
      <c r="AH119" s="64"/>
      <c r="AI119" s="45"/>
      <c r="AJ119" s="105"/>
      <c r="AK119" s="105"/>
      <c r="AL119" s="60"/>
      <c r="AM119" s="60"/>
      <c r="AN119" s="60"/>
      <c r="AO119" s="60"/>
      <c r="AP119" s="60"/>
      <c r="AQ119" s="60"/>
      <c r="AR119" s="60"/>
      <c r="AS119" s="60"/>
      <c r="AT119" s="45"/>
      <c r="AU119" s="45"/>
      <c r="AW119" s="45"/>
      <c r="AX119" s="46">
        <f t="shared" si="4"/>
        <v>0</v>
      </c>
      <c r="AY119" s="46">
        <f t="shared" si="5"/>
        <v>0</v>
      </c>
      <c r="AZ119" s="46">
        <f t="shared" si="6"/>
        <v>0</v>
      </c>
    </row>
    <row r="120" spans="3:52" ht="20.100000000000001" customHeight="1">
      <c r="C120" s="102"/>
      <c r="D120" s="3"/>
      <c r="E120" s="12"/>
      <c r="F120" s="3"/>
      <c r="G120" s="3"/>
      <c r="H120" s="3"/>
      <c r="J120" s="3"/>
      <c r="K120" s="3"/>
      <c r="L120" s="4"/>
      <c r="M120" s="3"/>
      <c r="O120" s="58"/>
      <c r="Q120" s="64"/>
      <c r="R120" s="45"/>
      <c r="S120" s="45"/>
      <c r="U120" s="64"/>
      <c r="V120" s="45"/>
      <c r="W120" s="64"/>
      <c r="X120" s="64"/>
      <c r="Y120" s="45"/>
      <c r="Z120" s="45"/>
      <c r="AA120" s="105"/>
      <c r="AB120" s="105"/>
      <c r="AC120" s="105"/>
      <c r="AD120" s="64"/>
      <c r="AG120" s="45"/>
      <c r="AH120" s="64"/>
      <c r="AI120" s="45"/>
      <c r="AJ120" s="105"/>
      <c r="AK120" s="105"/>
      <c r="AL120" s="60"/>
      <c r="AM120" s="60"/>
      <c r="AN120" s="60"/>
      <c r="AO120" s="60"/>
      <c r="AP120" s="60"/>
      <c r="AQ120" s="60"/>
      <c r="AR120" s="60"/>
      <c r="AS120" s="60"/>
      <c r="AT120" s="45"/>
      <c r="AU120" s="45"/>
      <c r="AW120" s="45"/>
      <c r="AX120" s="46">
        <f t="shared" si="4"/>
        <v>0</v>
      </c>
      <c r="AY120" s="46">
        <f t="shared" si="5"/>
        <v>0</v>
      </c>
      <c r="AZ120" s="46">
        <f t="shared" si="6"/>
        <v>0</v>
      </c>
    </row>
    <row r="121" spans="3:52" ht="20.100000000000001" customHeight="1">
      <c r="C121" s="102"/>
      <c r="D121" s="3"/>
      <c r="E121" s="12"/>
      <c r="F121" s="3"/>
      <c r="G121" s="3"/>
      <c r="H121" s="3"/>
      <c r="J121" s="3"/>
      <c r="K121" s="3"/>
      <c r="L121" s="4"/>
      <c r="M121" s="3"/>
      <c r="O121" s="58"/>
      <c r="Q121" s="64"/>
      <c r="R121" s="45"/>
      <c r="S121" s="45"/>
      <c r="U121" s="64"/>
      <c r="V121" s="45"/>
      <c r="W121" s="64"/>
      <c r="X121" s="64"/>
      <c r="Y121" s="45"/>
      <c r="Z121" s="45"/>
      <c r="AA121" s="105"/>
      <c r="AB121" s="105"/>
      <c r="AC121" s="105"/>
      <c r="AD121" s="64"/>
      <c r="AG121" s="45"/>
      <c r="AH121" s="64"/>
      <c r="AI121" s="45"/>
      <c r="AJ121" s="105"/>
      <c r="AK121" s="105"/>
      <c r="AL121" s="60"/>
      <c r="AM121" s="60"/>
      <c r="AN121" s="60"/>
      <c r="AO121" s="60"/>
      <c r="AP121" s="60"/>
      <c r="AQ121" s="60"/>
      <c r="AR121" s="60"/>
      <c r="AS121" s="60"/>
      <c r="AT121" s="45"/>
      <c r="AU121" s="45"/>
      <c r="AW121" s="45"/>
      <c r="AX121" s="46">
        <f t="shared" si="4"/>
        <v>0</v>
      </c>
      <c r="AY121" s="46">
        <f t="shared" si="5"/>
        <v>0</v>
      </c>
      <c r="AZ121" s="46">
        <f t="shared" si="6"/>
        <v>0</v>
      </c>
    </row>
    <row r="122" spans="3:52" ht="20.100000000000001" customHeight="1">
      <c r="C122" s="102"/>
      <c r="D122" s="3"/>
      <c r="E122" s="12"/>
      <c r="F122" s="3"/>
      <c r="G122" s="3"/>
      <c r="H122" s="3"/>
      <c r="J122" s="3"/>
      <c r="K122" s="3"/>
      <c r="L122" s="4"/>
      <c r="M122" s="3"/>
      <c r="O122" s="58"/>
      <c r="Q122" s="64"/>
      <c r="R122" s="45"/>
      <c r="S122" s="45"/>
      <c r="U122" s="64"/>
      <c r="V122" s="45"/>
      <c r="W122" s="64"/>
      <c r="X122" s="64"/>
      <c r="Y122" s="45"/>
      <c r="Z122" s="45"/>
      <c r="AA122" s="105"/>
      <c r="AB122" s="105"/>
      <c r="AC122" s="105"/>
      <c r="AD122" s="64"/>
      <c r="AG122" s="45"/>
      <c r="AH122" s="64"/>
      <c r="AI122" s="45"/>
      <c r="AJ122" s="105"/>
      <c r="AK122" s="105"/>
      <c r="AL122" s="60"/>
      <c r="AM122" s="60"/>
      <c r="AN122" s="60"/>
      <c r="AO122" s="60"/>
      <c r="AP122" s="60"/>
      <c r="AQ122" s="60"/>
      <c r="AR122" s="60"/>
      <c r="AS122" s="60"/>
      <c r="AT122" s="45"/>
      <c r="AU122" s="45"/>
      <c r="AW122" s="45"/>
      <c r="AX122" s="46">
        <f t="shared" si="4"/>
        <v>0</v>
      </c>
      <c r="AY122" s="46">
        <f t="shared" si="5"/>
        <v>0</v>
      </c>
      <c r="AZ122" s="46">
        <f t="shared" si="6"/>
        <v>0</v>
      </c>
    </row>
    <row r="123" spans="3:52" ht="20.100000000000001" customHeight="1">
      <c r="C123" s="102"/>
      <c r="D123" s="3"/>
      <c r="E123" s="12"/>
      <c r="F123" s="3"/>
      <c r="G123" s="3"/>
      <c r="H123" s="3"/>
      <c r="J123" s="3"/>
      <c r="K123" s="3"/>
      <c r="L123" s="4"/>
      <c r="M123" s="3"/>
      <c r="O123" s="58"/>
      <c r="Q123" s="64"/>
      <c r="R123" s="45"/>
      <c r="S123" s="45"/>
      <c r="U123" s="64"/>
      <c r="V123" s="45"/>
      <c r="W123" s="64"/>
      <c r="X123" s="64"/>
      <c r="Y123" s="45"/>
      <c r="Z123" s="45"/>
      <c r="AA123" s="105"/>
      <c r="AB123" s="105"/>
      <c r="AC123" s="105"/>
      <c r="AD123" s="64"/>
      <c r="AG123" s="45"/>
      <c r="AH123" s="64"/>
      <c r="AI123" s="45"/>
      <c r="AJ123" s="105"/>
      <c r="AK123" s="105"/>
      <c r="AL123" s="60"/>
      <c r="AM123" s="60"/>
      <c r="AN123" s="60"/>
      <c r="AO123" s="60"/>
      <c r="AP123" s="60"/>
      <c r="AQ123" s="60"/>
      <c r="AR123" s="60"/>
      <c r="AS123" s="60"/>
      <c r="AT123" s="45"/>
      <c r="AU123" s="45"/>
      <c r="AW123" s="45"/>
      <c r="AX123" s="46">
        <f t="shared" si="4"/>
        <v>0</v>
      </c>
      <c r="AY123" s="46">
        <f t="shared" si="5"/>
        <v>0</v>
      </c>
      <c r="AZ123" s="46">
        <f t="shared" si="6"/>
        <v>0</v>
      </c>
    </row>
    <row r="124" spans="3:52" ht="20.100000000000001" customHeight="1">
      <c r="C124" s="102"/>
      <c r="D124" s="3"/>
      <c r="E124" s="12"/>
      <c r="F124" s="3"/>
      <c r="G124" s="3"/>
      <c r="H124" s="3"/>
      <c r="J124" s="3"/>
      <c r="K124" s="3"/>
      <c r="L124" s="4"/>
      <c r="M124" s="3"/>
      <c r="O124" s="58"/>
      <c r="Q124" s="64"/>
      <c r="R124" s="45"/>
      <c r="S124" s="45"/>
      <c r="U124" s="64"/>
      <c r="V124" s="45"/>
      <c r="W124" s="64"/>
      <c r="X124" s="64"/>
      <c r="Y124" s="45"/>
      <c r="Z124" s="45"/>
      <c r="AA124" s="105"/>
      <c r="AB124" s="105"/>
      <c r="AC124" s="105"/>
      <c r="AD124" s="64"/>
      <c r="AG124" s="45"/>
      <c r="AH124" s="64"/>
      <c r="AI124" s="45"/>
      <c r="AJ124" s="105"/>
      <c r="AK124" s="105"/>
      <c r="AL124" s="60"/>
      <c r="AM124" s="60"/>
      <c r="AN124" s="60"/>
      <c r="AO124" s="60"/>
      <c r="AP124" s="60"/>
      <c r="AQ124" s="60"/>
      <c r="AR124" s="60"/>
      <c r="AS124" s="60"/>
      <c r="AT124" s="45"/>
      <c r="AU124" s="45"/>
      <c r="AW124" s="45"/>
      <c r="AX124" s="46">
        <f t="shared" si="4"/>
        <v>0</v>
      </c>
      <c r="AY124" s="46">
        <f t="shared" si="5"/>
        <v>0</v>
      </c>
      <c r="AZ124" s="46">
        <f t="shared" si="6"/>
        <v>0</v>
      </c>
    </row>
    <row r="125" spans="3:52" ht="20.100000000000001" customHeight="1">
      <c r="C125" s="102"/>
      <c r="D125" s="3"/>
      <c r="E125" s="12"/>
      <c r="F125" s="3"/>
      <c r="G125" s="3"/>
      <c r="H125" s="3"/>
      <c r="J125" s="3"/>
      <c r="K125" s="3"/>
      <c r="L125" s="4"/>
      <c r="M125" s="3"/>
      <c r="O125" s="58"/>
      <c r="Q125" s="64"/>
      <c r="R125" s="45"/>
      <c r="S125" s="45"/>
      <c r="U125" s="64"/>
      <c r="V125" s="45"/>
      <c r="W125" s="64"/>
      <c r="X125" s="64"/>
      <c r="Y125" s="45"/>
      <c r="Z125" s="45"/>
      <c r="AA125" s="105"/>
      <c r="AB125" s="105"/>
      <c r="AC125" s="105"/>
      <c r="AD125" s="64"/>
      <c r="AG125" s="45"/>
      <c r="AH125" s="64"/>
      <c r="AI125" s="45"/>
      <c r="AJ125" s="105"/>
      <c r="AK125" s="105"/>
      <c r="AL125" s="60"/>
      <c r="AM125" s="60"/>
      <c r="AN125" s="60"/>
      <c r="AO125" s="60"/>
      <c r="AP125" s="60"/>
      <c r="AQ125" s="60"/>
      <c r="AR125" s="60"/>
      <c r="AS125" s="60"/>
      <c r="AT125" s="45"/>
      <c r="AU125" s="45"/>
      <c r="AW125" s="45"/>
      <c r="AX125" s="46">
        <f t="shared" si="4"/>
        <v>0</v>
      </c>
      <c r="AY125" s="46">
        <f t="shared" si="5"/>
        <v>0</v>
      </c>
      <c r="AZ125" s="46">
        <f t="shared" si="6"/>
        <v>0</v>
      </c>
    </row>
    <row r="126" spans="3:52" ht="20.100000000000001" customHeight="1">
      <c r="C126" s="102"/>
      <c r="D126" s="3"/>
      <c r="E126" s="12"/>
      <c r="F126" s="3"/>
      <c r="G126" s="3"/>
      <c r="H126" s="3"/>
      <c r="J126" s="3"/>
      <c r="K126" s="3"/>
      <c r="L126" s="4"/>
      <c r="M126" s="3"/>
      <c r="O126" s="58"/>
      <c r="Q126" s="64"/>
      <c r="R126" s="45"/>
      <c r="S126" s="45"/>
      <c r="U126" s="64"/>
      <c r="V126" s="45"/>
      <c r="W126" s="64"/>
      <c r="X126" s="64"/>
      <c r="Y126" s="45"/>
      <c r="Z126" s="45"/>
      <c r="AA126" s="105"/>
      <c r="AB126" s="105"/>
      <c r="AC126" s="105"/>
      <c r="AD126" s="64"/>
      <c r="AG126" s="45"/>
      <c r="AH126" s="64"/>
      <c r="AI126" s="45"/>
      <c r="AJ126" s="105"/>
      <c r="AK126" s="105"/>
      <c r="AL126" s="60"/>
      <c r="AM126" s="60"/>
      <c r="AN126" s="60"/>
      <c r="AO126" s="60"/>
      <c r="AP126" s="60"/>
      <c r="AQ126" s="60"/>
      <c r="AR126" s="60"/>
      <c r="AS126" s="60"/>
      <c r="AT126" s="45"/>
      <c r="AU126" s="45"/>
      <c r="AW126" s="45"/>
      <c r="AX126" s="46">
        <f t="shared" si="4"/>
        <v>0</v>
      </c>
      <c r="AY126" s="46">
        <f t="shared" si="5"/>
        <v>0</v>
      </c>
      <c r="AZ126" s="46">
        <f t="shared" si="6"/>
        <v>0</v>
      </c>
    </row>
    <row r="127" spans="3:52" ht="20.100000000000001" customHeight="1">
      <c r="C127" s="102"/>
      <c r="D127" s="3"/>
      <c r="E127" s="12"/>
      <c r="F127" s="3"/>
      <c r="G127" s="3"/>
      <c r="H127" s="3"/>
      <c r="J127" s="3"/>
      <c r="K127" s="3"/>
      <c r="L127" s="4"/>
      <c r="M127" s="3"/>
      <c r="O127" s="58"/>
      <c r="Q127" s="64"/>
      <c r="R127" s="45"/>
      <c r="S127" s="45"/>
      <c r="U127" s="64"/>
      <c r="V127" s="45"/>
      <c r="W127" s="64"/>
      <c r="X127" s="64"/>
      <c r="Y127" s="45"/>
      <c r="Z127" s="45"/>
      <c r="AA127" s="105"/>
      <c r="AB127" s="105"/>
      <c r="AC127" s="105"/>
      <c r="AD127" s="64"/>
      <c r="AG127" s="45"/>
      <c r="AH127" s="64"/>
      <c r="AI127" s="45"/>
      <c r="AJ127" s="105"/>
      <c r="AK127" s="105"/>
      <c r="AL127" s="60"/>
      <c r="AM127" s="60"/>
      <c r="AN127" s="60"/>
      <c r="AO127" s="60"/>
      <c r="AP127" s="60"/>
      <c r="AQ127" s="60"/>
      <c r="AR127" s="60"/>
      <c r="AS127" s="60"/>
      <c r="AT127" s="45"/>
      <c r="AU127" s="45"/>
      <c r="AW127" s="45"/>
      <c r="AX127" s="46">
        <f t="shared" si="4"/>
        <v>0</v>
      </c>
      <c r="AY127" s="46">
        <f t="shared" si="5"/>
        <v>0</v>
      </c>
      <c r="AZ127" s="46">
        <f t="shared" si="6"/>
        <v>0</v>
      </c>
    </row>
    <row r="128" spans="3:52" ht="20.100000000000001" customHeight="1">
      <c r="C128" s="102"/>
      <c r="D128" s="3"/>
      <c r="E128" s="67"/>
      <c r="F128" s="3"/>
      <c r="G128" s="3"/>
      <c r="H128" s="3"/>
      <c r="J128" s="3"/>
      <c r="K128" s="3"/>
      <c r="L128" s="4"/>
      <c r="M128" s="3"/>
      <c r="O128" s="58"/>
      <c r="Q128" s="64"/>
      <c r="R128" s="45"/>
      <c r="S128" s="45"/>
      <c r="U128" s="64"/>
      <c r="V128" s="45"/>
      <c r="W128" s="64"/>
      <c r="X128" s="64"/>
      <c r="Y128" s="45"/>
      <c r="Z128" s="45"/>
      <c r="AA128" s="105"/>
      <c r="AB128" s="105"/>
      <c r="AC128" s="105"/>
      <c r="AD128" s="64"/>
      <c r="AG128" s="45"/>
      <c r="AH128" s="64"/>
      <c r="AI128" s="45"/>
      <c r="AJ128" s="105"/>
      <c r="AK128" s="105"/>
      <c r="AL128" s="60"/>
      <c r="AM128" s="60"/>
      <c r="AN128" s="60"/>
      <c r="AO128" s="60"/>
      <c r="AP128" s="60"/>
      <c r="AQ128" s="60"/>
      <c r="AR128" s="60"/>
      <c r="AS128" s="60"/>
      <c r="AT128" s="45"/>
      <c r="AU128" s="45"/>
      <c r="AW128" s="45"/>
      <c r="AX128" s="46">
        <f t="shared" si="4"/>
        <v>0</v>
      </c>
      <c r="AY128" s="46">
        <f t="shared" si="5"/>
        <v>0</v>
      </c>
      <c r="AZ128" s="46">
        <f t="shared" si="6"/>
        <v>0</v>
      </c>
    </row>
    <row r="129" spans="3:52" ht="20.100000000000001" customHeight="1">
      <c r="C129" s="102"/>
      <c r="D129" s="3"/>
      <c r="E129" s="12"/>
      <c r="F129" s="3"/>
      <c r="G129" s="3"/>
      <c r="H129" s="3"/>
      <c r="J129" s="3"/>
      <c r="K129" s="3"/>
      <c r="L129" s="4"/>
      <c r="M129" s="3"/>
      <c r="O129" s="58"/>
      <c r="Q129" s="64"/>
      <c r="R129" s="45"/>
      <c r="S129" s="45"/>
      <c r="U129" s="64"/>
      <c r="V129" s="45"/>
      <c r="W129" s="64"/>
      <c r="X129" s="64"/>
      <c r="Y129" s="45"/>
      <c r="Z129" s="45"/>
      <c r="AA129" s="105"/>
      <c r="AB129" s="105"/>
      <c r="AC129" s="105"/>
      <c r="AD129" s="64"/>
      <c r="AG129" s="45"/>
      <c r="AH129" s="64"/>
      <c r="AI129" s="45"/>
      <c r="AJ129" s="105"/>
      <c r="AK129" s="105"/>
      <c r="AL129" s="60"/>
      <c r="AM129" s="60"/>
      <c r="AN129" s="60"/>
      <c r="AO129" s="60"/>
      <c r="AP129" s="60"/>
      <c r="AQ129" s="60"/>
      <c r="AR129" s="60"/>
      <c r="AS129" s="60"/>
      <c r="AT129" s="45"/>
      <c r="AU129" s="45"/>
      <c r="AW129" s="45"/>
      <c r="AX129" s="46">
        <f t="shared" si="4"/>
        <v>0</v>
      </c>
      <c r="AY129" s="46">
        <f t="shared" si="5"/>
        <v>0</v>
      </c>
      <c r="AZ129" s="46">
        <f t="shared" si="6"/>
        <v>0</v>
      </c>
    </row>
    <row r="130" spans="3:52" ht="20.100000000000001" customHeight="1">
      <c r="C130" s="102"/>
      <c r="D130" s="3"/>
      <c r="E130" s="12"/>
      <c r="F130" s="3"/>
      <c r="G130" s="3"/>
      <c r="H130" s="3"/>
      <c r="J130" s="3"/>
      <c r="K130" s="3"/>
      <c r="L130" s="4"/>
      <c r="M130" s="3"/>
      <c r="O130" s="58"/>
      <c r="Q130" s="64"/>
      <c r="R130" s="45"/>
      <c r="S130" s="45"/>
      <c r="U130" s="64"/>
      <c r="V130" s="45"/>
      <c r="W130" s="64"/>
      <c r="X130" s="64"/>
      <c r="Y130" s="45"/>
      <c r="Z130" s="45"/>
      <c r="AA130" s="105"/>
      <c r="AB130" s="105"/>
      <c r="AC130" s="105"/>
      <c r="AD130" s="64"/>
      <c r="AG130" s="45"/>
      <c r="AH130" s="64"/>
      <c r="AI130" s="45"/>
      <c r="AJ130" s="105"/>
      <c r="AK130" s="105"/>
      <c r="AL130" s="60"/>
      <c r="AM130" s="60"/>
      <c r="AN130" s="60"/>
      <c r="AO130" s="60"/>
      <c r="AP130" s="60"/>
      <c r="AQ130" s="60"/>
      <c r="AR130" s="60"/>
      <c r="AS130" s="60"/>
      <c r="AT130" s="45"/>
      <c r="AU130" s="45"/>
      <c r="AW130" s="45"/>
      <c r="AX130" s="46">
        <f t="shared" si="4"/>
        <v>0</v>
      </c>
      <c r="AY130" s="46">
        <f t="shared" si="5"/>
        <v>0</v>
      </c>
      <c r="AZ130" s="46">
        <f t="shared" si="6"/>
        <v>0</v>
      </c>
    </row>
    <row r="131" spans="3:52" ht="20.100000000000001" customHeight="1">
      <c r="C131" s="102"/>
      <c r="D131" s="3"/>
      <c r="E131" s="12"/>
      <c r="F131" s="3"/>
      <c r="G131" s="3"/>
      <c r="H131" s="3"/>
      <c r="J131" s="3"/>
      <c r="K131" s="3"/>
      <c r="L131" s="4"/>
      <c r="M131" s="3"/>
      <c r="O131" s="58"/>
      <c r="Q131" s="64"/>
      <c r="R131" s="45"/>
      <c r="S131" s="45"/>
      <c r="U131" s="64"/>
      <c r="V131" s="45"/>
      <c r="W131" s="64"/>
      <c r="X131" s="64"/>
      <c r="Y131" s="45"/>
      <c r="Z131" s="45"/>
      <c r="AA131" s="105"/>
      <c r="AB131" s="105"/>
      <c r="AC131" s="105"/>
      <c r="AD131" s="64"/>
      <c r="AG131" s="45"/>
      <c r="AH131" s="64"/>
      <c r="AI131" s="45"/>
      <c r="AJ131" s="105"/>
      <c r="AK131" s="105"/>
      <c r="AL131" s="60"/>
      <c r="AM131" s="60"/>
      <c r="AN131" s="60"/>
      <c r="AO131" s="60"/>
      <c r="AP131" s="60"/>
      <c r="AQ131" s="60"/>
      <c r="AR131" s="60"/>
      <c r="AS131" s="60"/>
      <c r="AT131" s="45"/>
      <c r="AU131" s="45"/>
      <c r="AW131" s="45"/>
      <c r="AX131" s="46">
        <f t="shared" si="4"/>
        <v>0</v>
      </c>
      <c r="AY131" s="46">
        <f t="shared" si="5"/>
        <v>0</v>
      </c>
      <c r="AZ131" s="46">
        <f t="shared" si="6"/>
        <v>0</v>
      </c>
    </row>
    <row r="132" spans="3:52" ht="20.100000000000001" customHeight="1">
      <c r="C132" s="102"/>
      <c r="D132" s="3"/>
      <c r="E132" s="12"/>
      <c r="F132" s="3"/>
      <c r="G132" s="3"/>
      <c r="H132" s="3"/>
      <c r="J132" s="3"/>
      <c r="K132" s="3"/>
      <c r="L132" s="4"/>
      <c r="M132" s="3"/>
      <c r="O132" s="58"/>
      <c r="Q132" s="64"/>
      <c r="R132" s="45"/>
      <c r="S132" s="45"/>
      <c r="U132" s="64"/>
      <c r="V132" s="45"/>
      <c r="W132" s="64"/>
      <c r="X132" s="64"/>
      <c r="Y132" s="45"/>
      <c r="Z132" s="45"/>
      <c r="AA132" s="105"/>
      <c r="AB132" s="105"/>
      <c r="AC132" s="105"/>
      <c r="AD132" s="64"/>
      <c r="AG132" s="45"/>
      <c r="AH132" s="64"/>
      <c r="AI132" s="45"/>
      <c r="AJ132" s="105"/>
      <c r="AK132" s="105"/>
      <c r="AL132" s="60"/>
      <c r="AM132" s="60"/>
      <c r="AN132" s="60"/>
      <c r="AO132" s="60"/>
      <c r="AP132" s="60"/>
      <c r="AQ132" s="60"/>
      <c r="AR132" s="60"/>
      <c r="AS132" s="60"/>
      <c r="AT132" s="45"/>
      <c r="AU132" s="45"/>
      <c r="AW132" s="45"/>
      <c r="AX132" s="46">
        <f t="shared" si="4"/>
        <v>0</v>
      </c>
      <c r="AY132" s="46">
        <f t="shared" si="5"/>
        <v>0</v>
      </c>
      <c r="AZ132" s="46">
        <f t="shared" si="6"/>
        <v>0</v>
      </c>
    </row>
    <row r="133" spans="3:52" ht="20.100000000000001" customHeight="1">
      <c r="C133" s="102"/>
      <c r="D133" s="3"/>
      <c r="E133" s="12"/>
      <c r="F133" s="3"/>
      <c r="G133" s="3"/>
      <c r="H133" s="3"/>
      <c r="J133" s="3"/>
      <c r="K133" s="3"/>
      <c r="L133" s="4"/>
      <c r="M133" s="3"/>
      <c r="O133" s="58"/>
      <c r="Q133" s="64"/>
      <c r="R133" s="45"/>
      <c r="S133" s="45"/>
      <c r="U133" s="64"/>
      <c r="V133" s="45"/>
      <c r="W133" s="64"/>
      <c r="X133" s="64"/>
      <c r="Y133" s="45"/>
      <c r="Z133" s="45"/>
      <c r="AA133" s="105"/>
      <c r="AB133" s="105"/>
      <c r="AC133" s="105"/>
      <c r="AD133" s="64"/>
      <c r="AG133" s="45"/>
      <c r="AH133" s="64"/>
      <c r="AI133" s="45"/>
      <c r="AJ133" s="105"/>
      <c r="AK133" s="105"/>
      <c r="AL133" s="60"/>
      <c r="AM133" s="60"/>
      <c r="AN133" s="60"/>
      <c r="AO133" s="60"/>
      <c r="AP133" s="60"/>
      <c r="AQ133" s="60"/>
      <c r="AR133" s="60"/>
      <c r="AS133" s="60"/>
      <c r="AT133" s="45"/>
      <c r="AU133" s="45"/>
      <c r="AW133" s="45"/>
      <c r="AX133" s="46">
        <f t="shared" si="4"/>
        <v>0</v>
      </c>
      <c r="AY133" s="46">
        <f t="shared" si="5"/>
        <v>0</v>
      </c>
      <c r="AZ133" s="46">
        <f t="shared" si="6"/>
        <v>0</v>
      </c>
    </row>
    <row r="134" spans="3:52" ht="20.100000000000001" customHeight="1">
      <c r="C134" s="102"/>
      <c r="D134" s="3"/>
      <c r="E134" s="12"/>
      <c r="F134" s="3"/>
      <c r="G134" s="3"/>
      <c r="H134" s="3"/>
      <c r="J134" s="3"/>
      <c r="K134" s="3"/>
      <c r="L134" s="4"/>
      <c r="M134" s="3"/>
      <c r="O134" s="58"/>
      <c r="Q134" s="64"/>
      <c r="R134" s="45"/>
      <c r="S134" s="45"/>
      <c r="U134" s="64"/>
      <c r="V134" s="45"/>
      <c r="W134" s="64"/>
      <c r="X134" s="64"/>
      <c r="Y134" s="45"/>
      <c r="Z134" s="45"/>
      <c r="AA134" s="105"/>
      <c r="AB134" s="105"/>
      <c r="AC134" s="105"/>
      <c r="AD134" s="64"/>
      <c r="AG134" s="45"/>
      <c r="AH134" s="64"/>
      <c r="AI134" s="45"/>
      <c r="AJ134" s="105"/>
      <c r="AK134" s="105"/>
      <c r="AL134" s="60"/>
      <c r="AM134" s="60"/>
      <c r="AN134" s="60"/>
      <c r="AO134" s="60"/>
      <c r="AP134" s="60"/>
      <c r="AQ134" s="60"/>
      <c r="AR134" s="60"/>
      <c r="AS134" s="60"/>
      <c r="AT134" s="45"/>
      <c r="AU134" s="45"/>
      <c r="AW134" s="45"/>
      <c r="AX134" s="46">
        <f t="shared" si="4"/>
        <v>0</v>
      </c>
      <c r="AY134" s="46">
        <f t="shared" si="5"/>
        <v>0</v>
      </c>
      <c r="AZ134" s="46">
        <f t="shared" si="6"/>
        <v>0</v>
      </c>
    </row>
    <row r="135" spans="3:52" ht="20.100000000000001" customHeight="1">
      <c r="C135" s="102"/>
      <c r="D135" s="3"/>
      <c r="E135" s="12"/>
      <c r="F135" s="3"/>
      <c r="G135" s="3"/>
      <c r="H135" s="3"/>
      <c r="J135" s="3"/>
      <c r="K135" s="3"/>
      <c r="L135" s="4"/>
      <c r="M135" s="3"/>
      <c r="O135" s="58"/>
      <c r="Q135" s="64"/>
      <c r="R135" s="45"/>
      <c r="S135" s="45"/>
      <c r="U135" s="64"/>
      <c r="V135" s="45"/>
      <c r="W135" s="64"/>
      <c r="X135" s="64"/>
      <c r="Y135" s="45"/>
      <c r="Z135" s="45"/>
      <c r="AA135" s="105"/>
      <c r="AB135" s="105"/>
      <c r="AC135" s="105"/>
      <c r="AD135" s="64"/>
      <c r="AG135" s="45"/>
      <c r="AH135" s="64"/>
      <c r="AI135" s="45"/>
      <c r="AJ135" s="105"/>
      <c r="AK135" s="105"/>
      <c r="AL135" s="60"/>
      <c r="AM135" s="60"/>
      <c r="AN135" s="60"/>
      <c r="AO135" s="60"/>
      <c r="AP135" s="60"/>
      <c r="AQ135" s="60"/>
      <c r="AR135" s="60"/>
      <c r="AS135" s="60"/>
      <c r="AT135" s="45"/>
      <c r="AU135" s="45"/>
      <c r="AW135" s="45"/>
      <c r="AX135" s="46">
        <f t="shared" si="4"/>
        <v>0</v>
      </c>
      <c r="AY135" s="46">
        <f t="shared" si="5"/>
        <v>0</v>
      </c>
      <c r="AZ135" s="46">
        <f t="shared" si="6"/>
        <v>0</v>
      </c>
    </row>
    <row r="136" spans="3:52" ht="20.100000000000001" customHeight="1">
      <c r="C136" s="102"/>
      <c r="D136" s="3"/>
      <c r="E136" s="12"/>
      <c r="F136" s="3"/>
      <c r="G136" s="3"/>
      <c r="H136" s="3"/>
      <c r="J136" s="3"/>
      <c r="K136" s="3"/>
      <c r="L136" s="4"/>
      <c r="M136" s="3"/>
      <c r="O136" s="58"/>
      <c r="Q136" s="64"/>
      <c r="R136" s="45"/>
      <c r="S136" s="45"/>
      <c r="U136" s="64"/>
      <c r="V136" s="45"/>
      <c r="W136" s="64"/>
      <c r="X136" s="64"/>
      <c r="Y136" s="45"/>
      <c r="Z136" s="45"/>
      <c r="AA136" s="105"/>
      <c r="AB136" s="105"/>
      <c r="AC136" s="105"/>
      <c r="AD136" s="64"/>
      <c r="AG136" s="45"/>
      <c r="AH136" s="64"/>
      <c r="AI136" s="45"/>
      <c r="AJ136" s="105"/>
      <c r="AK136" s="105"/>
      <c r="AL136" s="60"/>
      <c r="AM136" s="60"/>
      <c r="AN136" s="60"/>
      <c r="AO136" s="60"/>
      <c r="AP136" s="60"/>
      <c r="AQ136" s="60"/>
      <c r="AR136" s="60"/>
      <c r="AS136" s="60"/>
      <c r="AT136" s="45"/>
      <c r="AU136" s="45"/>
      <c r="AW136" s="45"/>
      <c r="AX136" s="46">
        <f t="shared" si="4"/>
        <v>0</v>
      </c>
      <c r="AY136" s="46">
        <f t="shared" si="5"/>
        <v>0</v>
      </c>
      <c r="AZ136" s="46">
        <f t="shared" si="6"/>
        <v>0</v>
      </c>
    </row>
    <row r="137" spans="3:52" ht="20.100000000000001" customHeight="1">
      <c r="C137" s="102"/>
      <c r="D137" s="3"/>
      <c r="E137" s="12"/>
      <c r="F137" s="3"/>
      <c r="G137" s="3"/>
      <c r="H137" s="3"/>
      <c r="J137" s="3"/>
      <c r="K137" s="3"/>
      <c r="L137" s="4"/>
      <c r="M137" s="3"/>
      <c r="O137" s="58"/>
      <c r="Q137" s="64"/>
      <c r="R137" s="45"/>
      <c r="S137" s="45"/>
      <c r="U137" s="64"/>
      <c r="V137" s="45"/>
      <c r="W137" s="64"/>
      <c r="X137" s="64"/>
      <c r="Y137" s="45"/>
      <c r="Z137" s="45"/>
      <c r="AA137" s="105"/>
      <c r="AB137" s="105"/>
      <c r="AC137" s="105"/>
      <c r="AD137" s="64"/>
      <c r="AG137" s="45"/>
      <c r="AH137" s="64"/>
      <c r="AI137" s="45"/>
      <c r="AJ137" s="105"/>
      <c r="AK137" s="105"/>
      <c r="AL137" s="60"/>
      <c r="AM137" s="60"/>
      <c r="AN137" s="60"/>
      <c r="AO137" s="60"/>
      <c r="AP137" s="60"/>
      <c r="AQ137" s="60"/>
      <c r="AR137" s="60"/>
      <c r="AS137" s="60"/>
      <c r="AT137" s="45"/>
      <c r="AU137" s="45"/>
      <c r="AW137" s="45"/>
      <c r="AX137" s="46">
        <f t="shared" si="4"/>
        <v>0</v>
      </c>
      <c r="AY137" s="46">
        <f t="shared" si="5"/>
        <v>0</v>
      </c>
      <c r="AZ137" s="46">
        <f t="shared" si="6"/>
        <v>0</v>
      </c>
    </row>
    <row r="138" spans="3:52" ht="20.100000000000001" customHeight="1">
      <c r="C138" s="102"/>
      <c r="D138" s="3"/>
      <c r="E138" s="12"/>
      <c r="F138" s="3"/>
      <c r="G138" s="3"/>
      <c r="H138" s="3"/>
      <c r="J138" s="3"/>
      <c r="K138" s="3"/>
      <c r="L138" s="4"/>
      <c r="M138" s="3"/>
      <c r="O138" s="58"/>
      <c r="Q138" s="64"/>
      <c r="R138" s="45"/>
      <c r="S138" s="45"/>
      <c r="U138" s="64"/>
      <c r="V138" s="45"/>
      <c r="W138" s="64"/>
      <c r="X138" s="64"/>
      <c r="Y138" s="45"/>
      <c r="Z138" s="45"/>
      <c r="AA138" s="105"/>
      <c r="AB138" s="105"/>
      <c r="AC138" s="105"/>
      <c r="AD138" s="64"/>
      <c r="AG138" s="45"/>
      <c r="AH138" s="64"/>
      <c r="AI138" s="45"/>
      <c r="AJ138" s="105"/>
      <c r="AK138" s="105"/>
      <c r="AL138" s="60"/>
      <c r="AM138" s="60"/>
      <c r="AN138" s="60"/>
      <c r="AO138" s="60"/>
      <c r="AP138" s="60"/>
      <c r="AQ138" s="60"/>
      <c r="AR138" s="60"/>
      <c r="AS138" s="60"/>
      <c r="AT138" s="45"/>
      <c r="AU138" s="45"/>
      <c r="AW138" s="45"/>
      <c r="AX138" s="46">
        <f t="shared" si="4"/>
        <v>0</v>
      </c>
      <c r="AY138" s="46">
        <f t="shared" si="5"/>
        <v>0</v>
      </c>
      <c r="AZ138" s="46">
        <f t="shared" si="6"/>
        <v>0</v>
      </c>
    </row>
    <row r="139" spans="3:52" ht="20.100000000000001" customHeight="1">
      <c r="C139" s="102"/>
      <c r="D139" s="3"/>
      <c r="E139" s="12"/>
      <c r="F139" s="3"/>
      <c r="G139" s="3"/>
      <c r="H139" s="3"/>
      <c r="J139" s="3"/>
      <c r="K139" s="3"/>
      <c r="L139" s="4"/>
      <c r="M139" s="3"/>
      <c r="O139" s="58"/>
      <c r="Q139" s="64"/>
      <c r="R139" s="45"/>
      <c r="S139" s="45"/>
      <c r="U139" s="64"/>
      <c r="V139" s="45"/>
      <c r="W139" s="64"/>
      <c r="X139" s="64"/>
      <c r="Y139" s="45"/>
      <c r="Z139" s="45"/>
      <c r="AA139" s="105"/>
      <c r="AB139" s="105"/>
      <c r="AC139" s="105"/>
      <c r="AD139" s="64"/>
      <c r="AH139" s="64"/>
      <c r="AI139" s="45"/>
      <c r="AJ139" s="105"/>
      <c r="AK139" s="105"/>
      <c r="AL139" s="60"/>
      <c r="AM139" s="60"/>
      <c r="AN139" s="60"/>
      <c r="AO139" s="60"/>
      <c r="AP139" s="60"/>
      <c r="AQ139" s="60"/>
      <c r="AR139" s="60"/>
      <c r="AS139" s="60"/>
      <c r="AT139" s="45"/>
      <c r="AU139" s="45"/>
      <c r="AW139" s="45"/>
      <c r="AX139" s="46">
        <f t="shared" ref="AX139:AX202" si="7">IFERROR(SUM(Q139:AS139)-SUM(AT139:AU139)+AV139,"-")</f>
        <v>0</v>
      </c>
      <c r="AY139" s="46">
        <f t="shared" ref="AY139:AY202" si="8">IFERROR(SUM(Q139:AS139)-SUM(AT139:AT139),"-")</f>
        <v>0</v>
      </c>
      <c r="AZ139" s="46">
        <f t="shared" ref="AZ139:AZ202" si="9">SUM(Q139:AS139)</f>
        <v>0</v>
      </c>
    </row>
    <row r="140" spans="3:52" ht="20.100000000000001" customHeight="1">
      <c r="C140" s="102"/>
      <c r="D140" s="3"/>
      <c r="E140" s="12"/>
      <c r="F140" s="3"/>
      <c r="G140" s="3"/>
      <c r="H140" s="3"/>
      <c r="J140" s="3"/>
      <c r="K140" s="3"/>
      <c r="L140" s="4"/>
      <c r="M140" s="3"/>
      <c r="O140" s="58"/>
      <c r="Q140" s="64"/>
      <c r="R140" s="45"/>
      <c r="S140" s="45"/>
      <c r="U140" s="64"/>
      <c r="V140" s="45"/>
      <c r="W140" s="64"/>
      <c r="X140" s="64"/>
      <c r="Y140" s="45"/>
      <c r="Z140" s="45"/>
      <c r="AA140" s="105"/>
      <c r="AB140" s="105"/>
      <c r="AC140" s="105"/>
      <c r="AD140" s="64"/>
      <c r="AG140" s="45"/>
      <c r="AH140" s="64"/>
      <c r="AI140" s="45"/>
      <c r="AJ140" s="105"/>
      <c r="AK140" s="105"/>
      <c r="AL140" s="60"/>
      <c r="AM140" s="60"/>
      <c r="AN140" s="60"/>
      <c r="AO140" s="60"/>
      <c r="AP140" s="60"/>
      <c r="AQ140" s="60"/>
      <c r="AR140" s="60"/>
      <c r="AS140" s="60"/>
      <c r="AT140" s="45"/>
      <c r="AU140" s="45"/>
      <c r="AW140" s="45"/>
      <c r="AX140" s="46">
        <f t="shared" si="7"/>
        <v>0</v>
      </c>
      <c r="AY140" s="46">
        <f t="shared" si="8"/>
        <v>0</v>
      </c>
      <c r="AZ140" s="46">
        <f t="shared" si="9"/>
        <v>0</v>
      </c>
    </row>
    <row r="141" spans="3:52" ht="20.100000000000001" customHeight="1">
      <c r="C141" s="102"/>
      <c r="D141" s="3"/>
      <c r="E141" s="12"/>
      <c r="F141" s="3"/>
      <c r="G141" s="3"/>
      <c r="H141" s="3"/>
      <c r="J141" s="3"/>
      <c r="K141" s="3"/>
      <c r="L141" s="4"/>
      <c r="M141" s="3"/>
      <c r="O141" s="58"/>
      <c r="Q141" s="64"/>
      <c r="R141" s="45"/>
      <c r="S141" s="45"/>
      <c r="U141" s="64"/>
      <c r="V141" s="45"/>
      <c r="W141" s="64"/>
      <c r="X141" s="64"/>
      <c r="Y141" s="45"/>
      <c r="Z141" s="45"/>
      <c r="AA141" s="105"/>
      <c r="AB141" s="105"/>
      <c r="AC141" s="105"/>
      <c r="AD141" s="64"/>
      <c r="AG141" s="45"/>
      <c r="AH141" s="64"/>
      <c r="AI141" s="45"/>
      <c r="AJ141" s="105"/>
      <c r="AK141" s="105"/>
      <c r="AL141" s="60"/>
      <c r="AM141" s="60"/>
      <c r="AN141" s="60"/>
      <c r="AO141" s="60"/>
      <c r="AP141" s="60"/>
      <c r="AQ141" s="60"/>
      <c r="AR141" s="60"/>
      <c r="AS141" s="60"/>
      <c r="AT141" s="45"/>
      <c r="AU141" s="45"/>
      <c r="AW141" s="45"/>
      <c r="AX141" s="46">
        <f t="shared" si="7"/>
        <v>0</v>
      </c>
      <c r="AY141" s="46">
        <f t="shared" si="8"/>
        <v>0</v>
      </c>
      <c r="AZ141" s="46">
        <f t="shared" si="9"/>
        <v>0</v>
      </c>
    </row>
    <row r="142" spans="3:52" ht="20.100000000000001" customHeight="1">
      <c r="C142" s="102"/>
      <c r="D142" s="3"/>
      <c r="E142" s="12"/>
      <c r="F142" s="3"/>
      <c r="G142" s="3"/>
      <c r="H142" s="3"/>
      <c r="J142" s="3"/>
      <c r="K142" s="3"/>
      <c r="L142" s="4"/>
      <c r="M142" s="3"/>
      <c r="O142" s="58"/>
      <c r="Q142" s="64"/>
      <c r="R142" s="45"/>
      <c r="S142" s="45"/>
      <c r="U142" s="64"/>
      <c r="V142" s="45"/>
      <c r="W142" s="64"/>
      <c r="X142" s="64"/>
      <c r="Y142" s="45"/>
      <c r="Z142" s="45"/>
      <c r="AA142" s="105"/>
      <c r="AB142" s="105"/>
      <c r="AC142" s="105"/>
      <c r="AD142" s="64"/>
      <c r="AH142" s="64"/>
      <c r="AI142" s="45"/>
      <c r="AJ142" s="105"/>
      <c r="AK142" s="105"/>
      <c r="AL142" s="60"/>
      <c r="AM142" s="60"/>
      <c r="AN142" s="60"/>
      <c r="AO142" s="60"/>
      <c r="AP142" s="60"/>
      <c r="AQ142" s="60"/>
      <c r="AR142" s="60"/>
      <c r="AS142" s="60"/>
      <c r="AT142" s="45"/>
      <c r="AU142" s="45"/>
      <c r="AW142" s="45"/>
      <c r="AX142" s="46">
        <f t="shared" si="7"/>
        <v>0</v>
      </c>
      <c r="AY142" s="46">
        <f t="shared" si="8"/>
        <v>0</v>
      </c>
      <c r="AZ142" s="46">
        <f t="shared" si="9"/>
        <v>0</v>
      </c>
    </row>
    <row r="143" spans="3:52" ht="20.100000000000001" customHeight="1">
      <c r="C143" s="102"/>
      <c r="D143" s="3"/>
      <c r="E143" s="12"/>
      <c r="F143" s="3"/>
      <c r="G143" s="3"/>
      <c r="H143" s="3"/>
      <c r="J143" s="3"/>
      <c r="K143" s="3"/>
      <c r="L143" s="4"/>
      <c r="M143" s="3"/>
      <c r="O143" s="58"/>
      <c r="Q143" s="64"/>
      <c r="R143" s="45"/>
      <c r="U143" s="64"/>
      <c r="V143" s="45"/>
      <c r="W143" s="64"/>
      <c r="X143" s="64"/>
      <c r="Y143" s="45"/>
      <c r="Z143" s="45"/>
      <c r="AA143" s="105"/>
      <c r="AB143" s="105"/>
      <c r="AC143" s="105"/>
      <c r="AD143" s="64"/>
      <c r="AG143" s="45"/>
      <c r="AH143" s="64"/>
      <c r="AI143" s="45"/>
      <c r="AJ143" s="105"/>
      <c r="AK143" s="105"/>
      <c r="AL143" s="60"/>
      <c r="AM143" s="60"/>
      <c r="AN143" s="60"/>
      <c r="AO143" s="60"/>
      <c r="AP143" s="60"/>
      <c r="AQ143" s="60"/>
      <c r="AR143" s="60"/>
      <c r="AS143" s="60"/>
      <c r="AT143" s="45"/>
      <c r="AU143" s="45"/>
      <c r="AW143" s="45"/>
      <c r="AX143" s="46">
        <f t="shared" si="7"/>
        <v>0</v>
      </c>
      <c r="AY143" s="46">
        <f t="shared" si="8"/>
        <v>0</v>
      </c>
      <c r="AZ143" s="46">
        <f t="shared" si="9"/>
        <v>0</v>
      </c>
    </row>
    <row r="144" spans="3:52" ht="20.100000000000001" customHeight="1">
      <c r="C144" s="102"/>
      <c r="D144" s="3"/>
      <c r="E144" s="67"/>
      <c r="F144" s="3"/>
      <c r="G144" s="3"/>
      <c r="H144" s="3"/>
      <c r="J144" s="3"/>
      <c r="K144" s="3"/>
      <c r="L144" s="4"/>
      <c r="M144" s="3"/>
      <c r="O144" s="58"/>
      <c r="Q144" s="64"/>
      <c r="R144" s="45"/>
      <c r="S144" s="45"/>
      <c r="U144" s="64"/>
      <c r="V144" s="45"/>
      <c r="W144" s="64"/>
      <c r="X144" s="64"/>
      <c r="Y144" s="45"/>
      <c r="Z144" s="45"/>
      <c r="AA144" s="105"/>
      <c r="AB144" s="105"/>
      <c r="AC144" s="105"/>
      <c r="AD144" s="64"/>
      <c r="AG144" s="45"/>
      <c r="AH144" s="64"/>
      <c r="AI144" s="45"/>
      <c r="AJ144" s="105"/>
      <c r="AK144" s="105"/>
      <c r="AL144" s="60"/>
      <c r="AM144" s="60"/>
      <c r="AN144" s="60"/>
      <c r="AO144" s="60"/>
      <c r="AP144" s="60"/>
      <c r="AQ144" s="60"/>
      <c r="AR144" s="60"/>
      <c r="AS144" s="60"/>
      <c r="AT144" s="45"/>
      <c r="AU144" s="45"/>
      <c r="AW144" s="45"/>
      <c r="AX144" s="46">
        <f t="shared" si="7"/>
        <v>0</v>
      </c>
      <c r="AY144" s="46">
        <f t="shared" si="8"/>
        <v>0</v>
      </c>
      <c r="AZ144" s="46">
        <f t="shared" si="9"/>
        <v>0</v>
      </c>
    </row>
    <row r="145" spans="2:52" ht="20.100000000000001" customHeight="1">
      <c r="C145" s="102"/>
      <c r="D145" s="3"/>
      <c r="E145" s="67"/>
      <c r="F145" s="3"/>
      <c r="G145" s="3"/>
      <c r="H145" s="3"/>
      <c r="J145" s="3"/>
      <c r="K145" s="3"/>
      <c r="L145" s="4"/>
      <c r="M145" s="3"/>
      <c r="O145" s="58"/>
      <c r="Q145" s="64"/>
      <c r="R145" s="45"/>
      <c r="S145" s="45"/>
      <c r="U145" s="64"/>
      <c r="V145" s="45"/>
      <c r="W145" s="64"/>
      <c r="X145" s="64"/>
      <c r="Y145" s="45"/>
      <c r="Z145" s="45"/>
      <c r="AA145" s="105"/>
      <c r="AB145" s="105"/>
      <c r="AC145" s="105"/>
      <c r="AD145" s="64"/>
      <c r="AG145" s="45"/>
      <c r="AH145" s="64"/>
      <c r="AI145" s="45"/>
      <c r="AJ145" s="105"/>
      <c r="AK145" s="105"/>
      <c r="AL145" s="60"/>
      <c r="AM145" s="60"/>
      <c r="AN145" s="60"/>
      <c r="AO145" s="60"/>
      <c r="AP145" s="60"/>
      <c r="AQ145" s="60"/>
      <c r="AR145" s="60"/>
      <c r="AS145" s="60"/>
      <c r="AT145" s="45"/>
      <c r="AU145" s="45"/>
      <c r="AW145" s="45"/>
      <c r="AX145" s="46">
        <f t="shared" si="7"/>
        <v>0</v>
      </c>
      <c r="AY145" s="46">
        <f t="shared" si="8"/>
        <v>0</v>
      </c>
      <c r="AZ145" s="46">
        <f t="shared" si="9"/>
        <v>0</v>
      </c>
    </row>
    <row r="146" spans="2:52" ht="20.100000000000001" customHeight="1">
      <c r="C146" s="102"/>
      <c r="D146" s="3"/>
      <c r="E146" s="12"/>
      <c r="F146" s="3"/>
      <c r="G146" s="3"/>
      <c r="H146" s="3"/>
      <c r="J146" s="3"/>
      <c r="K146" s="3"/>
      <c r="L146" s="4"/>
      <c r="M146" s="3"/>
      <c r="O146" s="58"/>
      <c r="Q146" s="64"/>
      <c r="R146" s="45"/>
      <c r="S146" s="45"/>
      <c r="U146" s="64"/>
      <c r="V146" s="45"/>
      <c r="W146" s="64"/>
      <c r="X146" s="64"/>
      <c r="Y146" s="45"/>
      <c r="Z146" s="45"/>
      <c r="AA146" s="105"/>
      <c r="AB146" s="105"/>
      <c r="AC146" s="105"/>
      <c r="AD146" s="64"/>
      <c r="AG146" s="45"/>
      <c r="AH146" s="64"/>
      <c r="AI146" s="45"/>
      <c r="AJ146" s="105"/>
      <c r="AK146" s="105"/>
      <c r="AL146" s="60"/>
      <c r="AM146" s="60"/>
      <c r="AN146" s="60"/>
      <c r="AO146" s="60"/>
      <c r="AP146" s="60"/>
      <c r="AQ146" s="60"/>
      <c r="AR146" s="60"/>
      <c r="AS146" s="60"/>
      <c r="AT146" s="45"/>
      <c r="AU146" s="45"/>
      <c r="AW146" s="45"/>
      <c r="AX146" s="46">
        <f t="shared" si="7"/>
        <v>0</v>
      </c>
      <c r="AY146" s="46">
        <f t="shared" si="8"/>
        <v>0</v>
      </c>
      <c r="AZ146" s="46">
        <f t="shared" si="9"/>
        <v>0</v>
      </c>
    </row>
    <row r="147" spans="2:52" ht="20.100000000000001" customHeight="1">
      <c r="C147" s="102"/>
      <c r="D147" s="3"/>
      <c r="E147" s="12"/>
      <c r="F147" s="3"/>
      <c r="G147" s="3"/>
      <c r="H147" s="3"/>
      <c r="J147" s="3"/>
      <c r="K147" s="3"/>
      <c r="L147" s="4"/>
      <c r="M147" s="3"/>
      <c r="O147" s="58"/>
      <c r="Q147" s="64"/>
      <c r="R147" s="45"/>
      <c r="S147" s="45"/>
      <c r="U147" s="64"/>
      <c r="V147" s="45"/>
      <c r="W147" s="64"/>
      <c r="X147" s="64"/>
      <c r="Y147" s="45"/>
      <c r="Z147" s="45"/>
      <c r="AA147" s="105"/>
      <c r="AB147" s="105"/>
      <c r="AC147" s="105"/>
      <c r="AD147" s="64"/>
      <c r="AG147" s="45"/>
      <c r="AH147" s="64"/>
      <c r="AI147" s="45"/>
      <c r="AJ147" s="105"/>
      <c r="AK147" s="105"/>
      <c r="AL147" s="60"/>
      <c r="AM147" s="60"/>
      <c r="AN147" s="60"/>
      <c r="AO147" s="60"/>
      <c r="AP147" s="60"/>
      <c r="AQ147" s="60"/>
      <c r="AR147" s="60"/>
      <c r="AS147" s="60"/>
      <c r="AT147" s="45"/>
      <c r="AU147" s="45"/>
      <c r="AW147" s="45"/>
      <c r="AX147" s="46">
        <f t="shared" si="7"/>
        <v>0</v>
      </c>
      <c r="AY147" s="46">
        <f t="shared" si="8"/>
        <v>0</v>
      </c>
      <c r="AZ147" s="46">
        <f t="shared" si="9"/>
        <v>0</v>
      </c>
    </row>
    <row r="148" spans="2:52" ht="20.100000000000001" customHeight="1">
      <c r="C148" s="102"/>
      <c r="D148" s="3"/>
      <c r="E148" s="12"/>
      <c r="F148" s="3"/>
      <c r="G148" s="3"/>
      <c r="H148" s="3"/>
      <c r="J148" s="3"/>
      <c r="K148" s="3"/>
      <c r="L148" s="4"/>
      <c r="M148" s="3"/>
      <c r="O148" s="58"/>
      <c r="Q148" s="64"/>
      <c r="R148" s="45"/>
      <c r="S148" s="45"/>
      <c r="U148" s="64"/>
      <c r="V148" s="45"/>
      <c r="W148" s="64"/>
      <c r="X148" s="64"/>
      <c r="Y148" s="45"/>
      <c r="Z148" s="45"/>
      <c r="AA148" s="105"/>
      <c r="AB148" s="105"/>
      <c r="AC148" s="105"/>
      <c r="AD148" s="64"/>
      <c r="AG148" s="45"/>
      <c r="AH148" s="64"/>
      <c r="AI148" s="45"/>
      <c r="AJ148" s="105"/>
      <c r="AK148" s="105"/>
      <c r="AL148" s="60"/>
      <c r="AM148" s="60"/>
      <c r="AN148" s="60"/>
      <c r="AO148" s="60"/>
      <c r="AP148" s="60"/>
      <c r="AQ148" s="60"/>
      <c r="AR148" s="60"/>
      <c r="AS148" s="60"/>
      <c r="AT148" s="45"/>
      <c r="AU148" s="45"/>
      <c r="AW148" s="45"/>
      <c r="AX148" s="46">
        <f t="shared" si="7"/>
        <v>0</v>
      </c>
      <c r="AY148" s="46">
        <f t="shared" si="8"/>
        <v>0</v>
      </c>
      <c r="AZ148" s="46">
        <f t="shared" si="9"/>
        <v>0</v>
      </c>
    </row>
    <row r="149" spans="2:52" ht="20.100000000000001" customHeight="1">
      <c r="C149" s="102"/>
      <c r="D149" s="3"/>
      <c r="E149" s="12"/>
      <c r="F149" s="3"/>
      <c r="G149" s="3"/>
      <c r="H149" s="3"/>
      <c r="J149" s="3"/>
      <c r="K149" s="3"/>
      <c r="L149" s="4"/>
      <c r="M149" s="3"/>
      <c r="O149" s="58"/>
      <c r="Q149" s="64"/>
      <c r="R149" s="45"/>
      <c r="S149" s="45"/>
      <c r="U149" s="64"/>
      <c r="V149" s="45"/>
      <c r="W149" s="64"/>
      <c r="X149" s="64"/>
      <c r="Y149" s="45"/>
      <c r="Z149" s="45"/>
      <c r="AA149" s="105"/>
      <c r="AB149" s="105"/>
      <c r="AC149" s="105"/>
      <c r="AD149" s="64"/>
      <c r="AG149" s="45"/>
      <c r="AH149" s="64"/>
      <c r="AI149" s="45"/>
      <c r="AJ149" s="105"/>
      <c r="AK149" s="105"/>
      <c r="AL149" s="60"/>
      <c r="AM149" s="60"/>
      <c r="AN149" s="60"/>
      <c r="AO149" s="60"/>
      <c r="AP149" s="60"/>
      <c r="AQ149" s="60"/>
      <c r="AR149" s="60"/>
      <c r="AS149" s="60"/>
      <c r="AT149" s="45"/>
      <c r="AU149" s="45"/>
      <c r="AW149" s="45"/>
      <c r="AX149" s="46">
        <f t="shared" si="7"/>
        <v>0</v>
      </c>
      <c r="AY149" s="46">
        <f t="shared" si="8"/>
        <v>0</v>
      </c>
      <c r="AZ149" s="46">
        <f t="shared" si="9"/>
        <v>0</v>
      </c>
    </row>
    <row r="150" spans="2:52" ht="20.100000000000001" customHeight="1">
      <c r="C150" s="102"/>
      <c r="D150" s="3"/>
      <c r="E150" s="12"/>
      <c r="F150" s="3"/>
      <c r="G150" s="3"/>
      <c r="H150" s="3"/>
      <c r="J150" s="3"/>
      <c r="K150" s="3"/>
      <c r="L150" s="4"/>
      <c r="M150" s="3"/>
      <c r="O150" s="58"/>
      <c r="Q150" s="64"/>
      <c r="R150" s="45"/>
      <c r="S150" s="45"/>
      <c r="U150" s="64"/>
      <c r="V150" s="45"/>
      <c r="W150" s="64"/>
      <c r="X150" s="64"/>
      <c r="Y150" s="45"/>
      <c r="Z150" s="45"/>
      <c r="AA150" s="105"/>
      <c r="AB150" s="105"/>
      <c r="AC150" s="105"/>
      <c r="AD150" s="64"/>
      <c r="AG150" s="45"/>
      <c r="AH150" s="64"/>
      <c r="AI150" s="45"/>
      <c r="AJ150" s="105"/>
      <c r="AK150" s="105"/>
      <c r="AL150" s="60"/>
      <c r="AM150" s="60"/>
      <c r="AN150" s="60"/>
      <c r="AO150" s="60"/>
      <c r="AP150" s="60"/>
      <c r="AQ150" s="60"/>
      <c r="AR150" s="60"/>
      <c r="AS150" s="60"/>
      <c r="AT150" s="45"/>
      <c r="AU150" s="45"/>
      <c r="AW150" s="45"/>
      <c r="AX150" s="46">
        <f t="shared" si="7"/>
        <v>0</v>
      </c>
      <c r="AY150" s="46">
        <f t="shared" si="8"/>
        <v>0</v>
      </c>
      <c r="AZ150" s="46">
        <f t="shared" si="9"/>
        <v>0</v>
      </c>
    </row>
    <row r="151" spans="2:52" ht="20.100000000000001" customHeight="1">
      <c r="B151" s="61"/>
      <c r="C151" s="103"/>
      <c r="D151" s="3"/>
      <c r="E151" s="12"/>
      <c r="F151" s="3"/>
      <c r="G151" s="3"/>
      <c r="H151" s="3"/>
      <c r="J151" s="3"/>
      <c r="K151" s="3"/>
      <c r="L151" s="4"/>
      <c r="M151" s="3"/>
      <c r="O151" s="58"/>
      <c r="Q151" s="64"/>
      <c r="R151" s="45"/>
      <c r="S151" s="45"/>
      <c r="U151" s="64"/>
      <c r="V151" s="45"/>
      <c r="W151" s="64"/>
      <c r="X151" s="64"/>
      <c r="Y151" s="45"/>
      <c r="Z151" s="45"/>
      <c r="AA151" s="105"/>
      <c r="AB151" s="105"/>
      <c r="AC151" s="105"/>
      <c r="AD151" s="64"/>
      <c r="AE151" s="62"/>
      <c r="AG151" s="45"/>
      <c r="AH151" s="64"/>
      <c r="AI151" s="45"/>
      <c r="AJ151" s="105"/>
      <c r="AK151" s="105"/>
      <c r="AL151" s="60"/>
      <c r="AM151" s="60"/>
      <c r="AN151" s="60"/>
      <c r="AO151" s="60"/>
      <c r="AP151" s="60"/>
      <c r="AQ151" s="60"/>
      <c r="AR151" s="60"/>
      <c r="AS151" s="60"/>
      <c r="AT151" s="45"/>
      <c r="AU151" s="45"/>
      <c r="AW151" s="45"/>
      <c r="AX151" s="46">
        <f t="shared" si="7"/>
        <v>0</v>
      </c>
      <c r="AY151" s="46">
        <f t="shared" si="8"/>
        <v>0</v>
      </c>
      <c r="AZ151" s="46">
        <f t="shared" si="9"/>
        <v>0</v>
      </c>
    </row>
    <row r="152" spans="2:52" ht="20.100000000000001" customHeight="1">
      <c r="C152" s="102"/>
      <c r="D152" s="3"/>
      <c r="E152" s="12"/>
      <c r="F152" s="3"/>
      <c r="G152" s="3"/>
      <c r="H152" s="3"/>
      <c r="J152" s="3"/>
      <c r="K152" s="3"/>
      <c r="L152" s="4"/>
      <c r="M152" s="3"/>
      <c r="O152" s="58"/>
      <c r="Q152" s="64"/>
      <c r="R152" s="45"/>
      <c r="S152" s="45"/>
      <c r="U152" s="64"/>
      <c r="V152" s="45"/>
      <c r="W152" s="64"/>
      <c r="X152" s="64"/>
      <c r="Y152" s="45"/>
      <c r="Z152" s="45"/>
      <c r="AA152" s="105"/>
      <c r="AB152" s="105"/>
      <c r="AC152" s="105"/>
      <c r="AD152" s="64"/>
      <c r="AG152" s="45"/>
      <c r="AH152" s="64"/>
      <c r="AI152" s="45"/>
      <c r="AJ152" s="105"/>
      <c r="AK152" s="105"/>
      <c r="AL152" s="60"/>
      <c r="AM152" s="60"/>
      <c r="AN152" s="60"/>
      <c r="AO152" s="60"/>
      <c r="AP152" s="60"/>
      <c r="AQ152" s="60"/>
      <c r="AR152" s="60"/>
      <c r="AS152" s="60"/>
      <c r="AT152" s="45"/>
      <c r="AU152" s="45"/>
      <c r="AW152" s="45"/>
      <c r="AX152" s="46">
        <f t="shared" si="7"/>
        <v>0</v>
      </c>
      <c r="AY152" s="46">
        <f t="shared" si="8"/>
        <v>0</v>
      </c>
      <c r="AZ152" s="46">
        <f t="shared" si="9"/>
        <v>0</v>
      </c>
    </row>
    <row r="153" spans="2:52" ht="20.100000000000001" customHeight="1">
      <c r="C153" s="102"/>
      <c r="D153" s="3"/>
      <c r="E153" s="12"/>
      <c r="F153" s="3"/>
      <c r="G153" s="3"/>
      <c r="H153" s="3"/>
      <c r="J153" s="3"/>
      <c r="K153" s="3"/>
      <c r="L153" s="4"/>
      <c r="M153" s="3"/>
      <c r="O153" s="58"/>
      <c r="Q153" s="64"/>
      <c r="R153" s="45"/>
      <c r="S153" s="45"/>
      <c r="U153" s="64"/>
      <c r="V153" s="45"/>
      <c r="W153" s="64"/>
      <c r="X153" s="64"/>
      <c r="Y153" s="45"/>
      <c r="Z153" s="45"/>
      <c r="AA153" s="105"/>
      <c r="AB153" s="105"/>
      <c r="AC153" s="105"/>
      <c r="AD153" s="64"/>
      <c r="AG153" s="45"/>
      <c r="AH153" s="64"/>
      <c r="AI153" s="45"/>
      <c r="AJ153" s="105"/>
      <c r="AK153" s="105"/>
      <c r="AL153" s="60"/>
      <c r="AM153" s="60"/>
      <c r="AN153" s="60"/>
      <c r="AO153" s="60"/>
      <c r="AP153" s="60"/>
      <c r="AQ153" s="60"/>
      <c r="AR153" s="60"/>
      <c r="AS153" s="60"/>
      <c r="AT153" s="45"/>
      <c r="AU153" s="45"/>
      <c r="AW153" s="45"/>
      <c r="AX153" s="46">
        <f t="shared" si="7"/>
        <v>0</v>
      </c>
      <c r="AY153" s="46">
        <f t="shared" si="8"/>
        <v>0</v>
      </c>
      <c r="AZ153" s="46">
        <f t="shared" si="9"/>
        <v>0</v>
      </c>
    </row>
    <row r="154" spans="2:52" ht="20.100000000000001" customHeight="1">
      <c r="C154" s="102"/>
      <c r="D154" s="3"/>
      <c r="E154" s="12"/>
      <c r="F154" s="3"/>
      <c r="G154" s="3"/>
      <c r="H154" s="3"/>
      <c r="J154" s="3"/>
      <c r="K154" s="3"/>
      <c r="L154" s="4"/>
      <c r="M154" s="3"/>
      <c r="O154" s="58"/>
      <c r="Q154" s="64"/>
      <c r="R154" s="45"/>
      <c r="S154" s="45"/>
      <c r="U154" s="64"/>
      <c r="V154" s="45"/>
      <c r="W154" s="64"/>
      <c r="X154" s="64"/>
      <c r="Y154" s="45"/>
      <c r="Z154" s="45"/>
      <c r="AA154" s="105"/>
      <c r="AB154" s="105"/>
      <c r="AC154" s="105"/>
      <c r="AD154" s="64"/>
      <c r="AG154" s="45"/>
      <c r="AH154" s="64"/>
      <c r="AI154" s="45"/>
      <c r="AJ154" s="105"/>
      <c r="AK154" s="105"/>
      <c r="AL154" s="60"/>
      <c r="AM154" s="60"/>
      <c r="AN154" s="60"/>
      <c r="AO154" s="60"/>
      <c r="AP154" s="60"/>
      <c r="AQ154" s="60"/>
      <c r="AR154" s="60"/>
      <c r="AS154" s="60"/>
      <c r="AT154" s="45"/>
      <c r="AU154" s="45"/>
      <c r="AW154" s="45"/>
      <c r="AX154" s="46">
        <f t="shared" si="7"/>
        <v>0</v>
      </c>
      <c r="AY154" s="46">
        <f t="shared" si="8"/>
        <v>0</v>
      </c>
      <c r="AZ154" s="46">
        <f t="shared" si="9"/>
        <v>0</v>
      </c>
    </row>
    <row r="155" spans="2:52" ht="20.100000000000001" customHeight="1">
      <c r="C155" s="102"/>
      <c r="D155" s="3"/>
      <c r="E155" s="12"/>
      <c r="F155" s="3"/>
      <c r="G155" s="3"/>
      <c r="H155" s="3"/>
      <c r="J155" s="3"/>
      <c r="K155" s="3"/>
      <c r="L155" s="4"/>
      <c r="M155" s="3"/>
      <c r="O155" s="58"/>
      <c r="Q155" s="64"/>
      <c r="R155" s="45"/>
      <c r="S155" s="45"/>
      <c r="U155" s="64"/>
      <c r="V155" s="45"/>
      <c r="W155" s="64"/>
      <c r="X155" s="64"/>
      <c r="Y155" s="45"/>
      <c r="Z155" s="45"/>
      <c r="AA155" s="105"/>
      <c r="AB155" s="105"/>
      <c r="AC155" s="105"/>
      <c r="AD155" s="64"/>
      <c r="AG155" s="45"/>
      <c r="AH155" s="64"/>
      <c r="AI155" s="45"/>
      <c r="AJ155" s="105"/>
      <c r="AK155" s="105"/>
      <c r="AL155" s="60"/>
      <c r="AM155" s="60"/>
      <c r="AN155" s="60"/>
      <c r="AO155" s="60"/>
      <c r="AP155" s="60"/>
      <c r="AQ155" s="60"/>
      <c r="AR155" s="60"/>
      <c r="AS155" s="60"/>
      <c r="AT155" s="45"/>
      <c r="AU155" s="45"/>
      <c r="AW155" s="45"/>
      <c r="AX155" s="46">
        <f t="shared" si="7"/>
        <v>0</v>
      </c>
      <c r="AY155" s="46">
        <f t="shared" si="8"/>
        <v>0</v>
      </c>
      <c r="AZ155" s="46">
        <f t="shared" si="9"/>
        <v>0</v>
      </c>
    </row>
    <row r="156" spans="2:52" ht="20.100000000000001" customHeight="1">
      <c r="C156" s="102"/>
      <c r="D156" s="3"/>
      <c r="E156" s="67"/>
      <c r="F156" s="3"/>
      <c r="G156" s="3"/>
      <c r="H156" s="3"/>
      <c r="J156" s="3"/>
      <c r="K156" s="3"/>
      <c r="L156" s="4"/>
      <c r="M156" s="3"/>
      <c r="O156" s="58"/>
      <c r="Q156" s="64"/>
      <c r="R156" s="45"/>
      <c r="S156" s="45"/>
      <c r="U156" s="64"/>
      <c r="V156" s="45"/>
      <c r="W156" s="64"/>
      <c r="X156" s="64"/>
      <c r="Y156" s="45"/>
      <c r="Z156" s="45"/>
      <c r="AA156" s="105"/>
      <c r="AB156" s="105"/>
      <c r="AC156" s="105"/>
      <c r="AD156" s="64"/>
      <c r="AG156" s="45"/>
      <c r="AH156" s="64"/>
      <c r="AI156" s="45"/>
      <c r="AJ156" s="105"/>
      <c r="AK156" s="105"/>
      <c r="AL156" s="60"/>
      <c r="AM156" s="60"/>
      <c r="AN156" s="60"/>
      <c r="AO156" s="60"/>
      <c r="AP156" s="60"/>
      <c r="AQ156" s="60"/>
      <c r="AR156" s="60"/>
      <c r="AS156" s="60"/>
      <c r="AT156" s="45"/>
      <c r="AU156" s="45"/>
      <c r="AW156" s="45"/>
      <c r="AX156" s="46">
        <f t="shared" si="7"/>
        <v>0</v>
      </c>
      <c r="AY156" s="46">
        <f t="shared" si="8"/>
        <v>0</v>
      </c>
      <c r="AZ156" s="46">
        <f t="shared" si="9"/>
        <v>0</v>
      </c>
    </row>
    <row r="157" spans="2:52" ht="20.100000000000001" customHeight="1">
      <c r="C157" s="102"/>
      <c r="D157" s="3"/>
      <c r="E157" s="12"/>
      <c r="F157" s="3"/>
      <c r="G157" s="3"/>
      <c r="H157" s="3"/>
      <c r="J157" s="3"/>
      <c r="K157" s="3"/>
      <c r="L157" s="4"/>
      <c r="M157" s="3"/>
      <c r="O157" s="58"/>
      <c r="Q157" s="64"/>
      <c r="R157" s="45"/>
      <c r="S157" s="45"/>
      <c r="U157" s="64"/>
      <c r="V157" s="45"/>
      <c r="W157" s="64"/>
      <c r="X157" s="64"/>
      <c r="Y157" s="45"/>
      <c r="Z157" s="45"/>
      <c r="AA157" s="105"/>
      <c r="AB157" s="105"/>
      <c r="AC157" s="105"/>
      <c r="AD157" s="64"/>
      <c r="AG157" s="45"/>
      <c r="AH157" s="64"/>
      <c r="AI157" s="45"/>
      <c r="AJ157" s="105"/>
      <c r="AK157" s="105"/>
      <c r="AL157" s="60"/>
      <c r="AM157" s="60"/>
      <c r="AN157" s="60"/>
      <c r="AO157" s="60"/>
      <c r="AP157" s="60"/>
      <c r="AQ157" s="60"/>
      <c r="AR157" s="60"/>
      <c r="AS157" s="60"/>
      <c r="AT157" s="45"/>
      <c r="AU157" s="45"/>
      <c r="AW157" s="45"/>
      <c r="AX157" s="46">
        <f t="shared" si="7"/>
        <v>0</v>
      </c>
      <c r="AY157" s="46">
        <f t="shared" si="8"/>
        <v>0</v>
      </c>
      <c r="AZ157" s="46">
        <f t="shared" si="9"/>
        <v>0</v>
      </c>
    </row>
    <row r="158" spans="2:52" ht="20.100000000000001" customHeight="1">
      <c r="C158" s="102"/>
      <c r="D158" s="3"/>
      <c r="E158" s="12"/>
      <c r="F158" s="3"/>
      <c r="G158" s="3"/>
      <c r="H158" s="3"/>
      <c r="J158" s="3"/>
      <c r="K158" s="3"/>
      <c r="L158" s="4"/>
      <c r="M158" s="3"/>
      <c r="O158" s="58"/>
      <c r="Q158" s="64"/>
      <c r="R158" s="45"/>
      <c r="S158" s="45"/>
      <c r="U158" s="64"/>
      <c r="V158" s="45"/>
      <c r="W158" s="64"/>
      <c r="X158" s="64"/>
      <c r="Y158" s="45"/>
      <c r="Z158" s="45"/>
      <c r="AA158" s="105"/>
      <c r="AB158" s="105"/>
      <c r="AC158" s="105"/>
      <c r="AD158" s="64"/>
      <c r="AG158" s="45"/>
      <c r="AH158" s="64"/>
      <c r="AI158" s="45"/>
      <c r="AJ158" s="105"/>
      <c r="AK158" s="105"/>
      <c r="AL158" s="60"/>
      <c r="AM158" s="60"/>
      <c r="AN158" s="60"/>
      <c r="AO158" s="60"/>
      <c r="AP158" s="60"/>
      <c r="AQ158" s="60"/>
      <c r="AR158" s="60"/>
      <c r="AS158" s="60"/>
      <c r="AT158" s="45"/>
      <c r="AU158" s="45"/>
      <c r="AW158" s="45"/>
      <c r="AX158" s="46">
        <f t="shared" si="7"/>
        <v>0</v>
      </c>
      <c r="AY158" s="46">
        <f t="shared" si="8"/>
        <v>0</v>
      </c>
      <c r="AZ158" s="46">
        <f t="shared" si="9"/>
        <v>0</v>
      </c>
    </row>
    <row r="159" spans="2:52" ht="20.100000000000001" customHeight="1">
      <c r="C159" s="102"/>
      <c r="D159" s="3"/>
      <c r="E159" s="12"/>
      <c r="F159" s="3"/>
      <c r="G159" s="3"/>
      <c r="H159" s="3"/>
      <c r="J159" s="3"/>
      <c r="K159" s="3"/>
      <c r="L159" s="4"/>
      <c r="M159" s="3"/>
      <c r="O159" s="58"/>
      <c r="Q159" s="64"/>
      <c r="R159" s="45"/>
      <c r="S159" s="45"/>
      <c r="U159" s="64"/>
      <c r="V159" s="45"/>
      <c r="W159" s="64"/>
      <c r="X159" s="64"/>
      <c r="Y159" s="45"/>
      <c r="Z159" s="45"/>
      <c r="AA159" s="105"/>
      <c r="AB159" s="105"/>
      <c r="AC159" s="105"/>
      <c r="AD159" s="64"/>
      <c r="AG159" s="45"/>
      <c r="AH159" s="64"/>
      <c r="AI159" s="45"/>
      <c r="AJ159" s="105"/>
      <c r="AK159" s="105"/>
      <c r="AL159" s="60"/>
      <c r="AM159" s="60"/>
      <c r="AN159" s="60"/>
      <c r="AO159" s="60"/>
      <c r="AP159" s="60"/>
      <c r="AQ159" s="60"/>
      <c r="AR159" s="60"/>
      <c r="AS159" s="60"/>
      <c r="AT159" s="45"/>
      <c r="AU159" s="45"/>
      <c r="AW159" s="45"/>
      <c r="AX159" s="46">
        <f t="shared" si="7"/>
        <v>0</v>
      </c>
      <c r="AY159" s="46">
        <f t="shared" si="8"/>
        <v>0</v>
      </c>
      <c r="AZ159" s="46">
        <f t="shared" si="9"/>
        <v>0</v>
      </c>
    </row>
    <row r="160" spans="2:52" ht="20.100000000000001" customHeight="1">
      <c r="C160" s="102"/>
      <c r="D160" s="3"/>
      <c r="E160" s="12"/>
      <c r="F160" s="3"/>
      <c r="G160" s="3"/>
      <c r="H160" s="3"/>
      <c r="J160" s="3"/>
      <c r="K160" s="3"/>
      <c r="L160" s="4"/>
      <c r="M160" s="3"/>
      <c r="O160" s="58"/>
      <c r="Q160" s="64"/>
      <c r="R160" s="45"/>
      <c r="S160" s="45"/>
      <c r="U160" s="64"/>
      <c r="V160" s="45"/>
      <c r="W160" s="64"/>
      <c r="X160" s="64"/>
      <c r="Y160" s="45"/>
      <c r="Z160" s="45"/>
      <c r="AA160" s="105"/>
      <c r="AB160" s="105"/>
      <c r="AC160" s="105"/>
      <c r="AD160" s="64"/>
      <c r="AG160" s="45"/>
      <c r="AH160" s="64"/>
      <c r="AI160" s="45"/>
      <c r="AJ160" s="105"/>
      <c r="AK160" s="105"/>
      <c r="AL160" s="60"/>
      <c r="AM160" s="60"/>
      <c r="AN160" s="60"/>
      <c r="AO160" s="60"/>
      <c r="AP160" s="60"/>
      <c r="AQ160" s="60"/>
      <c r="AR160" s="60"/>
      <c r="AS160" s="60"/>
      <c r="AT160" s="45"/>
      <c r="AU160" s="45"/>
      <c r="AW160" s="45"/>
      <c r="AX160" s="46">
        <f t="shared" si="7"/>
        <v>0</v>
      </c>
      <c r="AY160" s="46">
        <f t="shared" si="8"/>
        <v>0</v>
      </c>
      <c r="AZ160" s="46">
        <f t="shared" si="9"/>
        <v>0</v>
      </c>
    </row>
    <row r="161" spans="3:52" ht="20.100000000000001" customHeight="1">
      <c r="C161" s="102"/>
      <c r="D161" s="3"/>
      <c r="E161" s="67"/>
      <c r="F161" s="3"/>
      <c r="G161" s="3"/>
      <c r="H161" s="3"/>
      <c r="J161" s="3"/>
      <c r="K161" s="3"/>
      <c r="L161" s="4"/>
      <c r="M161" s="3"/>
      <c r="O161" s="58"/>
      <c r="Q161" s="64"/>
      <c r="R161" s="45"/>
      <c r="S161" s="45"/>
      <c r="U161" s="64"/>
      <c r="V161" s="45"/>
      <c r="W161" s="64"/>
      <c r="X161" s="64"/>
      <c r="Y161" s="45"/>
      <c r="Z161" s="45"/>
      <c r="AA161" s="105"/>
      <c r="AB161" s="105"/>
      <c r="AC161" s="105"/>
      <c r="AD161" s="64"/>
      <c r="AG161" s="45"/>
      <c r="AH161" s="64"/>
      <c r="AI161" s="45"/>
      <c r="AJ161" s="105"/>
      <c r="AK161" s="105"/>
      <c r="AL161" s="60"/>
      <c r="AM161" s="60"/>
      <c r="AN161" s="60"/>
      <c r="AO161" s="60"/>
      <c r="AP161" s="60"/>
      <c r="AQ161" s="60"/>
      <c r="AR161" s="60"/>
      <c r="AS161" s="60"/>
      <c r="AT161" s="45"/>
      <c r="AU161" s="45"/>
      <c r="AW161" s="45"/>
      <c r="AX161" s="46">
        <f t="shared" si="7"/>
        <v>0</v>
      </c>
      <c r="AY161" s="46">
        <f t="shared" si="8"/>
        <v>0</v>
      </c>
      <c r="AZ161" s="46">
        <f t="shared" si="9"/>
        <v>0</v>
      </c>
    </row>
    <row r="162" spans="3:52" ht="20.100000000000001" customHeight="1">
      <c r="C162" s="102"/>
      <c r="D162" s="3"/>
      <c r="E162" s="12"/>
      <c r="F162" s="3"/>
      <c r="G162" s="3"/>
      <c r="H162" s="3"/>
      <c r="J162" s="3"/>
      <c r="K162" s="3"/>
      <c r="L162" s="4"/>
      <c r="M162" s="3"/>
      <c r="O162" s="58"/>
      <c r="Q162" s="64"/>
      <c r="R162" s="45"/>
      <c r="S162" s="45"/>
      <c r="U162" s="64"/>
      <c r="V162" s="45"/>
      <c r="W162" s="64"/>
      <c r="X162" s="64"/>
      <c r="Y162" s="45"/>
      <c r="Z162" s="45"/>
      <c r="AA162" s="105"/>
      <c r="AB162" s="105"/>
      <c r="AC162" s="105"/>
      <c r="AD162" s="64"/>
      <c r="AG162" s="45"/>
      <c r="AH162" s="64"/>
      <c r="AI162" s="45"/>
      <c r="AJ162" s="105"/>
      <c r="AK162" s="105"/>
      <c r="AL162" s="60"/>
      <c r="AM162" s="60"/>
      <c r="AN162" s="60"/>
      <c r="AO162" s="60"/>
      <c r="AP162" s="60"/>
      <c r="AQ162" s="60"/>
      <c r="AR162" s="60"/>
      <c r="AS162" s="60"/>
      <c r="AT162" s="45"/>
      <c r="AU162" s="45"/>
      <c r="AW162" s="45"/>
      <c r="AX162" s="46">
        <f t="shared" si="7"/>
        <v>0</v>
      </c>
      <c r="AY162" s="46">
        <f t="shared" si="8"/>
        <v>0</v>
      </c>
      <c r="AZ162" s="46">
        <f t="shared" si="9"/>
        <v>0</v>
      </c>
    </row>
    <row r="163" spans="3:52" ht="20.100000000000001" customHeight="1">
      <c r="C163" s="102"/>
      <c r="D163" s="3"/>
      <c r="E163" s="12"/>
      <c r="F163" s="3"/>
      <c r="G163" s="3"/>
      <c r="H163" s="3"/>
      <c r="J163" s="3"/>
      <c r="K163" s="3"/>
      <c r="L163" s="4"/>
      <c r="M163" s="3"/>
      <c r="O163" s="58"/>
      <c r="Q163" s="64"/>
      <c r="R163" s="45"/>
      <c r="S163" s="45"/>
      <c r="U163" s="64"/>
      <c r="V163" s="45"/>
      <c r="W163" s="64"/>
      <c r="X163" s="64"/>
      <c r="Y163" s="45"/>
      <c r="Z163" s="45"/>
      <c r="AA163" s="105"/>
      <c r="AB163" s="105"/>
      <c r="AC163" s="105"/>
      <c r="AD163" s="64"/>
      <c r="AG163" s="45"/>
      <c r="AH163" s="64"/>
      <c r="AI163" s="45"/>
      <c r="AJ163" s="105"/>
      <c r="AK163" s="105"/>
      <c r="AL163" s="60"/>
      <c r="AM163" s="60"/>
      <c r="AN163" s="60"/>
      <c r="AO163" s="60"/>
      <c r="AP163" s="60"/>
      <c r="AQ163" s="60"/>
      <c r="AR163" s="60"/>
      <c r="AS163" s="60"/>
      <c r="AT163" s="45"/>
      <c r="AU163" s="45"/>
      <c r="AW163" s="45"/>
      <c r="AX163" s="46">
        <f t="shared" si="7"/>
        <v>0</v>
      </c>
      <c r="AY163" s="46">
        <f t="shared" si="8"/>
        <v>0</v>
      </c>
      <c r="AZ163" s="46">
        <f t="shared" si="9"/>
        <v>0</v>
      </c>
    </row>
    <row r="164" spans="3:52" ht="20.100000000000001" customHeight="1">
      <c r="C164" s="102"/>
      <c r="D164" s="3"/>
      <c r="E164" s="12"/>
      <c r="F164" s="3"/>
      <c r="G164" s="3"/>
      <c r="H164" s="3"/>
      <c r="J164" s="3"/>
      <c r="K164" s="3"/>
      <c r="L164" s="4"/>
      <c r="M164" s="3"/>
      <c r="O164" s="58"/>
      <c r="Q164" s="64"/>
      <c r="R164" s="45"/>
      <c r="S164" s="45"/>
      <c r="U164" s="64"/>
      <c r="V164" s="45"/>
      <c r="W164" s="64"/>
      <c r="X164" s="64"/>
      <c r="Y164" s="45"/>
      <c r="Z164" s="45"/>
      <c r="AA164" s="105"/>
      <c r="AB164" s="105"/>
      <c r="AC164" s="105"/>
      <c r="AD164" s="64"/>
      <c r="AG164" s="45"/>
      <c r="AH164" s="64"/>
      <c r="AI164" s="45"/>
      <c r="AJ164" s="105"/>
      <c r="AK164" s="105"/>
      <c r="AL164" s="60"/>
      <c r="AM164" s="60"/>
      <c r="AN164" s="60"/>
      <c r="AO164" s="60"/>
      <c r="AP164" s="60"/>
      <c r="AQ164" s="60"/>
      <c r="AR164" s="60"/>
      <c r="AS164" s="60"/>
      <c r="AT164" s="45"/>
      <c r="AU164" s="45"/>
      <c r="AW164" s="45"/>
      <c r="AX164" s="46">
        <f t="shared" si="7"/>
        <v>0</v>
      </c>
      <c r="AY164" s="46">
        <f t="shared" si="8"/>
        <v>0</v>
      </c>
      <c r="AZ164" s="46">
        <f t="shared" si="9"/>
        <v>0</v>
      </c>
    </row>
    <row r="165" spans="3:52" ht="20.100000000000001" customHeight="1">
      <c r="C165" s="102"/>
      <c r="D165" s="3"/>
      <c r="E165" s="12"/>
      <c r="F165" s="3"/>
      <c r="G165" s="3"/>
      <c r="H165" s="3"/>
      <c r="J165" s="3"/>
      <c r="K165" s="3"/>
      <c r="L165" s="4"/>
      <c r="M165" s="3"/>
      <c r="O165" s="58"/>
      <c r="Q165" s="64"/>
      <c r="R165" s="45"/>
      <c r="S165" s="45"/>
      <c r="U165" s="64"/>
      <c r="V165" s="45"/>
      <c r="W165" s="64"/>
      <c r="X165" s="64"/>
      <c r="Y165" s="45"/>
      <c r="Z165" s="45"/>
      <c r="AA165" s="105"/>
      <c r="AB165" s="105"/>
      <c r="AC165" s="105"/>
      <c r="AD165" s="64"/>
      <c r="AG165" s="45"/>
      <c r="AH165" s="64"/>
      <c r="AI165" s="45"/>
      <c r="AJ165" s="105"/>
      <c r="AK165" s="105"/>
      <c r="AL165" s="60"/>
      <c r="AM165" s="60"/>
      <c r="AN165" s="60"/>
      <c r="AO165" s="60"/>
      <c r="AP165" s="60"/>
      <c r="AQ165" s="60"/>
      <c r="AR165" s="60"/>
      <c r="AS165" s="60"/>
      <c r="AT165" s="45"/>
      <c r="AU165" s="45"/>
      <c r="AW165" s="45"/>
      <c r="AX165" s="46">
        <f t="shared" si="7"/>
        <v>0</v>
      </c>
      <c r="AY165" s="46">
        <f t="shared" si="8"/>
        <v>0</v>
      </c>
      <c r="AZ165" s="46">
        <f t="shared" si="9"/>
        <v>0</v>
      </c>
    </row>
    <row r="166" spans="3:52" ht="20.100000000000001" customHeight="1">
      <c r="C166" s="102"/>
      <c r="D166" s="3"/>
      <c r="E166" s="12"/>
      <c r="F166" s="3"/>
      <c r="G166" s="3"/>
      <c r="H166" s="3"/>
      <c r="J166" s="3"/>
      <c r="K166" s="3"/>
      <c r="L166" s="4"/>
      <c r="M166" s="3"/>
      <c r="O166" s="58"/>
      <c r="Q166" s="64"/>
      <c r="R166" s="45"/>
      <c r="S166" s="45"/>
      <c r="U166" s="64"/>
      <c r="V166" s="45"/>
      <c r="W166" s="64"/>
      <c r="X166" s="64"/>
      <c r="Y166" s="45"/>
      <c r="Z166" s="45"/>
      <c r="AA166" s="105"/>
      <c r="AB166" s="105"/>
      <c r="AC166" s="105"/>
      <c r="AD166" s="64"/>
      <c r="AG166" s="45"/>
      <c r="AH166" s="64"/>
      <c r="AI166" s="45"/>
      <c r="AJ166" s="105"/>
      <c r="AK166" s="105"/>
      <c r="AL166" s="60"/>
      <c r="AM166" s="60"/>
      <c r="AN166" s="60"/>
      <c r="AO166" s="60"/>
      <c r="AP166" s="60"/>
      <c r="AQ166" s="60"/>
      <c r="AR166" s="60"/>
      <c r="AS166" s="60"/>
      <c r="AT166" s="45"/>
      <c r="AU166" s="45"/>
      <c r="AW166" s="45"/>
      <c r="AX166" s="46">
        <f t="shared" si="7"/>
        <v>0</v>
      </c>
      <c r="AY166" s="46">
        <f t="shared" si="8"/>
        <v>0</v>
      </c>
      <c r="AZ166" s="46">
        <f t="shared" si="9"/>
        <v>0</v>
      </c>
    </row>
    <row r="167" spans="3:52" ht="20.100000000000001" customHeight="1">
      <c r="C167" s="102"/>
      <c r="D167" s="3"/>
      <c r="E167" s="12"/>
      <c r="F167" s="3"/>
      <c r="G167" s="3"/>
      <c r="H167" s="3"/>
      <c r="J167" s="3"/>
      <c r="K167" s="3"/>
      <c r="L167" s="4"/>
      <c r="M167" s="3"/>
      <c r="O167" s="58"/>
      <c r="Q167" s="64"/>
      <c r="R167" s="45"/>
      <c r="S167" s="45"/>
      <c r="U167" s="64"/>
      <c r="V167" s="45"/>
      <c r="W167" s="64"/>
      <c r="X167" s="64"/>
      <c r="Y167" s="45"/>
      <c r="Z167" s="45"/>
      <c r="AA167" s="105"/>
      <c r="AB167" s="105"/>
      <c r="AC167" s="105"/>
      <c r="AD167" s="64"/>
      <c r="AG167" s="45"/>
      <c r="AH167" s="64"/>
      <c r="AI167" s="45"/>
      <c r="AJ167" s="105"/>
      <c r="AK167" s="105"/>
      <c r="AL167" s="60"/>
      <c r="AM167" s="60"/>
      <c r="AN167" s="60"/>
      <c r="AO167" s="60"/>
      <c r="AP167" s="60"/>
      <c r="AQ167" s="60"/>
      <c r="AR167" s="60"/>
      <c r="AS167" s="60"/>
      <c r="AT167" s="45"/>
      <c r="AU167" s="45"/>
      <c r="AW167" s="45"/>
      <c r="AX167" s="46">
        <f t="shared" si="7"/>
        <v>0</v>
      </c>
      <c r="AY167" s="46">
        <f t="shared" si="8"/>
        <v>0</v>
      </c>
      <c r="AZ167" s="46">
        <f t="shared" si="9"/>
        <v>0</v>
      </c>
    </row>
    <row r="168" spans="3:52" ht="20.100000000000001" customHeight="1">
      <c r="C168" s="102"/>
      <c r="D168" s="3"/>
      <c r="E168" s="12"/>
      <c r="F168" s="3"/>
      <c r="G168" s="3"/>
      <c r="H168" s="3"/>
      <c r="J168" s="3"/>
      <c r="K168" s="3"/>
      <c r="L168" s="4"/>
      <c r="M168" s="3"/>
      <c r="O168" s="58"/>
      <c r="Q168" s="64"/>
      <c r="R168" s="45"/>
      <c r="S168" s="45"/>
      <c r="U168" s="64"/>
      <c r="V168" s="45"/>
      <c r="W168" s="64"/>
      <c r="X168" s="64"/>
      <c r="Y168" s="45"/>
      <c r="Z168" s="45"/>
      <c r="AA168" s="105"/>
      <c r="AB168" s="105"/>
      <c r="AC168" s="105"/>
      <c r="AD168" s="64"/>
      <c r="AH168" s="64"/>
      <c r="AI168" s="45"/>
      <c r="AJ168" s="105"/>
      <c r="AK168" s="105"/>
      <c r="AL168" s="60"/>
      <c r="AM168" s="60"/>
      <c r="AN168" s="60"/>
      <c r="AO168" s="60"/>
      <c r="AP168" s="60"/>
      <c r="AQ168" s="60"/>
      <c r="AR168" s="60"/>
      <c r="AS168" s="60"/>
      <c r="AT168" s="45"/>
      <c r="AU168" s="45"/>
      <c r="AW168" s="45"/>
      <c r="AX168" s="46">
        <f t="shared" si="7"/>
        <v>0</v>
      </c>
      <c r="AY168" s="46">
        <f t="shared" si="8"/>
        <v>0</v>
      </c>
      <c r="AZ168" s="46">
        <f t="shared" si="9"/>
        <v>0</v>
      </c>
    </row>
    <row r="169" spans="3:52" ht="20.100000000000001" customHeight="1">
      <c r="C169" s="102"/>
      <c r="D169" s="3"/>
      <c r="E169" s="12"/>
      <c r="F169" s="3"/>
      <c r="G169" s="3"/>
      <c r="H169" s="3"/>
      <c r="J169" s="3"/>
      <c r="K169" s="3"/>
      <c r="L169" s="4"/>
      <c r="M169" s="3"/>
      <c r="O169" s="58"/>
      <c r="Q169" s="64"/>
      <c r="R169" s="45"/>
      <c r="S169" s="45"/>
      <c r="U169" s="64"/>
      <c r="V169" s="45"/>
      <c r="W169" s="64"/>
      <c r="X169" s="64"/>
      <c r="Y169" s="45"/>
      <c r="Z169" s="45"/>
      <c r="AA169" s="105"/>
      <c r="AB169" s="105"/>
      <c r="AC169" s="105"/>
      <c r="AD169" s="64"/>
      <c r="AG169" s="45"/>
      <c r="AH169" s="64"/>
      <c r="AI169" s="45"/>
      <c r="AJ169" s="105"/>
      <c r="AK169" s="105"/>
      <c r="AL169" s="60"/>
      <c r="AM169" s="60"/>
      <c r="AN169" s="60"/>
      <c r="AO169" s="60"/>
      <c r="AP169" s="60"/>
      <c r="AQ169" s="60"/>
      <c r="AR169" s="60"/>
      <c r="AS169" s="60"/>
      <c r="AT169" s="45"/>
      <c r="AU169" s="45"/>
      <c r="AW169" s="45"/>
      <c r="AX169" s="46">
        <f t="shared" si="7"/>
        <v>0</v>
      </c>
      <c r="AY169" s="46">
        <f t="shared" si="8"/>
        <v>0</v>
      </c>
      <c r="AZ169" s="46">
        <f t="shared" si="9"/>
        <v>0</v>
      </c>
    </row>
    <row r="170" spans="3:52" ht="20.100000000000001" customHeight="1">
      <c r="C170" s="102"/>
      <c r="D170" s="3"/>
      <c r="E170" s="12"/>
      <c r="F170" s="3"/>
      <c r="G170" s="3"/>
      <c r="H170" s="3"/>
      <c r="J170" s="3"/>
      <c r="K170" s="3"/>
      <c r="L170" s="4"/>
      <c r="M170" s="3"/>
      <c r="O170" s="58"/>
      <c r="Q170" s="64"/>
      <c r="R170" s="45"/>
      <c r="S170" s="45"/>
      <c r="U170" s="64"/>
      <c r="V170" s="45"/>
      <c r="W170" s="64"/>
      <c r="X170" s="64"/>
      <c r="Y170" s="45"/>
      <c r="Z170" s="45"/>
      <c r="AA170" s="105"/>
      <c r="AB170" s="105"/>
      <c r="AC170" s="105"/>
      <c r="AD170" s="64"/>
      <c r="AH170" s="64"/>
      <c r="AI170" s="45"/>
      <c r="AJ170" s="105"/>
      <c r="AK170" s="105"/>
      <c r="AL170" s="60"/>
      <c r="AM170" s="60"/>
      <c r="AN170" s="60"/>
      <c r="AO170" s="60"/>
      <c r="AP170" s="60"/>
      <c r="AQ170" s="60"/>
      <c r="AR170" s="60"/>
      <c r="AS170" s="60"/>
      <c r="AT170" s="45"/>
      <c r="AU170" s="45"/>
      <c r="AW170" s="45"/>
      <c r="AX170" s="46">
        <f t="shared" si="7"/>
        <v>0</v>
      </c>
      <c r="AY170" s="46">
        <f t="shared" si="8"/>
        <v>0</v>
      </c>
      <c r="AZ170" s="46">
        <f t="shared" si="9"/>
        <v>0</v>
      </c>
    </row>
    <row r="171" spans="3:52" ht="20.100000000000001" customHeight="1">
      <c r="C171" s="102"/>
      <c r="D171" s="3"/>
      <c r="E171" s="12"/>
      <c r="F171" s="3"/>
      <c r="G171" s="3"/>
      <c r="H171" s="3"/>
      <c r="J171" s="3"/>
      <c r="K171" s="3"/>
      <c r="L171" s="4"/>
      <c r="M171" s="3"/>
      <c r="O171" s="58"/>
      <c r="Q171" s="64"/>
      <c r="R171" s="45"/>
      <c r="S171" s="45"/>
      <c r="U171" s="64"/>
      <c r="V171" s="45"/>
      <c r="W171" s="64"/>
      <c r="X171" s="64"/>
      <c r="Y171" s="45"/>
      <c r="Z171" s="45"/>
      <c r="AA171" s="105"/>
      <c r="AB171" s="105"/>
      <c r="AC171" s="105"/>
      <c r="AD171" s="64"/>
      <c r="AG171" s="45"/>
      <c r="AH171" s="64"/>
      <c r="AI171" s="45"/>
      <c r="AJ171" s="105"/>
      <c r="AK171" s="105"/>
      <c r="AL171" s="60"/>
      <c r="AM171" s="60"/>
      <c r="AN171" s="60"/>
      <c r="AO171" s="60"/>
      <c r="AP171" s="60"/>
      <c r="AQ171" s="60"/>
      <c r="AR171" s="60"/>
      <c r="AS171" s="60"/>
      <c r="AT171" s="45"/>
      <c r="AU171" s="45"/>
      <c r="AW171" s="45"/>
      <c r="AX171" s="46">
        <f t="shared" si="7"/>
        <v>0</v>
      </c>
      <c r="AY171" s="46">
        <f t="shared" si="8"/>
        <v>0</v>
      </c>
      <c r="AZ171" s="46">
        <f t="shared" si="9"/>
        <v>0</v>
      </c>
    </row>
    <row r="172" spans="3:52" ht="20.100000000000001" customHeight="1">
      <c r="C172" s="102"/>
      <c r="D172" s="3"/>
      <c r="E172" s="12"/>
      <c r="F172" s="3"/>
      <c r="G172" s="3"/>
      <c r="H172" s="3"/>
      <c r="J172" s="3"/>
      <c r="K172" s="3"/>
      <c r="L172" s="4"/>
      <c r="M172" s="3"/>
      <c r="O172" s="58"/>
      <c r="Q172" s="64"/>
      <c r="R172" s="45"/>
      <c r="S172" s="45"/>
      <c r="U172" s="64"/>
      <c r="V172" s="45"/>
      <c r="W172" s="64"/>
      <c r="X172" s="64"/>
      <c r="Y172" s="45"/>
      <c r="Z172" s="45"/>
      <c r="AA172" s="105"/>
      <c r="AB172" s="105"/>
      <c r="AC172" s="105"/>
      <c r="AD172" s="64"/>
      <c r="AH172" s="64"/>
      <c r="AI172" s="45"/>
      <c r="AJ172" s="105"/>
      <c r="AK172" s="105"/>
      <c r="AL172" s="60"/>
      <c r="AM172" s="60"/>
      <c r="AN172" s="60"/>
      <c r="AO172" s="60"/>
      <c r="AP172" s="60"/>
      <c r="AQ172" s="60"/>
      <c r="AR172" s="60"/>
      <c r="AS172" s="60"/>
      <c r="AT172" s="45"/>
      <c r="AU172" s="45"/>
      <c r="AW172" s="45"/>
      <c r="AX172" s="46">
        <f t="shared" si="7"/>
        <v>0</v>
      </c>
      <c r="AY172" s="46">
        <f t="shared" si="8"/>
        <v>0</v>
      </c>
      <c r="AZ172" s="46">
        <f t="shared" si="9"/>
        <v>0</v>
      </c>
    </row>
    <row r="173" spans="3:52" ht="20.100000000000001" customHeight="1">
      <c r="C173" s="102"/>
      <c r="D173" s="3"/>
      <c r="E173" s="67"/>
      <c r="F173" s="3"/>
      <c r="G173" s="3"/>
      <c r="H173" s="3"/>
      <c r="J173" s="3"/>
      <c r="K173" s="3"/>
      <c r="L173" s="4"/>
      <c r="M173" s="3"/>
      <c r="O173" s="58"/>
      <c r="Q173" s="64"/>
      <c r="R173" s="45"/>
      <c r="S173" s="45"/>
      <c r="U173" s="64"/>
      <c r="V173" s="45"/>
      <c r="W173" s="64"/>
      <c r="X173" s="64"/>
      <c r="Y173" s="45"/>
      <c r="Z173" s="45"/>
      <c r="AA173" s="105"/>
      <c r="AB173" s="105"/>
      <c r="AC173" s="105"/>
      <c r="AD173" s="64"/>
      <c r="AG173" s="45"/>
      <c r="AH173" s="64"/>
      <c r="AI173" s="45"/>
      <c r="AJ173" s="105"/>
      <c r="AK173" s="105"/>
      <c r="AL173" s="60"/>
      <c r="AM173" s="60"/>
      <c r="AN173" s="60"/>
      <c r="AO173" s="60"/>
      <c r="AP173" s="60"/>
      <c r="AQ173" s="60"/>
      <c r="AR173" s="60"/>
      <c r="AS173" s="60"/>
      <c r="AT173" s="45"/>
      <c r="AU173" s="45"/>
      <c r="AW173" s="45"/>
      <c r="AX173" s="46">
        <f t="shared" si="7"/>
        <v>0</v>
      </c>
      <c r="AY173" s="46">
        <f t="shared" si="8"/>
        <v>0</v>
      </c>
      <c r="AZ173" s="46">
        <f t="shared" si="9"/>
        <v>0</v>
      </c>
    </row>
    <row r="174" spans="3:52" ht="20.100000000000001" customHeight="1">
      <c r="C174" s="102"/>
      <c r="D174" s="3"/>
      <c r="E174" s="12"/>
      <c r="F174" s="3"/>
      <c r="G174" s="3"/>
      <c r="H174" s="3"/>
      <c r="J174" s="3"/>
      <c r="K174" s="3"/>
      <c r="L174" s="4"/>
      <c r="M174" s="3"/>
      <c r="O174" s="58"/>
      <c r="Q174" s="64"/>
      <c r="R174" s="45"/>
      <c r="S174" s="45"/>
      <c r="U174" s="64"/>
      <c r="V174" s="45"/>
      <c r="W174" s="64"/>
      <c r="X174" s="64"/>
      <c r="Y174" s="45"/>
      <c r="Z174" s="45"/>
      <c r="AA174" s="105"/>
      <c r="AB174" s="105"/>
      <c r="AC174" s="105"/>
      <c r="AD174" s="64"/>
      <c r="AG174" s="45"/>
      <c r="AH174" s="64"/>
      <c r="AI174" s="45"/>
      <c r="AJ174" s="105"/>
      <c r="AK174" s="105"/>
      <c r="AL174" s="60"/>
      <c r="AM174" s="60"/>
      <c r="AN174" s="60"/>
      <c r="AO174" s="60"/>
      <c r="AP174" s="60"/>
      <c r="AQ174" s="60"/>
      <c r="AR174" s="60"/>
      <c r="AS174" s="60"/>
      <c r="AT174" s="45"/>
      <c r="AU174" s="45"/>
      <c r="AW174" s="45"/>
      <c r="AX174" s="46">
        <f t="shared" si="7"/>
        <v>0</v>
      </c>
      <c r="AY174" s="46">
        <f t="shared" si="8"/>
        <v>0</v>
      </c>
      <c r="AZ174" s="46">
        <f t="shared" si="9"/>
        <v>0</v>
      </c>
    </row>
    <row r="175" spans="3:52" ht="20.100000000000001" customHeight="1">
      <c r="C175" s="102"/>
      <c r="D175" s="3"/>
      <c r="E175" s="67"/>
      <c r="F175" s="3"/>
      <c r="G175" s="3"/>
      <c r="H175" s="3"/>
      <c r="J175" s="3"/>
      <c r="K175" s="3"/>
      <c r="L175" s="4"/>
      <c r="M175" s="3"/>
      <c r="O175" s="58"/>
      <c r="Q175" s="64"/>
      <c r="R175" s="45"/>
      <c r="S175" s="45"/>
      <c r="U175" s="64"/>
      <c r="V175" s="45"/>
      <c r="W175" s="64"/>
      <c r="X175" s="64"/>
      <c r="Y175" s="45"/>
      <c r="Z175" s="45"/>
      <c r="AA175" s="105"/>
      <c r="AB175" s="105"/>
      <c r="AC175" s="105"/>
      <c r="AD175" s="64"/>
      <c r="AG175" s="45"/>
      <c r="AH175" s="64"/>
      <c r="AI175" s="45"/>
      <c r="AJ175" s="105"/>
      <c r="AK175" s="105"/>
      <c r="AL175" s="60"/>
      <c r="AM175" s="60"/>
      <c r="AN175" s="60"/>
      <c r="AO175" s="60"/>
      <c r="AP175" s="60"/>
      <c r="AQ175" s="60"/>
      <c r="AR175" s="60"/>
      <c r="AS175" s="60"/>
      <c r="AT175" s="45"/>
      <c r="AU175" s="45"/>
      <c r="AW175" s="45"/>
      <c r="AX175" s="46">
        <f t="shared" si="7"/>
        <v>0</v>
      </c>
      <c r="AY175" s="46">
        <f t="shared" si="8"/>
        <v>0</v>
      </c>
      <c r="AZ175" s="46">
        <f t="shared" si="9"/>
        <v>0</v>
      </c>
    </row>
    <row r="176" spans="3:52" ht="20.100000000000001" customHeight="1">
      <c r="C176" s="102"/>
      <c r="D176" s="3"/>
      <c r="E176" s="12"/>
      <c r="F176" s="3"/>
      <c r="G176" s="3"/>
      <c r="H176" s="3"/>
      <c r="J176" s="3"/>
      <c r="K176" s="3"/>
      <c r="L176" s="4"/>
      <c r="M176" s="3"/>
      <c r="O176" s="58"/>
      <c r="Q176" s="64"/>
      <c r="R176" s="45"/>
      <c r="S176" s="45"/>
      <c r="U176" s="64"/>
      <c r="V176" s="45"/>
      <c r="W176" s="64"/>
      <c r="X176" s="64"/>
      <c r="Y176" s="45"/>
      <c r="Z176" s="45"/>
      <c r="AA176" s="105"/>
      <c r="AB176" s="105"/>
      <c r="AC176" s="105"/>
      <c r="AD176" s="64"/>
      <c r="AG176" s="45"/>
      <c r="AH176" s="64"/>
      <c r="AI176" s="45"/>
      <c r="AJ176" s="105"/>
      <c r="AK176" s="105"/>
      <c r="AL176" s="60"/>
      <c r="AM176" s="60"/>
      <c r="AN176" s="60"/>
      <c r="AO176" s="60"/>
      <c r="AP176" s="60"/>
      <c r="AQ176" s="60"/>
      <c r="AR176" s="60"/>
      <c r="AS176" s="60"/>
      <c r="AT176" s="45"/>
      <c r="AU176" s="45"/>
      <c r="AW176" s="45"/>
      <c r="AX176" s="46">
        <f t="shared" si="7"/>
        <v>0</v>
      </c>
      <c r="AY176" s="46">
        <f t="shared" si="8"/>
        <v>0</v>
      </c>
      <c r="AZ176" s="46">
        <f t="shared" si="9"/>
        <v>0</v>
      </c>
    </row>
    <row r="177" spans="3:52" ht="20.100000000000001" customHeight="1">
      <c r="C177" s="102"/>
      <c r="D177" s="3"/>
      <c r="E177" s="12"/>
      <c r="F177" s="3"/>
      <c r="G177" s="3"/>
      <c r="H177" s="3"/>
      <c r="J177" s="3"/>
      <c r="K177" s="3"/>
      <c r="L177" s="4"/>
      <c r="M177" s="3"/>
      <c r="O177" s="58"/>
      <c r="Q177" s="64"/>
      <c r="R177" s="45"/>
      <c r="S177" s="45"/>
      <c r="U177" s="64"/>
      <c r="V177" s="45"/>
      <c r="W177" s="64"/>
      <c r="X177" s="64"/>
      <c r="Y177" s="45"/>
      <c r="Z177" s="45"/>
      <c r="AA177" s="105"/>
      <c r="AB177" s="105"/>
      <c r="AC177" s="105"/>
      <c r="AD177" s="64"/>
      <c r="AG177" s="45"/>
      <c r="AH177" s="64"/>
      <c r="AI177" s="45"/>
      <c r="AJ177" s="105"/>
      <c r="AK177" s="105"/>
      <c r="AL177" s="60"/>
      <c r="AM177" s="60"/>
      <c r="AN177" s="60"/>
      <c r="AO177" s="60"/>
      <c r="AP177" s="60"/>
      <c r="AQ177" s="60"/>
      <c r="AR177" s="60"/>
      <c r="AS177" s="60"/>
      <c r="AT177" s="45"/>
      <c r="AU177" s="45"/>
      <c r="AW177" s="45"/>
      <c r="AX177" s="46">
        <f t="shared" si="7"/>
        <v>0</v>
      </c>
      <c r="AY177" s="46">
        <f t="shared" si="8"/>
        <v>0</v>
      </c>
      <c r="AZ177" s="46">
        <f t="shared" si="9"/>
        <v>0</v>
      </c>
    </row>
    <row r="178" spans="3:52" ht="20.100000000000001" customHeight="1">
      <c r="C178" s="102"/>
      <c r="D178" s="3"/>
      <c r="E178" s="12"/>
      <c r="F178" s="3"/>
      <c r="G178" s="3"/>
      <c r="H178" s="3"/>
      <c r="J178" s="3"/>
      <c r="K178" s="3"/>
      <c r="L178" s="4"/>
      <c r="M178" s="3"/>
      <c r="O178" s="58"/>
      <c r="Q178" s="64"/>
      <c r="R178" s="45"/>
      <c r="S178" s="45"/>
      <c r="U178" s="64"/>
      <c r="V178" s="45"/>
      <c r="W178" s="64"/>
      <c r="X178" s="64"/>
      <c r="Y178" s="45"/>
      <c r="Z178" s="45"/>
      <c r="AA178" s="105"/>
      <c r="AB178" s="105"/>
      <c r="AC178" s="105"/>
      <c r="AD178" s="64"/>
      <c r="AG178" s="45"/>
      <c r="AH178" s="64"/>
      <c r="AI178" s="45"/>
      <c r="AJ178" s="105"/>
      <c r="AK178" s="105"/>
      <c r="AL178" s="60"/>
      <c r="AM178" s="60"/>
      <c r="AN178" s="60"/>
      <c r="AO178" s="60"/>
      <c r="AP178" s="60"/>
      <c r="AQ178" s="60"/>
      <c r="AR178" s="60"/>
      <c r="AS178" s="60"/>
      <c r="AT178" s="45"/>
      <c r="AU178" s="45"/>
      <c r="AW178" s="45"/>
      <c r="AX178" s="46">
        <f t="shared" si="7"/>
        <v>0</v>
      </c>
      <c r="AY178" s="46">
        <f t="shared" si="8"/>
        <v>0</v>
      </c>
      <c r="AZ178" s="46">
        <f t="shared" si="9"/>
        <v>0</v>
      </c>
    </row>
    <row r="179" spans="3:52" ht="20.100000000000001" customHeight="1">
      <c r="C179" s="102"/>
      <c r="D179" s="3"/>
      <c r="E179" s="67"/>
      <c r="F179" s="3"/>
      <c r="G179" s="3"/>
      <c r="H179" s="3"/>
      <c r="J179" s="3"/>
      <c r="K179" s="3"/>
      <c r="L179" s="4"/>
      <c r="M179" s="3"/>
      <c r="O179" s="58"/>
      <c r="Q179" s="64"/>
      <c r="R179" s="45"/>
      <c r="S179" s="45"/>
      <c r="U179" s="64"/>
      <c r="V179" s="45"/>
      <c r="W179" s="64"/>
      <c r="X179" s="64"/>
      <c r="Y179" s="45"/>
      <c r="Z179" s="45"/>
      <c r="AA179" s="105"/>
      <c r="AB179" s="105"/>
      <c r="AC179" s="105"/>
      <c r="AD179" s="64"/>
      <c r="AG179" s="45"/>
      <c r="AH179" s="64"/>
      <c r="AI179" s="45"/>
      <c r="AJ179" s="105"/>
      <c r="AK179" s="105"/>
      <c r="AL179" s="60"/>
      <c r="AM179" s="60"/>
      <c r="AN179" s="60"/>
      <c r="AO179" s="60"/>
      <c r="AP179" s="60"/>
      <c r="AQ179" s="60"/>
      <c r="AR179" s="60"/>
      <c r="AS179" s="60"/>
      <c r="AT179" s="45"/>
      <c r="AU179" s="45"/>
      <c r="AW179" s="45"/>
      <c r="AX179" s="46">
        <f t="shared" si="7"/>
        <v>0</v>
      </c>
      <c r="AY179" s="46">
        <f t="shared" si="8"/>
        <v>0</v>
      </c>
      <c r="AZ179" s="46">
        <f t="shared" si="9"/>
        <v>0</v>
      </c>
    </row>
    <row r="180" spans="3:52" ht="20.100000000000001" customHeight="1">
      <c r="C180" s="102"/>
      <c r="D180" s="3"/>
      <c r="E180" s="12"/>
      <c r="F180" s="3"/>
      <c r="G180" s="3"/>
      <c r="H180" s="3"/>
      <c r="J180" s="3"/>
      <c r="K180" s="3"/>
      <c r="L180" s="4"/>
      <c r="M180" s="3"/>
      <c r="O180" s="58"/>
      <c r="Q180" s="64"/>
      <c r="R180" s="45"/>
      <c r="S180" s="45"/>
      <c r="U180" s="64"/>
      <c r="V180" s="45"/>
      <c r="W180" s="64"/>
      <c r="X180" s="64"/>
      <c r="Y180" s="45"/>
      <c r="Z180" s="45"/>
      <c r="AA180" s="105"/>
      <c r="AB180" s="105"/>
      <c r="AC180" s="105"/>
      <c r="AD180" s="64"/>
      <c r="AG180" s="45"/>
      <c r="AH180" s="64"/>
      <c r="AI180" s="45"/>
      <c r="AJ180" s="105"/>
      <c r="AK180" s="105"/>
      <c r="AL180" s="60"/>
      <c r="AM180" s="60"/>
      <c r="AN180" s="60"/>
      <c r="AO180" s="60"/>
      <c r="AP180" s="60"/>
      <c r="AQ180" s="60"/>
      <c r="AR180" s="60"/>
      <c r="AS180" s="60"/>
      <c r="AT180" s="45"/>
      <c r="AU180" s="45"/>
      <c r="AW180" s="45"/>
      <c r="AX180" s="46">
        <f t="shared" si="7"/>
        <v>0</v>
      </c>
      <c r="AY180" s="46">
        <f t="shared" si="8"/>
        <v>0</v>
      </c>
      <c r="AZ180" s="46">
        <f t="shared" si="9"/>
        <v>0</v>
      </c>
    </row>
    <row r="181" spans="3:52" ht="20.100000000000001" customHeight="1">
      <c r="C181" s="102"/>
      <c r="D181" s="3"/>
      <c r="E181" s="12"/>
      <c r="F181" s="3"/>
      <c r="G181" s="3"/>
      <c r="H181" s="3"/>
      <c r="J181" s="3"/>
      <c r="K181" s="3"/>
      <c r="L181" s="4"/>
      <c r="M181" s="3"/>
      <c r="O181" s="58"/>
      <c r="Q181" s="64"/>
      <c r="R181" s="45"/>
      <c r="S181" s="45"/>
      <c r="U181" s="64"/>
      <c r="V181" s="45"/>
      <c r="W181" s="64"/>
      <c r="X181" s="64"/>
      <c r="Y181" s="45"/>
      <c r="Z181" s="45"/>
      <c r="AA181" s="105"/>
      <c r="AB181" s="105"/>
      <c r="AC181" s="105"/>
      <c r="AD181" s="64"/>
      <c r="AG181" s="45"/>
      <c r="AH181" s="64"/>
      <c r="AI181" s="45"/>
      <c r="AJ181" s="105"/>
      <c r="AK181" s="105"/>
      <c r="AL181" s="60"/>
      <c r="AM181" s="60"/>
      <c r="AN181" s="60"/>
      <c r="AO181" s="60"/>
      <c r="AP181" s="60"/>
      <c r="AQ181" s="60"/>
      <c r="AR181" s="60"/>
      <c r="AS181" s="60"/>
      <c r="AT181" s="45"/>
      <c r="AU181" s="45"/>
      <c r="AW181" s="45"/>
      <c r="AX181" s="46">
        <f t="shared" si="7"/>
        <v>0</v>
      </c>
      <c r="AY181" s="46">
        <f t="shared" si="8"/>
        <v>0</v>
      </c>
      <c r="AZ181" s="46">
        <f t="shared" si="9"/>
        <v>0</v>
      </c>
    </row>
    <row r="182" spans="3:52" ht="20.100000000000001" customHeight="1">
      <c r="C182" s="102"/>
      <c r="D182" s="3"/>
      <c r="E182" s="12"/>
      <c r="F182" s="3"/>
      <c r="G182" s="3"/>
      <c r="H182" s="3"/>
      <c r="J182" s="3"/>
      <c r="K182" s="3"/>
      <c r="L182" s="4"/>
      <c r="M182" s="3"/>
      <c r="O182" s="58"/>
      <c r="Q182" s="64"/>
      <c r="R182" s="45"/>
      <c r="S182" s="45"/>
      <c r="U182" s="64"/>
      <c r="V182" s="45"/>
      <c r="W182" s="64"/>
      <c r="X182" s="64"/>
      <c r="Y182" s="45"/>
      <c r="Z182" s="45"/>
      <c r="AA182" s="105"/>
      <c r="AB182" s="105"/>
      <c r="AC182" s="105"/>
      <c r="AD182" s="64"/>
      <c r="AG182" s="45"/>
      <c r="AH182" s="64"/>
      <c r="AI182" s="45"/>
      <c r="AJ182" s="105"/>
      <c r="AK182" s="105"/>
      <c r="AL182" s="60"/>
      <c r="AM182" s="60"/>
      <c r="AN182" s="60"/>
      <c r="AO182" s="60"/>
      <c r="AP182" s="60"/>
      <c r="AQ182" s="60"/>
      <c r="AR182" s="60"/>
      <c r="AS182" s="60"/>
      <c r="AT182" s="45"/>
      <c r="AU182" s="45"/>
      <c r="AW182" s="45"/>
      <c r="AX182" s="46">
        <f t="shared" si="7"/>
        <v>0</v>
      </c>
      <c r="AY182" s="46">
        <f t="shared" si="8"/>
        <v>0</v>
      </c>
      <c r="AZ182" s="46">
        <f t="shared" si="9"/>
        <v>0</v>
      </c>
    </row>
    <row r="183" spans="3:52" ht="20.100000000000001" customHeight="1">
      <c r="C183" s="102"/>
      <c r="D183" s="3"/>
      <c r="E183" s="12"/>
      <c r="F183" s="3"/>
      <c r="G183" s="3"/>
      <c r="H183" s="3"/>
      <c r="J183" s="3"/>
      <c r="K183" s="3"/>
      <c r="L183" s="4"/>
      <c r="M183" s="3"/>
      <c r="O183" s="58"/>
      <c r="Q183" s="64"/>
      <c r="R183" s="45"/>
      <c r="S183" s="45"/>
      <c r="U183" s="64"/>
      <c r="V183" s="45"/>
      <c r="W183" s="64"/>
      <c r="X183" s="64"/>
      <c r="Y183" s="45"/>
      <c r="Z183" s="45"/>
      <c r="AA183" s="105"/>
      <c r="AB183" s="105"/>
      <c r="AC183" s="105"/>
      <c r="AD183" s="64"/>
      <c r="AG183" s="45"/>
      <c r="AH183" s="64"/>
      <c r="AI183" s="45"/>
      <c r="AJ183" s="105"/>
      <c r="AK183" s="105"/>
      <c r="AL183" s="60"/>
      <c r="AM183" s="60"/>
      <c r="AN183" s="60"/>
      <c r="AO183" s="60"/>
      <c r="AP183" s="60"/>
      <c r="AQ183" s="60"/>
      <c r="AR183" s="60"/>
      <c r="AS183" s="60"/>
      <c r="AT183" s="45"/>
      <c r="AU183" s="45"/>
      <c r="AW183" s="45"/>
      <c r="AX183" s="46">
        <f t="shared" si="7"/>
        <v>0</v>
      </c>
      <c r="AY183" s="46">
        <f t="shared" si="8"/>
        <v>0</v>
      </c>
      <c r="AZ183" s="46">
        <f t="shared" si="9"/>
        <v>0</v>
      </c>
    </row>
    <row r="184" spans="3:52" ht="20.100000000000001" customHeight="1">
      <c r="C184" s="102"/>
      <c r="D184" s="3"/>
      <c r="E184" s="12"/>
      <c r="F184" s="3"/>
      <c r="G184" s="3"/>
      <c r="H184" s="3"/>
      <c r="J184" s="3"/>
      <c r="K184" s="3"/>
      <c r="L184" s="4"/>
      <c r="M184" s="3"/>
      <c r="O184" s="58"/>
      <c r="Q184" s="64"/>
      <c r="R184" s="45"/>
      <c r="S184" s="45"/>
      <c r="U184" s="64"/>
      <c r="V184" s="45"/>
      <c r="W184" s="64"/>
      <c r="X184" s="64"/>
      <c r="Y184" s="45"/>
      <c r="Z184" s="45"/>
      <c r="AA184" s="105"/>
      <c r="AB184" s="105"/>
      <c r="AC184" s="105"/>
      <c r="AD184" s="64"/>
      <c r="AG184" s="45"/>
      <c r="AH184" s="64"/>
      <c r="AI184" s="45"/>
      <c r="AJ184" s="105"/>
      <c r="AK184" s="105"/>
      <c r="AL184" s="60"/>
      <c r="AM184" s="60"/>
      <c r="AN184" s="60"/>
      <c r="AO184" s="60"/>
      <c r="AP184" s="60"/>
      <c r="AQ184" s="60"/>
      <c r="AR184" s="60"/>
      <c r="AS184" s="60"/>
      <c r="AT184" s="45"/>
      <c r="AU184" s="45"/>
      <c r="AW184" s="45"/>
      <c r="AX184" s="46">
        <f t="shared" si="7"/>
        <v>0</v>
      </c>
      <c r="AY184" s="46">
        <f t="shared" si="8"/>
        <v>0</v>
      </c>
      <c r="AZ184" s="46">
        <f t="shared" si="9"/>
        <v>0</v>
      </c>
    </row>
    <row r="185" spans="3:52" ht="20.100000000000001" customHeight="1">
      <c r="C185" s="102"/>
      <c r="D185" s="3"/>
      <c r="E185" s="12"/>
      <c r="F185" s="3"/>
      <c r="G185" s="3"/>
      <c r="H185" s="3"/>
      <c r="J185" s="3"/>
      <c r="K185" s="3"/>
      <c r="L185" s="4"/>
      <c r="M185" s="3"/>
      <c r="O185" s="58"/>
      <c r="Q185" s="64"/>
      <c r="R185" s="45"/>
      <c r="S185" s="45"/>
      <c r="U185" s="64"/>
      <c r="V185" s="45"/>
      <c r="W185" s="64"/>
      <c r="X185" s="64"/>
      <c r="Y185" s="45"/>
      <c r="Z185" s="45"/>
      <c r="AA185" s="105"/>
      <c r="AB185" s="105"/>
      <c r="AC185" s="105"/>
      <c r="AD185" s="64"/>
      <c r="AH185" s="64"/>
      <c r="AI185" s="45"/>
      <c r="AJ185" s="105"/>
      <c r="AK185" s="105"/>
      <c r="AL185" s="60"/>
      <c r="AM185" s="60"/>
      <c r="AN185" s="60"/>
      <c r="AO185" s="60"/>
      <c r="AP185" s="60"/>
      <c r="AQ185" s="60"/>
      <c r="AR185" s="60"/>
      <c r="AS185" s="60"/>
      <c r="AT185" s="45"/>
      <c r="AU185" s="45"/>
      <c r="AW185" s="45"/>
      <c r="AX185" s="46">
        <f t="shared" si="7"/>
        <v>0</v>
      </c>
      <c r="AY185" s="46">
        <f t="shared" si="8"/>
        <v>0</v>
      </c>
      <c r="AZ185" s="46">
        <f t="shared" si="9"/>
        <v>0</v>
      </c>
    </row>
    <row r="186" spans="3:52" ht="20.100000000000001" customHeight="1">
      <c r="C186" s="102"/>
      <c r="D186" s="3"/>
      <c r="E186" s="12"/>
      <c r="F186" s="3"/>
      <c r="G186" s="3"/>
      <c r="H186" s="3"/>
      <c r="J186" s="3"/>
      <c r="K186" s="3"/>
      <c r="L186" s="4"/>
      <c r="M186" s="3"/>
      <c r="O186" s="58"/>
      <c r="Q186" s="64"/>
      <c r="R186" s="45"/>
      <c r="S186" s="45"/>
      <c r="U186" s="64"/>
      <c r="V186" s="45"/>
      <c r="W186" s="64"/>
      <c r="X186" s="64"/>
      <c r="Y186" s="45"/>
      <c r="Z186" s="45"/>
      <c r="AA186" s="105"/>
      <c r="AB186" s="105"/>
      <c r="AC186" s="105"/>
      <c r="AD186" s="64"/>
      <c r="AG186" s="45"/>
      <c r="AH186" s="64"/>
      <c r="AI186" s="45"/>
      <c r="AJ186" s="105"/>
      <c r="AK186" s="105"/>
      <c r="AL186" s="60"/>
      <c r="AM186" s="60"/>
      <c r="AN186" s="60"/>
      <c r="AO186" s="60"/>
      <c r="AP186" s="60"/>
      <c r="AQ186" s="60"/>
      <c r="AR186" s="60"/>
      <c r="AS186" s="60"/>
      <c r="AT186" s="45"/>
      <c r="AU186" s="45"/>
      <c r="AW186" s="45"/>
      <c r="AX186" s="46">
        <f t="shared" si="7"/>
        <v>0</v>
      </c>
      <c r="AY186" s="46">
        <f t="shared" si="8"/>
        <v>0</v>
      </c>
      <c r="AZ186" s="46">
        <f t="shared" si="9"/>
        <v>0</v>
      </c>
    </row>
    <row r="187" spans="3:52" ht="20.100000000000001" customHeight="1">
      <c r="C187" s="102"/>
      <c r="D187" s="3"/>
      <c r="E187" s="12"/>
      <c r="F187" s="3"/>
      <c r="G187" s="3"/>
      <c r="H187" s="3"/>
      <c r="J187" s="3"/>
      <c r="K187" s="3"/>
      <c r="L187" s="4"/>
      <c r="M187" s="3"/>
      <c r="O187" s="58"/>
      <c r="Q187" s="64"/>
      <c r="R187" s="45"/>
      <c r="S187" s="45"/>
      <c r="U187" s="64"/>
      <c r="V187" s="45"/>
      <c r="W187" s="64"/>
      <c r="X187" s="64"/>
      <c r="Y187" s="45"/>
      <c r="Z187" s="45"/>
      <c r="AA187" s="105"/>
      <c r="AB187" s="105"/>
      <c r="AC187" s="105"/>
      <c r="AD187" s="64"/>
      <c r="AG187" s="45"/>
      <c r="AH187" s="64"/>
      <c r="AI187" s="45"/>
      <c r="AJ187" s="105"/>
      <c r="AK187" s="105"/>
      <c r="AL187" s="60"/>
      <c r="AM187" s="60"/>
      <c r="AN187" s="60"/>
      <c r="AO187" s="60"/>
      <c r="AP187" s="60"/>
      <c r="AQ187" s="60"/>
      <c r="AR187" s="60"/>
      <c r="AS187" s="60"/>
      <c r="AT187" s="45"/>
      <c r="AU187" s="45"/>
      <c r="AW187" s="45"/>
      <c r="AX187" s="46">
        <f t="shared" si="7"/>
        <v>0</v>
      </c>
      <c r="AY187" s="46">
        <f t="shared" si="8"/>
        <v>0</v>
      </c>
      <c r="AZ187" s="46">
        <f t="shared" si="9"/>
        <v>0</v>
      </c>
    </row>
    <row r="188" spans="3:52" ht="20.100000000000001" customHeight="1">
      <c r="C188" s="102"/>
      <c r="D188" s="3"/>
      <c r="E188" s="12"/>
      <c r="F188" s="3"/>
      <c r="G188" s="3"/>
      <c r="H188" s="3"/>
      <c r="J188" s="3"/>
      <c r="K188" s="3"/>
      <c r="L188" s="4"/>
      <c r="M188" s="3"/>
      <c r="O188" s="58"/>
      <c r="Q188" s="64"/>
      <c r="R188" s="45"/>
      <c r="S188" s="45"/>
      <c r="U188" s="64"/>
      <c r="V188" s="45"/>
      <c r="W188" s="64"/>
      <c r="X188" s="64"/>
      <c r="Y188" s="45"/>
      <c r="Z188" s="45"/>
      <c r="AA188" s="105"/>
      <c r="AB188" s="105"/>
      <c r="AC188" s="105"/>
      <c r="AD188" s="64"/>
      <c r="AG188" s="45"/>
      <c r="AH188" s="64"/>
      <c r="AI188" s="45"/>
      <c r="AJ188" s="105"/>
      <c r="AK188" s="105"/>
      <c r="AL188" s="60"/>
      <c r="AM188" s="60"/>
      <c r="AN188" s="60"/>
      <c r="AO188" s="60"/>
      <c r="AP188" s="60"/>
      <c r="AQ188" s="60"/>
      <c r="AR188" s="60"/>
      <c r="AS188" s="60"/>
      <c r="AT188" s="45"/>
      <c r="AU188" s="45"/>
      <c r="AW188" s="45"/>
      <c r="AX188" s="46">
        <f t="shared" si="7"/>
        <v>0</v>
      </c>
      <c r="AY188" s="46">
        <f t="shared" si="8"/>
        <v>0</v>
      </c>
      <c r="AZ188" s="46">
        <f t="shared" si="9"/>
        <v>0</v>
      </c>
    </row>
    <row r="189" spans="3:52" ht="20.100000000000001" customHeight="1">
      <c r="C189" s="102"/>
      <c r="D189" s="3"/>
      <c r="E189" s="12"/>
      <c r="F189" s="3"/>
      <c r="G189" s="3"/>
      <c r="H189" s="3"/>
      <c r="J189" s="3"/>
      <c r="K189" s="3"/>
      <c r="L189" s="4"/>
      <c r="M189" s="3"/>
      <c r="O189" s="58"/>
      <c r="Q189" s="64"/>
      <c r="R189" s="45"/>
      <c r="S189" s="45"/>
      <c r="U189" s="64"/>
      <c r="V189" s="45"/>
      <c r="W189" s="64"/>
      <c r="X189" s="64"/>
      <c r="Y189" s="45"/>
      <c r="Z189" s="45"/>
      <c r="AA189" s="105"/>
      <c r="AB189" s="105"/>
      <c r="AC189" s="105"/>
      <c r="AD189" s="64"/>
      <c r="AG189" s="45"/>
      <c r="AH189" s="64"/>
      <c r="AI189" s="45"/>
      <c r="AJ189" s="105"/>
      <c r="AK189" s="105"/>
      <c r="AL189" s="60"/>
      <c r="AM189" s="60"/>
      <c r="AN189" s="60"/>
      <c r="AO189" s="60"/>
      <c r="AP189" s="60"/>
      <c r="AQ189" s="60"/>
      <c r="AR189" s="60"/>
      <c r="AS189" s="60"/>
      <c r="AT189" s="45"/>
      <c r="AU189" s="45"/>
      <c r="AW189" s="45"/>
      <c r="AX189" s="46">
        <f t="shared" si="7"/>
        <v>0</v>
      </c>
      <c r="AY189" s="46">
        <f t="shared" si="8"/>
        <v>0</v>
      </c>
      <c r="AZ189" s="46">
        <f t="shared" si="9"/>
        <v>0</v>
      </c>
    </row>
    <row r="190" spans="3:52" ht="20.100000000000001" customHeight="1">
      <c r="C190" s="102"/>
      <c r="D190" s="3"/>
      <c r="E190" s="12"/>
      <c r="F190" s="3"/>
      <c r="G190" s="3"/>
      <c r="H190" s="3"/>
      <c r="J190" s="3"/>
      <c r="K190" s="3"/>
      <c r="L190" s="4"/>
      <c r="M190" s="3"/>
      <c r="O190" s="58"/>
      <c r="Q190" s="64"/>
      <c r="R190" s="45"/>
      <c r="S190" s="45"/>
      <c r="U190" s="64"/>
      <c r="V190" s="45"/>
      <c r="W190" s="64"/>
      <c r="X190" s="64"/>
      <c r="Y190" s="45"/>
      <c r="Z190" s="45"/>
      <c r="AA190" s="105"/>
      <c r="AB190" s="105"/>
      <c r="AC190" s="105"/>
      <c r="AD190" s="64"/>
      <c r="AG190" s="45"/>
      <c r="AH190" s="64"/>
      <c r="AI190" s="45"/>
      <c r="AJ190" s="105"/>
      <c r="AK190" s="105"/>
      <c r="AL190" s="60"/>
      <c r="AM190" s="60"/>
      <c r="AN190" s="60"/>
      <c r="AO190" s="60"/>
      <c r="AP190" s="60"/>
      <c r="AQ190" s="60"/>
      <c r="AR190" s="60"/>
      <c r="AS190" s="60"/>
      <c r="AT190" s="45"/>
      <c r="AU190" s="45"/>
      <c r="AW190" s="45"/>
      <c r="AX190" s="46">
        <f t="shared" si="7"/>
        <v>0</v>
      </c>
      <c r="AY190" s="46">
        <f t="shared" si="8"/>
        <v>0</v>
      </c>
      <c r="AZ190" s="46">
        <f t="shared" si="9"/>
        <v>0</v>
      </c>
    </row>
    <row r="191" spans="3:52" ht="20.100000000000001" customHeight="1">
      <c r="C191" s="102"/>
      <c r="D191" s="3"/>
      <c r="E191" s="12"/>
      <c r="F191" s="3"/>
      <c r="G191" s="3"/>
      <c r="H191" s="3"/>
      <c r="J191" s="3"/>
      <c r="K191" s="3"/>
      <c r="L191" s="4"/>
      <c r="M191" s="3"/>
      <c r="O191" s="58"/>
      <c r="Q191" s="64"/>
      <c r="R191" s="45"/>
      <c r="S191" s="45"/>
      <c r="U191" s="64"/>
      <c r="V191" s="45"/>
      <c r="W191" s="64"/>
      <c r="X191" s="64"/>
      <c r="Y191" s="45"/>
      <c r="Z191" s="45"/>
      <c r="AA191" s="105"/>
      <c r="AB191" s="105"/>
      <c r="AC191" s="105"/>
      <c r="AD191" s="64"/>
      <c r="AG191" s="45"/>
      <c r="AH191" s="64"/>
      <c r="AI191" s="45"/>
      <c r="AJ191" s="105"/>
      <c r="AK191" s="105"/>
      <c r="AL191" s="60"/>
      <c r="AM191" s="60"/>
      <c r="AN191" s="60"/>
      <c r="AO191" s="60"/>
      <c r="AP191" s="60"/>
      <c r="AQ191" s="60"/>
      <c r="AR191" s="60"/>
      <c r="AS191" s="60"/>
      <c r="AT191" s="45"/>
      <c r="AU191" s="45"/>
      <c r="AW191" s="45"/>
      <c r="AX191" s="46">
        <f t="shared" si="7"/>
        <v>0</v>
      </c>
      <c r="AY191" s="46">
        <f t="shared" si="8"/>
        <v>0</v>
      </c>
      <c r="AZ191" s="46">
        <f t="shared" si="9"/>
        <v>0</v>
      </c>
    </row>
    <row r="192" spans="3:52" ht="20.100000000000001" customHeight="1">
      <c r="C192" s="102"/>
      <c r="D192" s="3"/>
      <c r="E192" s="67"/>
      <c r="F192" s="3"/>
      <c r="G192" s="3"/>
      <c r="H192" s="3"/>
      <c r="J192" s="3"/>
      <c r="K192" s="3"/>
      <c r="L192" s="4"/>
      <c r="M192" s="3"/>
      <c r="O192" s="58"/>
      <c r="Q192" s="64"/>
      <c r="R192" s="45"/>
      <c r="S192" s="45"/>
      <c r="U192" s="64"/>
      <c r="V192" s="45"/>
      <c r="W192" s="64"/>
      <c r="X192" s="64"/>
      <c r="Y192" s="45"/>
      <c r="Z192" s="45"/>
      <c r="AA192" s="105"/>
      <c r="AB192" s="105"/>
      <c r="AC192" s="105"/>
      <c r="AD192" s="64"/>
      <c r="AH192" s="64"/>
      <c r="AI192" s="45"/>
      <c r="AJ192" s="105"/>
      <c r="AK192" s="105"/>
      <c r="AL192" s="60"/>
      <c r="AM192" s="60"/>
      <c r="AN192" s="60"/>
      <c r="AO192" s="60"/>
      <c r="AP192" s="60"/>
      <c r="AQ192" s="60"/>
      <c r="AR192" s="60"/>
      <c r="AS192" s="60"/>
      <c r="AT192" s="45"/>
      <c r="AU192" s="45"/>
      <c r="AW192" s="45"/>
      <c r="AX192" s="46">
        <f t="shared" si="7"/>
        <v>0</v>
      </c>
      <c r="AY192" s="46">
        <f t="shared" si="8"/>
        <v>0</v>
      </c>
      <c r="AZ192" s="46">
        <f t="shared" si="9"/>
        <v>0</v>
      </c>
    </row>
    <row r="193" spans="2:52" ht="20.100000000000001" customHeight="1">
      <c r="C193" s="102"/>
      <c r="D193" s="3"/>
      <c r="E193" s="12"/>
      <c r="F193" s="3"/>
      <c r="G193" s="3"/>
      <c r="H193" s="3"/>
      <c r="J193" s="3"/>
      <c r="K193" s="3"/>
      <c r="L193" s="4"/>
      <c r="M193" s="3"/>
      <c r="O193" s="58"/>
      <c r="Q193" s="64"/>
      <c r="R193" s="45"/>
      <c r="S193" s="45"/>
      <c r="U193" s="64"/>
      <c r="V193" s="45"/>
      <c r="W193" s="64"/>
      <c r="X193" s="64"/>
      <c r="Y193" s="45"/>
      <c r="Z193" s="45"/>
      <c r="AA193" s="105"/>
      <c r="AB193" s="105"/>
      <c r="AC193" s="105"/>
      <c r="AD193" s="64"/>
      <c r="AG193" s="45"/>
      <c r="AH193" s="64"/>
      <c r="AI193" s="45"/>
      <c r="AJ193" s="105"/>
      <c r="AK193" s="105"/>
      <c r="AL193" s="60"/>
      <c r="AM193" s="60"/>
      <c r="AN193" s="60"/>
      <c r="AO193" s="60"/>
      <c r="AP193" s="60"/>
      <c r="AQ193" s="60"/>
      <c r="AR193" s="60"/>
      <c r="AS193" s="60"/>
      <c r="AT193" s="45"/>
      <c r="AU193" s="45"/>
      <c r="AW193" s="45"/>
      <c r="AX193" s="46">
        <f t="shared" si="7"/>
        <v>0</v>
      </c>
      <c r="AY193" s="46">
        <f t="shared" si="8"/>
        <v>0</v>
      </c>
      <c r="AZ193" s="46">
        <f t="shared" si="9"/>
        <v>0</v>
      </c>
    </row>
    <row r="194" spans="2:52" ht="20.100000000000001" customHeight="1">
      <c r="C194" s="102"/>
      <c r="D194" s="3"/>
      <c r="E194" s="12"/>
      <c r="F194" s="3"/>
      <c r="G194" s="3"/>
      <c r="H194" s="3"/>
      <c r="J194" s="3"/>
      <c r="K194" s="3"/>
      <c r="L194" s="4"/>
      <c r="M194" s="3"/>
      <c r="O194" s="58"/>
      <c r="Q194" s="64"/>
      <c r="R194" s="45"/>
      <c r="S194" s="45"/>
      <c r="U194" s="64"/>
      <c r="V194" s="45"/>
      <c r="W194" s="64"/>
      <c r="X194" s="64"/>
      <c r="Y194" s="45"/>
      <c r="Z194" s="45"/>
      <c r="AA194" s="105"/>
      <c r="AB194" s="105"/>
      <c r="AC194" s="105"/>
      <c r="AD194" s="64"/>
      <c r="AH194" s="64"/>
      <c r="AI194" s="45"/>
      <c r="AJ194" s="105"/>
      <c r="AK194" s="105"/>
      <c r="AL194" s="60"/>
      <c r="AM194" s="60"/>
      <c r="AN194" s="60"/>
      <c r="AO194" s="60"/>
      <c r="AP194" s="60"/>
      <c r="AQ194" s="60"/>
      <c r="AR194" s="60"/>
      <c r="AS194" s="60"/>
      <c r="AT194" s="45"/>
      <c r="AU194" s="45"/>
      <c r="AW194" s="45"/>
      <c r="AX194" s="46">
        <f t="shared" si="7"/>
        <v>0</v>
      </c>
      <c r="AY194" s="46">
        <f t="shared" si="8"/>
        <v>0</v>
      </c>
      <c r="AZ194" s="46">
        <f t="shared" si="9"/>
        <v>0</v>
      </c>
    </row>
    <row r="195" spans="2:52" ht="20.100000000000001" customHeight="1">
      <c r="C195" s="102"/>
      <c r="D195" s="3"/>
      <c r="E195" s="67"/>
      <c r="F195" s="3"/>
      <c r="G195" s="3"/>
      <c r="H195" s="3"/>
      <c r="J195" s="3"/>
      <c r="K195" s="3"/>
      <c r="L195" s="4"/>
      <c r="M195" s="3"/>
      <c r="O195" s="58"/>
      <c r="Q195" s="64"/>
      <c r="R195" s="45"/>
      <c r="S195" s="45"/>
      <c r="U195" s="64"/>
      <c r="V195" s="45"/>
      <c r="W195" s="64"/>
      <c r="X195" s="64"/>
      <c r="Y195" s="45"/>
      <c r="Z195" s="45"/>
      <c r="AA195" s="105"/>
      <c r="AB195" s="105"/>
      <c r="AC195" s="105"/>
      <c r="AD195" s="64"/>
      <c r="AG195" s="45"/>
      <c r="AH195" s="64"/>
      <c r="AI195" s="45"/>
      <c r="AJ195" s="105"/>
      <c r="AK195" s="105"/>
      <c r="AL195" s="60"/>
      <c r="AM195" s="60"/>
      <c r="AN195" s="60"/>
      <c r="AO195" s="60"/>
      <c r="AP195" s="60"/>
      <c r="AQ195" s="60"/>
      <c r="AR195" s="60"/>
      <c r="AS195" s="60"/>
      <c r="AT195" s="45"/>
      <c r="AU195" s="45"/>
      <c r="AW195" s="45"/>
      <c r="AX195" s="46">
        <f t="shared" si="7"/>
        <v>0</v>
      </c>
      <c r="AY195" s="46">
        <f t="shared" si="8"/>
        <v>0</v>
      </c>
      <c r="AZ195" s="46">
        <f t="shared" si="9"/>
        <v>0</v>
      </c>
    </row>
    <row r="196" spans="2:52" ht="20.100000000000001" customHeight="1">
      <c r="C196" s="102"/>
      <c r="D196" s="3"/>
      <c r="E196" s="67"/>
      <c r="F196" s="3"/>
      <c r="G196" s="3"/>
      <c r="H196" s="3"/>
      <c r="J196" s="3"/>
      <c r="K196" s="3"/>
      <c r="L196" s="4"/>
      <c r="M196" s="3"/>
      <c r="O196" s="58"/>
      <c r="Q196" s="64"/>
      <c r="R196" s="45"/>
      <c r="S196" s="45"/>
      <c r="U196" s="64"/>
      <c r="V196" s="45"/>
      <c r="W196" s="64"/>
      <c r="X196" s="64"/>
      <c r="Y196" s="45"/>
      <c r="Z196" s="45"/>
      <c r="AA196" s="105"/>
      <c r="AB196" s="105"/>
      <c r="AC196" s="105"/>
      <c r="AD196" s="64"/>
      <c r="AG196" s="45"/>
      <c r="AH196" s="64"/>
      <c r="AI196" s="45"/>
      <c r="AJ196" s="105"/>
      <c r="AK196" s="105"/>
      <c r="AL196" s="60"/>
      <c r="AM196" s="60"/>
      <c r="AN196" s="60"/>
      <c r="AO196" s="60"/>
      <c r="AP196" s="60"/>
      <c r="AQ196" s="60"/>
      <c r="AR196" s="60"/>
      <c r="AS196" s="60"/>
      <c r="AT196" s="45"/>
      <c r="AU196" s="45"/>
      <c r="AW196" s="45"/>
      <c r="AX196" s="46">
        <f t="shared" si="7"/>
        <v>0</v>
      </c>
      <c r="AY196" s="46">
        <f t="shared" si="8"/>
        <v>0</v>
      </c>
      <c r="AZ196" s="46">
        <f t="shared" si="9"/>
        <v>0</v>
      </c>
    </row>
    <row r="197" spans="2:52" ht="20.100000000000001" customHeight="1">
      <c r="C197" s="102"/>
      <c r="D197" s="3"/>
      <c r="E197" s="67"/>
      <c r="F197" s="3"/>
      <c r="G197" s="3"/>
      <c r="H197" s="3"/>
      <c r="J197" s="3"/>
      <c r="K197" s="3"/>
      <c r="L197" s="4"/>
      <c r="M197" s="3"/>
      <c r="O197" s="58"/>
      <c r="Q197" s="64"/>
      <c r="R197" s="45"/>
      <c r="S197" s="45"/>
      <c r="U197" s="64"/>
      <c r="V197" s="45"/>
      <c r="W197" s="64"/>
      <c r="X197" s="64"/>
      <c r="Y197" s="45"/>
      <c r="Z197" s="45"/>
      <c r="AA197" s="105"/>
      <c r="AB197" s="105"/>
      <c r="AC197" s="105"/>
      <c r="AD197" s="64"/>
      <c r="AG197" s="45"/>
      <c r="AH197" s="64"/>
      <c r="AI197" s="45"/>
      <c r="AJ197" s="105"/>
      <c r="AK197" s="105"/>
      <c r="AL197" s="60"/>
      <c r="AM197" s="60"/>
      <c r="AN197" s="60"/>
      <c r="AO197" s="60"/>
      <c r="AP197" s="60"/>
      <c r="AQ197" s="60"/>
      <c r="AR197" s="60"/>
      <c r="AS197" s="60"/>
      <c r="AT197" s="45"/>
      <c r="AU197" s="45"/>
      <c r="AW197" s="45"/>
      <c r="AX197" s="46">
        <f t="shared" si="7"/>
        <v>0</v>
      </c>
      <c r="AY197" s="46">
        <f t="shared" si="8"/>
        <v>0</v>
      </c>
      <c r="AZ197" s="46">
        <f t="shared" si="9"/>
        <v>0</v>
      </c>
    </row>
    <row r="198" spans="2:52" ht="20.100000000000001" customHeight="1">
      <c r="C198" s="102"/>
      <c r="D198" s="3"/>
      <c r="E198" s="12"/>
      <c r="F198" s="3"/>
      <c r="G198" s="3"/>
      <c r="H198" s="3"/>
      <c r="J198" s="3"/>
      <c r="K198" s="3"/>
      <c r="L198" s="4"/>
      <c r="M198" s="3"/>
      <c r="O198" s="58"/>
      <c r="Q198" s="64"/>
      <c r="R198" s="45"/>
      <c r="S198" s="45"/>
      <c r="U198" s="64"/>
      <c r="V198" s="45"/>
      <c r="W198" s="64"/>
      <c r="X198" s="64"/>
      <c r="Y198" s="45"/>
      <c r="Z198" s="45"/>
      <c r="AA198" s="105"/>
      <c r="AB198" s="105"/>
      <c r="AC198" s="105"/>
      <c r="AD198" s="64"/>
      <c r="AG198" s="45"/>
      <c r="AH198" s="64"/>
      <c r="AI198" s="45"/>
      <c r="AJ198" s="105"/>
      <c r="AK198" s="105"/>
      <c r="AL198" s="60"/>
      <c r="AM198" s="60"/>
      <c r="AN198" s="60"/>
      <c r="AO198" s="60"/>
      <c r="AP198" s="60"/>
      <c r="AQ198" s="60"/>
      <c r="AR198" s="60"/>
      <c r="AS198" s="60"/>
      <c r="AT198" s="45"/>
      <c r="AU198" s="45"/>
      <c r="AW198" s="45"/>
      <c r="AX198" s="46">
        <f t="shared" si="7"/>
        <v>0</v>
      </c>
      <c r="AY198" s="46">
        <f t="shared" si="8"/>
        <v>0</v>
      </c>
      <c r="AZ198" s="46">
        <f t="shared" si="9"/>
        <v>0</v>
      </c>
    </row>
    <row r="199" spans="2:52" ht="20.100000000000001" customHeight="1">
      <c r="C199" s="102"/>
      <c r="D199" s="3"/>
      <c r="E199" s="12"/>
      <c r="F199" s="3"/>
      <c r="G199" s="3"/>
      <c r="H199" s="3"/>
      <c r="J199" s="3"/>
      <c r="K199" s="3"/>
      <c r="L199" s="4"/>
      <c r="M199" s="3"/>
      <c r="O199" s="58"/>
      <c r="Q199" s="64"/>
      <c r="R199" s="45"/>
      <c r="S199" s="45"/>
      <c r="U199" s="64"/>
      <c r="V199" s="45"/>
      <c r="W199" s="64"/>
      <c r="X199" s="64"/>
      <c r="Y199" s="45"/>
      <c r="Z199" s="45"/>
      <c r="AA199" s="105"/>
      <c r="AB199" s="105"/>
      <c r="AC199" s="105"/>
      <c r="AD199" s="64"/>
      <c r="AG199" s="45"/>
      <c r="AH199" s="64"/>
      <c r="AI199" s="45"/>
      <c r="AJ199" s="105"/>
      <c r="AK199" s="105"/>
      <c r="AL199" s="60"/>
      <c r="AM199" s="60"/>
      <c r="AN199" s="60"/>
      <c r="AO199" s="60"/>
      <c r="AP199" s="60"/>
      <c r="AQ199" s="60"/>
      <c r="AR199" s="60"/>
      <c r="AS199" s="60"/>
      <c r="AT199" s="45"/>
      <c r="AU199" s="45"/>
      <c r="AW199" s="45"/>
      <c r="AX199" s="46">
        <f t="shared" si="7"/>
        <v>0</v>
      </c>
      <c r="AY199" s="46">
        <f t="shared" si="8"/>
        <v>0</v>
      </c>
      <c r="AZ199" s="46">
        <f t="shared" si="9"/>
        <v>0</v>
      </c>
    </row>
    <row r="200" spans="2:52" ht="20.100000000000001" customHeight="1">
      <c r="C200" s="102"/>
      <c r="D200" s="3"/>
      <c r="E200" s="12"/>
      <c r="F200" s="3"/>
      <c r="G200" s="3"/>
      <c r="H200" s="3"/>
      <c r="J200" s="3"/>
      <c r="K200" s="3"/>
      <c r="L200" s="4"/>
      <c r="M200" s="3"/>
      <c r="O200" s="58"/>
      <c r="Q200" s="64"/>
      <c r="R200" s="45"/>
      <c r="S200" s="45"/>
      <c r="U200" s="64"/>
      <c r="V200" s="45"/>
      <c r="W200" s="64"/>
      <c r="X200" s="64"/>
      <c r="Y200" s="45"/>
      <c r="Z200" s="45"/>
      <c r="AA200" s="105"/>
      <c r="AB200" s="105"/>
      <c r="AC200" s="105"/>
      <c r="AD200" s="64"/>
      <c r="AG200" s="45"/>
      <c r="AH200" s="64"/>
      <c r="AI200" s="45"/>
      <c r="AJ200" s="105"/>
      <c r="AK200" s="105"/>
      <c r="AL200" s="60"/>
      <c r="AM200" s="60"/>
      <c r="AN200" s="60"/>
      <c r="AO200" s="60"/>
      <c r="AP200" s="60"/>
      <c r="AQ200" s="60"/>
      <c r="AR200" s="60"/>
      <c r="AS200" s="60"/>
      <c r="AT200" s="45"/>
      <c r="AU200" s="45"/>
      <c r="AW200" s="45"/>
      <c r="AX200" s="46">
        <f t="shared" si="7"/>
        <v>0</v>
      </c>
      <c r="AY200" s="46">
        <f t="shared" si="8"/>
        <v>0</v>
      </c>
      <c r="AZ200" s="46">
        <f t="shared" si="9"/>
        <v>0</v>
      </c>
    </row>
    <row r="201" spans="2:52" ht="20.100000000000001" customHeight="1">
      <c r="C201" s="102"/>
      <c r="D201" s="3"/>
      <c r="E201" s="12"/>
      <c r="F201" s="3"/>
      <c r="G201" s="3"/>
      <c r="H201" s="3"/>
      <c r="J201" s="3"/>
      <c r="K201" s="3"/>
      <c r="L201" s="4"/>
      <c r="M201" s="3"/>
      <c r="O201" s="58"/>
      <c r="Q201" s="64"/>
      <c r="R201" s="45"/>
      <c r="S201" s="45"/>
      <c r="U201" s="64"/>
      <c r="V201" s="45"/>
      <c r="W201" s="64"/>
      <c r="X201" s="64"/>
      <c r="Y201" s="45"/>
      <c r="Z201" s="45"/>
      <c r="AA201" s="105"/>
      <c r="AB201" s="105"/>
      <c r="AC201" s="105"/>
      <c r="AD201" s="64"/>
      <c r="AG201" s="45"/>
      <c r="AH201" s="64"/>
      <c r="AI201" s="45"/>
      <c r="AJ201" s="105"/>
      <c r="AK201" s="105"/>
      <c r="AL201" s="60"/>
      <c r="AM201" s="60"/>
      <c r="AN201" s="60"/>
      <c r="AO201" s="60"/>
      <c r="AP201" s="60"/>
      <c r="AQ201" s="60"/>
      <c r="AR201" s="60"/>
      <c r="AS201" s="60"/>
      <c r="AT201" s="45"/>
      <c r="AU201" s="45"/>
      <c r="AW201" s="45"/>
      <c r="AX201" s="46">
        <f t="shared" si="7"/>
        <v>0</v>
      </c>
      <c r="AY201" s="46">
        <f t="shared" si="8"/>
        <v>0</v>
      </c>
      <c r="AZ201" s="46">
        <f t="shared" si="9"/>
        <v>0</v>
      </c>
    </row>
    <row r="202" spans="2:52" ht="20.100000000000001" customHeight="1">
      <c r="C202" s="102"/>
      <c r="D202" s="3"/>
      <c r="E202" s="12"/>
      <c r="F202" s="3"/>
      <c r="G202" s="3"/>
      <c r="H202" s="3"/>
      <c r="J202" s="3"/>
      <c r="K202" s="3"/>
      <c r="L202" s="4"/>
      <c r="M202" s="3"/>
      <c r="O202" s="58"/>
      <c r="Q202" s="64"/>
      <c r="R202" s="45"/>
      <c r="S202" s="45"/>
      <c r="U202" s="64"/>
      <c r="V202" s="45"/>
      <c r="W202" s="64"/>
      <c r="X202" s="64"/>
      <c r="Y202" s="45"/>
      <c r="Z202" s="45"/>
      <c r="AA202" s="105"/>
      <c r="AB202" s="105"/>
      <c r="AC202" s="105"/>
      <c r="AD202" s="64"/>
      <c r="AG202" s="45"/>
      <c r="AH202" s="64"/>
      <c r="AI202" s="45"/>
      <c r="AJ202" s="105"/>
      <c r="AK202" s="105"/>
      <c r="AL202" s="60"/>
      <c r="AM202" s="60"/>
      <c r="AN202" s="60"/>
      <c r="AO202" s="60"/>
      <c r="AP202" s="60"/>
      <c r="AQ202" s="60"/>
      <c r="AR202" s="60"/>
      <c r="AS202" s="60"/>
      <c r="AT202" s="45"/>
      <c r="AU202" s="45"/>
      <c r="AW202" s="45"/>
      <c r="AX202" s="46">
        <f t="shared" si="7"/>
        <v>0</v>
      </c>
      <c r="AY202" s="46">
        <f t="shared" si="8"/>
        <v>0</v>
      </c>
      <c r="AZ202" s="46">
        <f t="shared" si="9"/>
        <v>0</v>
      </c>
    </row>
    <row r="203" spans="2:52" ht="20.100000000000001" customHeight="1">
      <c r="C203" s="102"/>
      <c r="D203" s="3"/>
      <c r="E203" s="12"/>
      <c r="F203" s="3"/>
      <c r="G203" s="3"/>
      <c r="H203" s="3"/>
      <c r="J203" s="3"/>
      <c r="K203" s="3"/>
      <c r="L203" s="4"/>
      <c r="M203" s="3"/>
      <c r="O203" s="58"/>
      <c r="Q203" s="64"/>
      <c r="R203" s="45"/>
      <c r="S203" s="45"/>
      <c r="U203" s="64"/>
      <c r="V203" s="45"/>
      <c r="W203" s="64"/>
      <c r="X203" s="64"/>
      <c r="Y203" s="45"/>
      <c r="Z203" s="45"/>
      <c r="AA203" s="105"/>
      <c r="AB203" s="105"/>
      <c r="AC203" s="105"/>
      <c r="AD203" s="64"/>
      <c r="AG203" s="45"/>
      <c r="AH203" s="64"/>
      <c r="AI203" s="45"/>
      <c r="AJ203" s="105"/>
      <c r="AK203" s="105"/>
      <c r="AL203" s="60"/>
      <c r="AM203" s="60"/>
      <c r="AN203" s="60"/>
      <c r="AO203" s="60"/>
      <c r="AP203" s="60"/>
      <c r="AQ203" s="60"/>
      <c r="AR203" s="60"/>
      <c r="AS203" s="60"/>
      <c r="AT203" s="45"/>
      <c r="AU203" s="45"/>
      <c r="AW203" s="45"/>
      <c r="AX203" s="46">
        <f t="shared" ref="AX203:AX266" si="10">IFERROR(SUM(Q203:AS203)-SUM(AT203:AU203)+AV203,"-")</f>
        <v>0</v>
      </c>
      <c r="AY203" s="46">
        <f t="shared" ref="AY203:AY266" si="11">IFERROR(SUM(Q203:AS203)-SUM(AT203:AT203),"-")</f>
        <v>0</v>
      </c>
      <c r="AZ203" s="46">
        <f t="shared" ref="AZ203:AZ266" si="12">SUM(Q203:AS203)</f>
        <v>0</v>
      </c>
    </row>
    <row r="204" spans="2:52" ht="20.100000000000001" customHeight="1">
      <c r="C204" s="102"/>
      <c r="D204" s="3"/>
      <c r="E204" s="12"/>
      <c r="F204" s="3"/>
      <c r="G204" s="3"/>
      <c r="H204" s="3"/>
      <c r="J204" s="3"/>
      <c r="K204" s="3"/>
      <c r="L204" s="4"/>
      <c r="M204" s="3"/>
      <c r="O204" s="58"/>
      <c r="Q204" s="64"/>
      <c r="R204" s="45"/>
      <c r="S204" s="45"/>
      <c r="U204" s="64"/>
      <c r="V204" s="45"/>
      <c r="W204" s="64"/>
      <c r="X204" s="64"/>
      <c r="Y204" s="45"/>
      <c r="Z204" s="45"/>
      <c r="AA204" s="105"/>
      <c r="AB204" s="105"/>
      <c r="AC204" s="105"/>
      <c r="AD204" s="64"/>
      <c r="AG204" s="45"/>
      <c r="AH204" s="64"/>
      <c r="AI204" s="45"/>
      <c r="AJ204" s="105"/>
      <c r="AK204" s="105"/>
      <c r="AL204" s="60"/>
      <c r="AM204" s="60"/>
      <c r="AN204" s="60"/>
      <c r="AO204" s="60"/>
      <c r="AP204" s="60"/>
      <c r="AQ204" s="60"/>
      <c r="AR204" s="60"/>
      <c r="AS204" s="60"/>
      <c r="AT204" s="45"/>
      <c r="AU204" s="45"/>
      <c r="AW204" s="45"/>
      <c r="AX204" s="46">
        <f t="shared" si="10"/>
        <v>0</v>
      </c>
      <c r="AY204" s="46">
        <f t="shared" si="11"/>
        <v>0</v>
      </c>
      <c r="AZ204" s="46">
        <f t="shared" si="12"/>
        <v>0</v>
      </c>
    </row>
    <row r="205" spans="2:52" ht="20.100000000000001" customHeight="1">
      <c r="C205" s="102"/>
      <c r="D205" s="3"/>
      <c r="E205" s="12"/>
      <c r="F205" s="3"/>
      <c r="G205" s="3"/>
      <c r="H205" s="3"/>
      <c r="J205" s="3"/>
      <c r="K205" s="3"/>
      <c r="L205" s="4"/>
      <c r="M205" s="3"/>
      <c r="O205" s="58"/>
      <c r="Q205" s="64"/>
      <c r="R205" s="45"/>
      <c r="S205" s="45"/>
      <c r="U205" s="64"/>
      <c r="V205" s="45"/>
      <c r="W205" s="64"/>
      <c r="X205" s="64"/>
      <c r="Y205" s="45"/>
      <c r="Z205" s="45"/>
      <c r="AA205" s="105"/>
      <c r="AB205" s="105"/>
      <c r="AC205" s="105"/>
      <c r="AD205" s="64"/>
      <c r="AG205" s="45"/>
      <c r="AH205" s="64"/>
      <c r="AI205" s="45"/>
      <c r="AJ205" s="105"/>
      <c r="AK205" s="105"/>
      <c r="AL205" s="60"/>
      <c r="AM205" s="60"/>
      <c r="AN205" s="60"/>
      <c r="AO205" s="60"/>
      <c r="AP205" s="60"/>
      <c r="AQ205" s="60"/>
      <c r="AR205" s="60"/>
      <c r="AS205" s="60"/>
      <c r="AT205" s="45"/>
      <c r="AU205" s="45"/>
      <c r="AW205" s="45"/>
      <c r="AX205" s="46">
        <f t="shared" si="10"/>
        <v>0</v>
      </c>
      <c r="AY205" s="46">
        <f t="shared" si="11"/>
        <v>0</v>
      </c>
      <c r="AZ205" s="46">
        <f t="shared" si="12"/>
        <v>0</v>
      </c>
    </row>
    <row r="206" spans="2:52" ht="20.100000000000001" customHeight="1">
      <c r="C206" s="102"/>
      <c r="D206" s="3"/>
      <c r="E206" s="12"/>
      <c r="F206" s="3"/>
      <c r="G206" s="3"/>
      <c r="H206" s="3"/>
      <c r="J206" s="3"/>
      <c r="K206" s="3"/>
      <c r="L206" s="4"/>
      <c r="M206" s="3"/>
      <c r="O206" s="58"/>
      <c r="Q206" s="64"/>
      <c r="R206" s="45"/>
      <c r="S206" s="45"/>
      <c r="U206" s="64"/>
      <c r="V206" s="45"/>
      <c r="W206" s="64"/>
      <c r="X206" s="64"/>
      <c r="Y206" s="45"/>
      <c r="Z206" s="45"/>
      <c r="AA206" s="105"/>
      <c r="AB206" s="105"/>
      <c r="AC206" s="105"/>
      <c r="AD206" s="64"/>
      <c r="AG206" s="45"/>
      <c r="AH206" s="64"/>
      <c r="AI206" s="45"/>
      <c r="AJ206" s="105"/>
      <c r="AK206" s="105"/>
      <c r="AL206" s="60"/>
      <c r="AM206" s="60"/>
      <c r="AN206" s="60"/>
      <c r="AO206" s="60"/>
      <c r="AP206" s="60"/>
      <c r="AQ206" s="60"/>
      <c r="AR206" s="60"/>
      <c r="AS206" s="60"/>
      <c r="AT206" s="45"/>
      <c r="AU206" s="45"/>
      <c r="AW206" s="45"/>
      <c r="AX206" s="46">
        <f t="shared" si="10"/>
        <v>0</v>
      </c>
      <c r="AY206" s="46">
        <f t="shared" si="11"/>
        <v>0</v>
      </c>
      <c r="AZ206" s="46">
        <f t="shared" si="12"/>
        <v>0</v>
      </c>
    </row>
    <row r="207" spans="2:52" ht="20.100000000000001" customHeight="1">
      <c r="C207" s="102"/>
      <c r="D207" s="3"/>
      <c r="E207" s="12"/>
      <c r="F207" s="3"/>
      <c r="G207" s="3"/>
      <c r="H207" s="3"/>
      <c r="J207" s="3"/>
      <c r="K207" s="3"/>
      <c r="L207" s="4"/>
      <c r="M207" s="3"/>
      <c r="O207" s="58"/>
      <c r="Q207" s="64"/>
      <c r="R207" s="45"/>
      <c r="S207" s="45"/>
      <c r="U207" s="64"/>
      <c r="V207" s="45"/>
      <c r="W207" s="64"/>
      <c r="X207" s="64"/>
      <c r="Y207" s="45"/>
      <c r="Z207" s="45"/>
      <c r="AA207" s="105"/>
      <c r="AB207" s="105"/>
      <c r="AC207" s="105"/>
      <c r="AD207" s="64"/>
      <c r="AH207" s="64"/>
      <c r="AI207" s="45"/>
      <c r="AJ207" s="105"/>
      <c r="AK207" s="105"/>
      <c r="AL207" s="60"/>
      <c r="AM207" s="60"/>
      <c r="AN207" s="60"/>
      <c r="AO207" s="60"/>
      <c r="AP207" s="60"/>
      <c r="AQ207" s="60"/>
      <c r="AR207" s="60"/>
      <c r="AS207" s="60"/>
      <c r="AT207" s="45"/>
      <c r="AU207" s="45"/>
      <c r="AW207" s="45"/>
      <c r="AX207" s="46">
        <f t="shared" si="10"/>
        <v>0</v>
      </c>
      <c r="AY207" s="46">
        <f t="shared" si="11"/>
        <v>0</v>
      </c>
      <c r="AZ207" s="46">
        <f t="shared" si="12"/>
        <v>0</v>
      </c>
    </row>
    <row r="208" spans="2:52" ht="20.100000000000001" customHeight="1">
      <c r="B208" s="61"/>
      <c r="C208" s="103"/>
      <c r="D208" s="3"/>
      <c r="E208" s="12"/>
      <c r="F208" s="3"/>
      <c r="G208" s="3"/>
      <c r="H208" s="3"/>
      <c r="J208" s="3"/>
      <c r="K208" s="3"/>
      <c r="L208" s="4"/>
      <c r="M208" s="3"/>
      <c r="O208" s="58"/>
      <c r="Q208" s="64"/>
      <c r="R208" s="45"/>
      <c r="S208" s="45"/>
      <c r="U208" s="64"/>
      <c r="V208" s="45"/>
      <c r="W208" s="64"/>
      <c r="X208" s="64"/>
      <c r="Y208" s="45"/>
      <c r="Z208" s="45"/>
      <c r="AA208" s="105"/>
      <c r="AB208" s="105"/>
      <c r="AC208" s="105"/>
      <c r="AD208" s="64"/>
      <c r="AE208" s="62"/>
      <c r="AG208" s="45"/>
      <c r="AH208" s="64"/>
      <c r="AI208" s="45"/>
      <c r="AJ208" s="105"/>
      <c r="AK208" s="105"/>
      <c r="AL208" s="60"/>
      <c r="AM208" s="60"/>
      <c r="AN208" s="60"/>
      <c r="AO208" s="60"/>
      <c r="AP208" s="60"/>
      <c r="AQ208" s="60"/>
      <c r="AR208" s="60"/>
      <c r="AS208" s="60"/>
      <c r="AT208" s="45"/>
      <c r="AU208" s="45"/>
      <c r="AW208" s="45"/>
      <c r="AX208" s="46">
        <f t="shared" si="10"/>
        <v>0</v>
      </c>
      <c r="AY208" s="46">
        <f t="shared" si="11"/>
        <v>0</v>
      </c>
      <c r="AZ208" s="46">
        <f t="shared" si="12"/>
        <v>0</v>
      </c>
    </row>
    <row r="209" spans="3:52" ht="20.100000000000001" customHeight="1">
      <c r="C209" s="102"/>
      <c r="D209" s="3"/>
      <c r="E209" s="12"/>
      <c r="F209" s="3"/>
      <c r="G209" s="3"/>
      <c r="H209" s="3"/>
      <c r="J209" s="3"/>
      <c r="K209" s="3"/>
      <c r="L209" s="4"/>
      <c r="M209" s="3"/>
      <c r="O209" s="58"/>
      <c r="Q209" s="64"/>
      <c r="R209" s="45"/>
      <c r="S209" s="45"/>
      <c r="U209" s="64"/>
      <c r="V209" s="45"/>
      <c r="W209" s="64"/>
      <c r="X209" s="64"/>
      <c r="Y209" s="45"/>
      <c r="Z209" s="45"/>
      <c r="AA209" s="105"/>
      <c r="AB209" s="105"/>
      <c r="AC209" s="105"/>
      <c r="AD209" s="64"/>
      <c r="AH209" s="64"/>
      <c r="AI209" s="45"/>
      <c r="AJ209" s="105"/>
      <c r="AK209" s="105"/>
      <c r="AL209" s="60"/>
      <c r="AM209" s="60"/>
      <c r="AN209" s="60"/>
      <c r="AO209" s="60"/>
      <c r="AP209" s="60"/>
      <c r="AQ209" s="60"/>
      <c r="AR209" s="60"/>
      <c r="AS209" s="60"/>
      <c r="AT209" s="45"/>
      <c r="AU209" s="45"/>
      <c r="AW209" s="45"/>
      <c r="AX209" s="46">
        <f t="shared" si="10"/>
        <v>0</v>
      </c>
      <c r="AY209" s="46">
        <f t="shared" si="11"/>
        <v>0</v>
      </c>
      <c r="AZ209" s="46">
        <f t="shared" si="12"/>
        <v>0</v>
      </c>
    </row>
    <row r="210" spans="3:52" ht="20.100000000000001" customHeight="1">
      <c r="C210" s="102"/>
      <c r="D210" s="3"/>
      <c r="E210" s="12"/>
      <c r="F210" s="3"/>
      <c r="G210" s="3"/>
      <c r="H210" s="3"/>
      <c r="J210" s="3"/>
      <c r="K210" s="3"/>
      <c r="L210" s="4"/>
      <c r="M210" s="3"/>
      <c r="O210" s="58"/>
      <c r="Q210" s="64"/>
      <c r="R210" s="45"/>
      <c r="S210" s="45"/>
      <c r="U210" s="64"/>
      <c r="V210" s="45"/>
      <c r="W210" s="64"/>
      <c r="X210" s="64"/>
      <c r="Y210" s="45"/>
      <c r="Z210" s="45"/>
      <c r="AA210" s="105"/>
      <c r="AB210" s="105"/>
      <c r="AC210" s="105"/>
      <c r="AD210" s="64"/>
      <c r="AG210" s="45"/>
      <c r="AH210" s="64"/>
      <c r="AI210" s="45"/>
      <c r="AJ210" s="105"/>
      <c r="AK210" s="105"/>
      <c r="AL210" s="60"/>
      <c r="AM210" s="60"/>
      <c r="AN210" s="60"/>
      <c r="AO210" s="60"/>
      <c r="AP210" s="60"/>
      <c r="AQ210" s="60"/>
      <c r="AR210" s="60"/>
      <c r="AS210" s="60"/>
      <c r="AT210" s="45"/>
      <c r="AU210" s="45"/>
      <c r="AW210" s="45"/>
      <c r="AX210" s="46">
        <f t="shared" si="10"/>
        <v>0</v>
      </c>
      <c r="AY210" s="46">
        <f t="shared" si="11"/>
        <v>0</v>
      </c>
      <c r="AZ210" s="46">
        <f t="shared" si="12"/>
        <v>0</v>
      </c>
    </row>
    <row r="211" spans="3:52" ht="20.100000000000001" customHeight="1">
      <c r="C211" s="102"/>
      <c r="D211" s="3"/>
      <c r="E211" s="12"/>
      <c r="F211" s="3"/>
      <c r="G211" s="3"/>
      <c r="H211" s="3"/>
      <c r="J211" s="3"/>
      <c r="K211" s="3"/>
      <c r="L211" s="4"/>
      <c r="M211" s="3"/>
      <c r="O211" s="58"/>
      <c r="Q211" s="64"/>
      <c r="R211" s="45"/>
      <c r="S211" s="45"/>
      <c r="U211" s="64"/>
      <c r="V211" s="45"/>
      <c r="W211" s="64"/>
      <c r="X211" s="64"/>
      <c r="Y211" s="45"/>
      <c r="Z211" s="45"/>
      <c r="AA211" s="105"/>
      <c r="AB211" s="105"/>
      <c r="AC211" s="105"/>
      <c r="AD211" s="64"/>
      <c r="AG211" s="45"/>
      <c r="AH211" s="64"/>
      <c r="AI211" s="45"/>
      <c r="AJ211" s="105"/>
      <c r="AK211" s="105"/>
      <c r="AL211" s="60"/>
      <c r="AM211" s="60"/>
      <c r="AN211" s="60"/>
      <c r="AO211" s="60"/>
      <c r="AP211" s="60"/>
      <c r="AQ211" s="60"/>
      <c r="AR211" s="60"/>
      <c r="AS211" s="60"/>
      <c r="AT211" s="45"/>
      <c r="AU211" s="45"/>
      <c r="AW211" s="45"/>
      <c r="AX211" s="46">
        <f t="shared" si="10"/>
        <v>0</v>
      </c>
      <c r="AY211" s="46">
        <f t="shared" si="11"/>
        <v>0</v>
      </c>
      <c r="AZ211" s="46">
        <f t="shared" si="12"/>
        <v>0</v>
      </c>
    </row>
    <row r="212" spans="3:52" ht="20.100000000000001" customHeight="1">
      <c r="C212" s="102"/>
      <c r="D212" s="3"/>
      <c r="E212" s="12"/>
      <c r="F212" s="3"/>
      <c r="G212" s="3"/>
      <c r="H212" s="3"/>
      <c r="J212" s="3"/>
      <c r="K212" s="3"/>
      <c r="L212" s="4"/>
      <c r="M212" s="3"/>
      <c r="O212" s="58"/>
      <c r="Q212" s="64"/>
      <c r="R212" s="45"/>
      <c r="S212" s="45"/>
      <c r="U212" s="64"/>
      <c r="V212" s="45"/>
      <c r="W212" s="64"/>
      <c r="X212" s="64"/>
      <c r="Y212" s="45"/>
      <c r="Z212" s="45"/>
      <c r="AA212" s="105"/>
      <c r="AB212" s="105"/>
      <c r="AC212" s="105"/>
      <c r="AD212" s="64"/>
      <c r="AG212" s="45"/>
      <c r="AH212" s="64"/>
      <c r="AI212" s="45"/>
      <c r="AJ212" s="105"/>
      <c r="AK212" s="105"/>
      <c r="AL212" s="60"/>
      <c r="AM212" s="60"/>
      <c r="AN212" s="60"/>
      <c r="AO212" s="60"/>
      <c r="AP212" s="60"/>
      <c r="AQ212" s="60"/>
      <c r="AR212" s="60"/>
      <c r="AS212" s="60"/>
      <c r="AT212" s="45"/>
      <c r="AU212" s="45"/>
      <c r="AW212" s="45"/>
      <c r="AX212" s="46">
        <f t="shared" si="10"/>
        <v>0</v>
      </c>
      <c r="AY212" s="46">
        <f t="shared" si="11"/>
        <v>0</v>
      </c>
      <c r="AZ212" s="46">
        <f t="shared" si="12"/>
        <v>0</v>
      </c>
    </row>
    <row r="213" spans="3:52" ht="20.100000000000001" customHeight="1">
      <c r="C213" s="102"/>
      <c r="D213" s="3"/>
      <c r="E213" s="12"/>
      <c r="F213" s="3"/>
      <c r="G213" s="3"/>
      <c r="H213" s="3"/>
      <c r="J213" s="3"/>
      <c r="K213" s="3"/>
      <c r="L213" s="4"/>
      <c r="M213" s="3"/>
      <c r="O213" s="58"/>
      <c r="Q213" s="64"/>
      <c r="R213" s="45"/>
      <c r="S213" s="45"/>
      <c r="U213" s="64"/>
      <c r="V213" s="45"/>
      <c r="W213" s="64"/>
      <c r="X213" s="64"/>
      <c r="Y213" s="45"/>
      <c r="Z213" s="45"/>
      <c r="AA213" s="105"/>
      <c r="AB213" s="105"/>
      <c r="AC213" s="105"/>
      <c r="AD213" s="64"/>
      <c r="AG213" s="45"/>
      <c r="AH213" s="64"/>
      <c r="AI213" s="45"/>
      <c r="AJ213" s="105"/>
      <c r="AK213" s="105"/>
      <c r="AL213" s="60"/>
      <c r="AM213" s="60"/>
      <c r="AN213" s="60"/>
      <c r="AO213" s="60"/>
      <c r="AP213" s="60"/>
      <c r="AQ213" s="60"/>
      <c r="AR213" s="60"/>
      <c r="AS213" s="60"/>
      <c r="AT213" s="45"/>
      <c r="AU213" s="45"/>
      <c r="AW213" s="45"/>
      <c r="AX213" s="46">
        <f t="shared" si="10"/>
        <v>0</v>
      </c>
      <c r="AY213" s="46">
        <f t="shared" si="11"/>
        <v>0</v>
      </c>
      <c r="AZ213" s="46">
        <f t="shared" si="12"/>
        <v>0</v>
      </c>
    </row>
    <row r="214" spans="3:52" ht="20.100000000000001" customHeight="1">
      <c r="C214" s="102"/>
      <c r="D214" s="3"/>
      <c r="E214" s="12"/>
      <c r="F214" s="3"/>
      <c r="G214" s="3"/>
      <c r="H214" s="3"/>
      <c r="J214" s="3"/>
      <c r="K214" s="3"/>
      <c r="L214" s="4"/>
      <c r="M214" s="3"/>
      <c r="O214" s="58"/>
      <c r="Q214" s="64"/>
      <c r="R214" s="45"/>
      <c r="S214" s="45"/>
      <c r="U214" s="64"/>
      <c r="V214" s="45"/>
      <c r="W214" s="64"/>
      <c r="X214" s="64"/>
      <c r="Y214" s="45"/>
      <c r="Z214" s="45"/>
      <c r="AA214" s="105"/>
      <c r="AB214" s="105"/>
      <c r="AC214" s="105"/>
      <c r="AD214" s="64"/>
      <c r="AG214" s="45"/>
      <c r="AH214" s="64"/>
      <c r="AI214" s="45"/>
      <c r="AJ214" s="105"/>
      <c r="AK214" s="105"/>
      <c r="AL214" s="60"/>
      <c r="AM214" s="60"/>
      <c r="AN214" s="60"/>
      <c r="AO214" s="60"/>
      <c r="AP214" s="60"/>
      <c r="AQ214" s="60"/>
      <c r="AR214" s="60"/>
      <c r="AS214" s="60"/>
      <c r="AT214" s="45"/>
      <c r="AU214" s="45"/>
      <c r="AW214" s="45"/>
      <c r="AX214" s="46">
        <f t="shared" si="10"/>
        <v>0</v>
      </c>
      <c r="AY214" s="46">
        <f t="shared" si="11"/>
        <v>0</v>
      </c>
      <c r="AZ214" s="46">
        <f t="shared" si="12"/>
        <v>0</v>
      </c>
    </row>
    <row r="215" spans="3:52" ht="20.100000000000001" customHeight="1">
      <c r="C215" s="102"/>
      <c r="D215" s="3"/>
      <c r="E215" s="12"/>
      <c r="F215" s="3"/>
      <c r="G215" s="3"/>
      <c r="H215" s="3"/>
      <c r="J215" s="3"/>
      <c r="K215" s="3"/>
      <c r="L215" s="4"/>
      <c r="M215" s="3"/>
      <c r="O215" s="58"/>
      <c r="Q215" s="64"/>
      <c r="R215" s="45"/>
      <c r="S215" s="45"/>
      <c r="U215" s="64"/>
      <c r="V215" s="45"/>
      <c r="W215" s="64"/>
      <c r="X215" s="64"/>
      <c r="Y215" s="45"/>
      <c r="Z215" s="45"/>
      <c r="AA215" s="105"/>
      <c r="AB215" s="105"/>
      <c r="AC215" s="105"/>
      <c r="AD215" s="64"/>
      <c r="AG215" s="45"/>
      <c r="AH215" s="64"/>
      <c r="AI215" s="45"/>
      <c r="AJ215" s="105"/>
      <c r="AK215" s="105"/>
      <c r="AL215" s="60"/>
      <c r="AM215" s="60"/>
      <c r="AN215" s="60"/>
      <c r="AO215" s="60"/>
      <c r="AP215" s="60"/>
      <c r="AQ215" s="60"/>
      <c r="AR215" s="60"/>
      <c r="AS215" s="60"/>
      <c r="AT215" s="45"/>
      <c r="AU215" s="45"/>
      <c r="AW215" s="45"/>
      <c r="AX215" s="46">
        <f t="shared" si="10"/>
        <v>0</v>
      </c>
      <c r="AY215" s="46">
        <f t="shared" si="11"/>
        <v>0</v>
      </c>
      <c r="AZ215" s="46">
        <f t="shared" si="12"/>
        <v>0</v>
      </c>
    </row>
    <row r="216" spans="3:52" ht="20.100000000000001" customHeight="1">
      <c r="C216" s="102"/>
      <c r="D216" s="3"/>
      <c r="E216" s="12"/>
      <c r="F216" s="3"/>
      <c r="G216" s="3"/>
      <c r="H216" s="3"/>
      <c r="J216" s="3"/>
      <c r="K216" s="3"/>
      <c r="L216" s="4"/>
      <c r="M216" s="3"/>
      <c r="O216" s="58"/>
      <c r="Q216" s="64"/>
      <c r="R216" s="45"/>
      <c r="S216" s="45"/>
      <c r="U216" s="64"/>
      <c r="V216" s="45"/>
      <c r="W216" s="64"/>
      <c r="X216" s="64"/>
      <c r="Y216" s="45"/>
      <c r="Z216" s="45"/>
      <c r="AA216" s="105"/>
      <c r="AB216" s="105"/>
      <c r="AC216" s="105"/>
      <c r="AD216" s="64"/>
      <c r="AG216" s="45"/>
      <c r="AH216" s="64"/>
      <c r="AI216" s="45"/>
      <c r="AJ216" s="105"/>
      <c r="AK216" s="105"/>
      <c r="AL216" s="60"/>
      <c r="AM216" s="60"/>
      <c r="AN216" s="60"/>
      <c r="AO216" s="60"/>
      <c r="AP216" s="60"/>
      <c r="AQ216" s="60"/>
      <c r="AR216" s="60"/>
      <c r="AS216" s="60"/>
      <c r="AT216" s="45"/>
      <c r="AU216" s="45"/>
      <c r="AW216" s="45"/>
      <c r="AX216" s="46">
        <f t="shared" si="10"/>
        <v>0</v>
      </c>
      <c r="AY216" s="46">
        <f t="shared" si="11"/>
        <v>0</v>
      </c>
      <c r="AZ216" s="46">
        <f t="shared" si="12"/>
        <v>0</v>
      </c>
    </row>
    <row r="217" spans="3:52" ht="20.100000000000001" customHeight="1">
      <c r="C217" s="102"/>
      <c r="D217" s="3"/>
      <c r="E217" s="12"/>
      <c r="F217" s="3"/>
      <c r="G217" s="3"/>
      <c r="H217" s="3"/>
      <c r="J217" s="3"/>
      <c r="K217" s="3"/>
      <c r="L217" s="4"/>
      <c r="M217" s="3"/>
      <c r="O217" s="58"/>
      <c r="Q217" s="64"/>
      <c r="R217" s="45"/>
      <c r="S217" s="45"/>
      <c r="U217" s="64"/>
      <c r="V217" s="45"/>
      <c r="W217" s="64"/>
      <c r="X217" s="64"/>
      <c r="Y217" s="45"/>
      <c r="Z217" s="45"/>
      <c r="AA217" s="105"/>
      <c r="AB217" s="105"/>
      <c r="AC217" s="105"/>
      <c r="AD217" s="64"/>
      <c r="AG217" s="45"/>
      <c r="AH217" s="64"/>
      <c r="AI217" s="45"/>
      <c r="AJ217" s="105"/>
      <c r="AK217" s="105"/>
      <c r="AL217" s="60"/>
      <c r="AM217" s="60"/>
      <c r="AN217" s="60"/>
      <c r="AO217" s="60"/>
      <c r="AP217" s="60"/>
      <c r="AQ217" s="60"/>
      <c r="AR217" s="60"/>
      <c r="AS217" s="60"/>
      <c r="AT217" s="45"/>
      <c r="AU217" s="45"/>
      <c r="AW217" s="45"/>
      <c r="AX217" s="46">
        <f t="shared" si="10"/>
        <v>0</v>
      </c>
      <c r="AY217" s="46">
        <f t="shared" si="11"/>
        <v>0</v>
      </c>
      <c r="AZ217" s="46">
        <f t="shared" si="12"/>
        <v>0</v>
      </c>
    </row>
    <row r="218" spans="3:52" ht="20.100000000000001" customHeight="1">
      <c r="C218" s="102"/>
      <c r="D218" s="3"/>
      <c r="E218" s="12"/>
      <c r="F218" s="3"/>
      <c r="G218" s="3"/>
      <c r="H218" s="3"/>
      <c r="J218" s="3"/>
      <c r="K218" s="3"/>
      <c r="L218" s="4"/>
      <c r="M218" s="3"/>
      <c r="O218" s="58"/>
      <c r="Q218" s="64"/>
      <c r="R218" s="45"/>
      <c r="S218" s="45"/>
      <c r="U218" s="64"/>
      <c r="V218" s="45"/>
      <c r="W218" s="64"/>
      <c r="X218" s="64"/>
      <c r="Y218" s="45"/>
      <c r="Z218" s="45"/>
      <c r="AA218" s="105"/>
      <c r="AB218" s="105"/>
      <c r="AC218" s="105"/>
      <c r="AD218" s="64"/>
      <c r="AG218" s="45"/>
      <c r="AH218" s="64"/>
      <c r="AI218" s="45"/>
      <c r="AJ218" s="105"/>
      <c r="AK218" s="105"/>
      <c r="AL218" s="60"/>
      <c r="AM218" s="60"/>
      <c r="AN218" s="60"/>
      <c r="AO218" s="60"/>
      <c r="AP218" s="60"/>
      <c r="AQ218" s="60"/>
      <c r="AR218" s="60"/>
      <c r="AS218" s="60"/>
      <c r="AT218" s="45"/>
      <c r="AU218" s="45"/>
      <c r="AW218" s="45"/>
      <c r="AX218" s="46">
        <f t="shared" si="10"/>
        <v>0</v>
      </c>
      <c r="AY218" s="46">
        <f t="shared" si="11"/>
        <v>0</v>
      </c>
      <c r="AZ218" s="46">
        <f t="shared" si="12"/>
        <v>0</v>
      </c>
    </row>
    <row r="219" spans="3:52" ht="20.100000000000001" customHeight="1">
      <c r="C219" s="102"/>
      <c r="D219" s="3"/>
      <c r="E219" s="12"/>
      <c r="F219" s="3"/>
      <c r="G219" s="3"/>
      <c r="H219" s="3"/>
      <c r="J219" s="3"/>
      <c r="K219" s="3"/>
      <c r="L219" s="4"/>
      <c r="M219" s="3"/>
      <c r="O219" s="58"/>
      <c r="Q219" s="64"/>
      <c r="R219" s="45"/>
      <c r="S219" s="45"/>
      <c r="U219" s="64"/>
      <c r="V219" s="45"/>
      <c r="W219" s="64"/>
      <c r="X219" s="64"/>
      <c r="Y219" s="45"/>
      <c r="Z219" s="45"/>
      <c r="AA219" s="105"/>
      <c r="AB219" s="105"/>
      <c r="AC219" s="105"/>
      <c r="AD219" s="64"/>
      <c r="AG219" s="45"/>
      <c r="AH219" s="64"/>
      <c r="AI219" s="45"/>
      <c r="AJ219" s="105"/>
      <c r="AK219" s="105"/>
      <c r="AL219" s="60"/>
      <c r="AM219" s="60"/>
      <c r="AN219" s="60"/>
      <c r="AO219" s="60"/>
      <c r="AP219" s="60"/>
      <c r="AQ219" s="60"/>
      <c r="AR219" s="60"/>
      <c r="AS219" s="60"/>
      <c r="AT219" s="45"/>
      <c r="AU219" s="45"/>
      <c r="AW219" s="45"/>
      <c r="AX219" s="46">
        <f t="shared" si="10"/>
        <v>0</v>
      </c>
      <c r="AY219" s="46">
        <f t="shared" si="11"/>
        <v>0</v>
      </c>
      <c r="AZ219" s="46">
        <f t="shared" si="12"/>
        <v>0</v>
      </c>
    </row>
    <row r="220" spans="3:52" ht="20.100000000000001" customHeight="1">
      <c r="C220" s="102"/>
      <c r="D220" s="3"/>
      <c r="E220" s="67"/>
      <c r="F220" s="3"/>
      <c r="G220" s="3"/>
      <c r="H220" s="3"/>
      <c r="J220" s="3"/>
      <c r="K220" s="3"/>
      <c r="L220" s="4"/>
      <c r="M220" s="3"/>
      <c r="O220" s="58"/>
      <c r="Q220" s="64"/>
      <c r="R220" s="45"/>
      <c r="S220" s="45"/>
      <c r="U220" s="64"/>
      <c r="V220" s="45"/>
      <c r="W220" s="64"/>
      <c r="X220" s="64"/>
      <c r="Y220" s="45"/>
      <c r="Z220" s="45"/>
      <c r="AA220" s="105"/>
      <c r="AB220" s="105"/>
      <c r="AC220" s="105"/>
      <c r="AD220" s="64"/>
      <c r="AG220" s="45"/>
      <c r="AH220" s="64"/>
      <c r="AI220" s="45"/>
      <c r="AJ220" s="105"/>
      <c r="AK220" s="105"/>
      <c r="AL220" s="60"/>
      <c r="AM220" s="60"/>
      <c r="AN220" s="60"/>
      <c r="AO220" s="60"/>
      <c r="AP220" s="60"/>
      <c r="AQ220" s="60"/>
      <c r="AR220" s="60"/>
      <c r="AS220" s="60"/>
      <c r="AT220" s="45"/>
      <c r="AU220" s="45"/>
      <c r="AW220" s="45"/>
      <c r="AX220" s="46">
        <f t="shared" si="10"/>
        <v>0</v>
      </c>
      <c r="AY220" s="46">
        <f t="shared" si="11"/>
        <v>0</v>
      </c>
      <c r="AZ220" s="46">
        <f t="shared" si="12"/>
        <v>0</v>
      </c>
    </row>
    <row r="221" spans="3:52" ht="20.100000000000001" customHeight="1">
      <c r="C221" s="102"/>
      <c r="D221" s="3"/>
      <c r="E221" s="12"/>
      <c r="F221" s="3"/>
      <c r="G221" s="3"/>
      <c r="H221" s="3"/>
      <c r="J221" s="3"/>
      <c r="K221" s="3"/>
      <c r="L221" s="4"/>
      <c r="M221" s="3"/>
      <c r="O221" s="58"/>
      <c r="Q221" s="64"/>
      <c r="R221" s="45"/>
      <c r="S221" s="45"/>
      <c r="U221" s="64"/>
      <c r="V221" s="45"/>
      <c r="W221" s="64"/>
      <c r="X221" s="64"/>
      <c r="Y221" s="45"/>
      <c r="Z221" s="45"/>
      <c r="AA221" s="105"/>
      <c r="AB221" s="105"/>
      <c r="AC221" s="105"/>
      <c r="AD221" s="64"/>
      <c r="AG221" s="45"/>
      <c r="AH221" s="64"/>
      <c r="AI221" s="45"/>
      <c r="AJ221" s="105"/>
      <c r="AK221" s="105"/>
      <c r="AL221" s="60"/>
      <c r="AM221" s="60"/>
      <c r="AN221" s="60"/>
      <c r="AO221" s="60"/>
      <c r="AP221" s="60"/>
      <c r="AQ221" s="60"/>
      <c r="AR221" s="60"/>
      <c r="AS221" s="60"/>
      <c r="AT221" s="45"/>
      <c r="AU221" s="45"/>
      <c r="AW221" s="45"/>
      <c r="AX221" s="46">
        <f t="shared" si="10"/>
        <v>0</v>
      </c>
      <c r="AY221" s="46">
        <f t="shared" si="11"/>
        <v>0</v>
      </c>
      <c r="AZ221" s="46">
        <f t="shared" si="12"/>
        <v>0</v>
      </c>
    </row>
    <row r="222" spans="3:52" ht="20.100000000000001" customHeight="1">
      <c r="C222" s="102"/>
      <c r="D222" s="3"/>
      <c r="E222" s="12"/>
      <c r="F222" s="3"/>
      <c r="G222" s="3"/>
      <c r="H222" s="3"/>
      <c r="J222" s="3"/>
      <c r="K222" s="3"/>
      <c r="L222" s="4"/>
      <c r="M222" s="3"/>
      <c r="O222" s="58"/>
      <c r="Q222" s="64"/>
      <c r="R222" s="45"/>
      <c r="S222" s="45"/>
      <c r="U222" s="64"/>
      <c r="V222" s="45"/>
      <c r="W222" s="64"/>
      <c r="X222" s="64"/>
      <c r="Y222" s="45"/>
      <c r="Z222" s="45"/>
      <c r="AA222" s="105"/>
      <c r="AB222" s="105"/>
      <c r="AC222" s="105"/>
      <c r="AD222" s="64"/>
      <c r="AG222" s="45"/>
      <c r="AH222" s="64"/>
      <c r="AI222" s="45"/>
      <c r="AJ222" s="105"/>
      <c r="AK222" s="105"/>
      <c r="AL222" s="60"/>
      <c r="AM222" s="60"/>
      <c r="AN222" s="60"/>
      <c r="AO222" s="60"/>
      <c r="AP222" s="60"/>
      <c r="AQ222" s="60"/>
      <c r="AR222" s="60"/>
      <c r="AS222" s="60"/>
      <c r="AT222" s="45"/>
      <c r="AU222" s="45"/>
      <c r="AW222" s="45"/>
      <c r="AX222" s="46">
        <f t="shared" si="10"/>
        <v>0</v>
      </c>
      <c r="AY222" s="46">
        <f t="shared" si="11"/>
        <v>0</v>
      </c>
      <c r="AZ222" s="46">
        <f t="shared" si="12"/>
        <v>0</v>
      </c>
    </row>
    <row r="223" spans="3:52" ht="20.100000000000001" customHeight="1">
      <c r="C223" s="102"/>
      <c r="D223" s="3"/>
      <c r="E223" s="12"/>
      <c r="F223" s="3"/>
      <c r="G223" s="3"/>
      <c r="H223" s="3"/>
      <c r="J223" s="3"/>
      <c r="K223" s="3"/>
      <c r="L223" s="4"/>
      <c r="M223" s="3"/>
      <c r="O223" s="58"/>
      <c r="Q223" s="64"/>
      <c r="R223" s="45"/>
      <c r="S223" s="45"/>
      <c r="U223" s="64"/>
      <c r="V223" s="45"/>
      <c r="W223" s="64"/>
      <c r="X223" s="64"/>
      <c r="Y223" s="45"/>
      <c r="Z223" s="45"/>
      <c r="AA223" s="105"/>
      <c r="AB223" s="105"/>
      <c r="AC223" s="105"/>
      <c r="AD223" s="64"/>
      <c r="AG223" s="45"/>
      <c r="AH223" s="64"/>
      <c r="AI223" s="45"/>
      <c r="AJ223" s="105"/>
      <c r="AK223" s="105"/>
      <c r="AL223" s="60"/>
      <c r="AM223" s="60"/>
      <c r="AN223" s="60"/>
      <c r="AO223" s="60"/>
      <c r="AP223" s="60"/>
      <c r="AQ223" s="60"/>
      <c r="AR223" s="60"/>
      <c r="AS223" s="60"/>
      <c r="AT223" s="45"/>
      <c r="AU223" s="45"/>
      <c r="AW223" s="45"/>
      <c r="AX223" s="46">
        <f t="shared" si="10"/>
        <v>0</v>
      </c>
      <c r="AY223" s="46">
        <f t="shared" si="11"/>
        <v>0</v>
      </c>
      <c r="AZ223" s="46">
        <f t="shared" si="12"/>
        <v>0</v>
      </c>
    </row>
    <row r="224" spans="3:52" ht="20.100000000000001" customHeight="1">
      <c r="C224" s="102"/>
      <c r="D224" s="3"/>
      <c r="E224" s="12"/>
      <c r="F224" s="3"/>
      <c r="G224" s="3"/>
      <c r="H224" s="3"/>
      <c r="J224" s="3"/>
      <c r="K224" s="3"/>
      <c r="L224" s="4"/>
      <c r="M224" s="3"/>
      <c r="O224" s="58"/>
      <c r="Q224" s="64"/>
      <c r="R224" s="45"/>
      <c r="S224" s="45"/>
      <c r="U224" s="64"/>
      <c r="V224" s="45"/>
      <c r="W224" s="64"/>
      <c r="X224" s="64"/>
      <c r="Y224" s="45"/>
      <c r="Z224" s="45"/>
      <c r="AA224" s="105"/>
      <c r="AB224" s="105"/>
      <c r="AC224" s="105"/>
      <c r="AD224" s="64"/>
      <c r="AG224" s="45"/>
      <c r="AH224" s="64"/>
      <c r="AI224" s="45"/>
      <c r="AJ224" s="105"/>
      <c r="AK224" s="105"/>
      <c r="AL224" s="60"/>
      <c r="AM224" s="60"/>
      <c r="AN224" s="60"/>
      <c r="AO224" s="60"/>
      <c r="AP224" s="60"/>
      <c r="AQ224" s="60"/>
      <c r="AR224" s="60"/>
      <c r="AS224" s="60"/>
      <c r="AT224" s="45"/>
      <c r="AU224" s="45"/>
      <c r="AW224" s="45"/>
      <c r="AX224" s="46">
        <f t="shared" si="10"/>
        <v>0</v>
      </c>
      <c r="AY224" s="46">
        <f t="shared" si="11"/>
        <v>0</v>
      </c>
      <c r="AZ224" s="46">
        <f t="shared" si="12"/>
        <v>0</v>
      </c>
    </row>
    <row r="225" spans="3:52" ht="20.100000000000001" customHeight="1">
      <c r="C225" s="102"/>
      <c r="D225" s="3"/>
      <c r="E225" s="12"/>
      <c r="F225" s="3"/>
      <c r="G225" s="3"/>
      <c r="H225" s="3"/>
      <c r="J225" s="3"/>
      <c r="K225" s="3"/>
      <c r="L225" s="4"/>
      <c r="M225" s="3"/>
      <c r="O225" s="58"/>
      <c r="Q225" s="64"/>
      <c r="R225" s="45"/>
      <c r="S225" s="45"/>
      <c r="U225" s="64"/>
      <c r="V225" s="45"/>
      <c r="W225" s="64"/>
      <c r="X225" s="64"/>
      <c r="Y225" s="45"/>
      <c r="Z225" s="45"/>
      <c r="AA225" s="105"/>
      <c r="AB225" s="105"/>
      <c r="AC225" s="105"/>
      <c r="AD225" s="64"/>
      <c r="AG225" s="45"/>
      <c r="AH225" s="64"/>
      <c r="AI225" s="45"/>
      <c r="AJ225" s="105"/>
      <c r="AK225" s="105"/>
      <c r="AL225" s="60"/>
      <c r="AM225" s="60"/>
      <c r="AN225" s="60"/>
      <c r="AO225" s="60"/>
      <c r="AP225" s="60"/>
      <c r="AQ225" s="60"/>
      <c r="AR225" s="60"/>
      <c r="AS225" s="60"/>
      <c r="AT225" s="45"/>
      <c r="AU225" s="45"/>
      <c r="AW225" s="45"/>
      <c r="AX225" s="46">
        <f t="shared" si="10"/>
        <v>0</v>
      </c>
      <c r="AY225" s="46">
        <f t="shared" si="11"/>
        <v>0</v>
      </c>
      <c r="AZ225" s="46">
        <f t="shared" si="12"/>
        <v>0</v>
      </c>
    </row>
    <row r="226" spans="3:52" ht="20.100000000000001" customHeight="1">
      <c r="C226" s="102"/>
      <c r="D226" s="3"/>
      <c r="E226" s="12"/>
      <c r="F226" s="3"/>
      <c r="G226" s="3"/>
      <c r="H226" s="3"/>
      <c r="J226" s="3"/>
      <c r="K226" s="3"/>
      <c r="L226" s="4"/>
      <c r="M226" s="3"/>
      <c r="O226" s="58"/>
      <c r="Q226" s="64"/>
      <c r="R226" s="45"/>
      <c r="S226" s="45"/>
      <c r="U226" s="64"/>
      <c r="V226" s="45"/>
      <c r="W226" s="64"/>
      <c r="X226" s="64"/>
      <c r="Y226" s="45"/>
      <c r="Z226" s="45"/>
      <c r="AA226" s="105"/>
      <c r="AB226" s="105"/>
      <c r="AC226" s="105"/>
      <c r="AD226" s="64"/>
      <c r="AH226" s="64"/>
      <c r="AI226" s="45"/>
      <c r="AJ226" s="105"/>
      <c r="AK226" s="105"/>
      <c r="AL226" s="60"/>
      <c r="AM226" s="60"/>
      <c r="AN226" s="60"/>
      <c r="AO226" s="60"/>
      <c r="AP226" s="60"/>
      <c r="AQ226" s="60"/>
      <c r="AR226" s="60"/>
      <c r="AS226" s="60"/>
      <c r="AT226" s="45"/>
      <c r="AU226" s="45"/>
      <c r="AW226" s="45"/>
      <c r="AX226" s="46">
        <f t="shared" si="10"/>
        <v>0</v>
      </c>
      <c r="AY226" s="46">
        <f t="shared" si="11"/>
        <v>0</v>
      </c>
      <c r="AZ226" s="46">
        <f t="shared" si="12"/>
        <v>0</v>
      </c>
    </row>
    <row r="227" spans="3:52" ht="20.100000000000001" customHeight="1">
      <c r="C227" s="102"/>
      <c r="D227" s="3"/>
      <c r="E227" s="12"/>
      <c r="F227" s="3"/>
      <c r="G227" s="3"/>
      <c r="H227" s="3"/>
      <c r="J227" s="3"/>
      <c r="K227" s="3"/>
      <c r="L227" s="4"/>
      <c r="M227" s="3"/>
      <c r="O227" s="58"/>
      <c r="Q227" s="64"/>
      <c r="R227" s="45"/>
      <c r="S227" s="45"/>
      <c r="U227" s="64"/>
      <c r="V227" s="45"/>
      <c r="W227" s="64"/>
      <c r="X227" s="64"/>
      <c r="Y227" s="45"/>
      <c r="Z227" s="45"/>
      <c r="AA227" s="105"/>
      <c r="AB227" s="105"/>
      <c r="AC227" s="105"/>
      <c r="AD227" s="64"/>
      <c r="AG227" s="45"/>
      <c r="AH227" s="64"/>
      <c r="AI227" s="45"/>
      <c r="AJ227" s="105"/>
      <c r="AK227" s="105"/>
      <c r="AL227" s="60"/>
      <c r="AM227" s="60"/>
      <c r="AN227" s="60"/>
      <c r="AO227" s="60"/>
      <c r="AP227" s="60"/>
      <c r="AQ227" s="60"/>
      <c r="AR227" s="60"/>
      <c r="AS227" s="60"/>
      <c r="AT227" s="45"/>
      <c r="AU227" s="45"/>
      <c r="AW227" s="45"/>
      <c r="AX227" s="46">
        <f t="shared" si="10"/>
        <v>0</v>
      </c>
      <c r="AY227" s="46">
        <f t="shared" si="11"/>
        <v>0</v>
      </c>
      <c r="AZ227" s="46">
        <f t="shared" si="12"/>
        <v>0</v>
      </c>
    </row>
    <row r="228" spans="3:52" ht="20.100000000000001" customHeight="1">
      <c r="C228" s="102"/>
      <c r="D228" s="3"/>
      <c r="E228" s="12"/>
      <c r="F228" s="3"/>
      <c r="G228" s="3"/>
      <c r="H228" s="3"/>
      <c r="J228" s="3"/>
      <c r="K228" s="3"/>
      <c r="L228" s="4"/>
      <c r="M228" s="3"/>
      <c r="O228" s="58"/>
      <c r="Q228" s="64"/>
      <c r="R228" s="45"/>
      <c r="S228" s="45"/>
      <c r="U228" s="64"/>
      <c r="V228" s="45"/>
      <c r="W228" s="64"/>
      <c r="X228" s="64"/>
      <c r="Y228" s="45"/>
      <c r="Z228" s="45"/>
      <c r="AA228" s="105"/>
      <c r="AB228" s="105"/>
      <c r="AC228" s="105"/>
      <c r="AD228" s="64"/>
      <c r="AG228" s="45"/>
      <c r="AH228" s="64"/>
      <c r="AI228" s="45"/>
      <c r="AJ228" s="105"/>
      <c r="AK228" s="105"/>
      <c r="AL228" s="60"/>
      <c r="AM228" s="60"/>
      <c r="AN228" s="60"/>
      <c r="AO228" s="60"/>
      <c r="AP228" s="60"/>
      <c r="AQ228" s="60"/>
      <c r="AR228" s="60"/>
      <c r="AS228" s="60"/>
      <c r="AT228" s="45"/>
      <c r="AU228" s="45"/>
      <c r="AW228" s="45"/>
      <c r="AX228" s="46">
        <f t="shared" si="10"/>
        <v>0</v>
      </c>
      <c r="AY228" s="46">
        <f t="shared" si="11"/>
        <v>0</v>
      </c>
      <c r="AZ228" s="46">
        <f t="shared" si="12"/>
        <v>0</v>
      </c>
    </row>
    <row r="229" spans="3:52" ht="20.100000000000001" customHeight="1">
      <c r="C229" s="102"/>
      <c r="D229" s="3"/>
      <c r="E229" s="12"/>
      <c r="F229" s="3"/>
      <c r="G229" s="3"/>
      <c r="H229" s="3"/>
      <c r="J229" s="3"/>
      <c r="K229" s="3"/>
      <c r="L229" s="4"/>
      <c r="M229" s="3"/>
      <c r="O229" s="58"/>
      <c r="Q229" s="64"/>
      <c r="R229" s="45"/>
      <c r="S229" s="45"/>
      <c r="U229" s="64"/>
      <c r="V229" s="45"/>
      <c r="W229" s="64"/>
      <c r="X229" s="64"/>
      <c r="Y229" s="45"/>
      <c r="Z229" s="45"/>
      <c r="AA229" s="105"/>
      <c r="AB229" s="105"/>
      <c r="AC229" s="105"/>
      <c r="AD229" s="64"/>
      <c r="AH229" s="64"/>
      <c r="AI229" s="45"/>
      <c r="AJ229" s="105"/>
      <c r="AK229" s="105"/>
      <c r="AL229" s="60"/>
      <c r="AM229" s="60"/>
      <c r="AN229" s="60"/>
      <c r="AO229" s="60"/>
      <c r="AP229" s="60"/>
      <c r="AQ229" s="60"/>
      <c r="AR229" s="60"/>
      <c r="AS229" s="60"/>
      <c r="AT229" s="45"/>
      <c r="AU229" s="45"/>
      <c r="AW229" s="45"/>
      <c r="AX229" s="46">
        <f t="shared" si="10"/>
        <v>0</v>
      </c>
      <c r="AY229" s="46">
        <f t="shared" si="11"/>
        <v>0</v>
      </c>
      <c r="AZ229" s="46">
        <f t="shared" si="12"/>
        <v>0</v>
      </c>
    </row>
    <row r="230" spans="3:52" ht="20.100000000000001" customHeight="1">
      <c r="C230" s="102"/>
      <c r="D230" s="3"/>
      <c r="E230" s="12"/>
      <c r="F230" s="3"/>
      <c r="G230" s="3"/>
      <c r="H230" s="3"/>
      <c r="J230" s="3"/>
      <c r="K230" s="3"/>
      <c r="L230" s="4"/>
      <c r="M230" s="3"/>
      <c r="O230" s="58"/>
      <c r="Q230" s="64"/>
      <c r="R230" s="45"/>
      <c r="S230" s="45"/>
      <c r="U230" s="64"/>
      <c r="V230" s="45"/>
      <c r="W230" s="64"/>
      <c r="X230" s="64"/>
      <c r="Y230" s="45"/>
      <c r="Z230" s="45"/>
      <c r="AA230" s="105"/>
      <c r="AB230" s="105"/>
      <c r="AC230" s="105"/>
      <c r="AD230" s="64"/>
      <c r="AG230" s="45"/>
      <c r="AH230" s="64"/>
      <c r="AI230" s="45"/>
      <c r="AJ230" s="105"/>
      <c r="AK230" s="105"/>
      <c r="AL230" s="60"/>
      <c r="AM230" s="60"/>
      <c r="AN230" s="60"/>
      <c r="AO230" s="60"/>
      <c r="AP230" s="60"/>
      <c r="AQ230" s="60"/>
      <c r="AR230" s="60"/>
      <c r="AS230" s="60"/>
      <c r="AT230" s="45"/>
      <c r="AU230" s="45"/>
      <c r="AW230" s="45"/>
      <c r="AX230" s="46">
        <f t="shared" si="10"/>
        <v>0</v>
      </c>
      <c r="AY230" s="46">
        <f t="shared" si="11"/>
        <v>0</v>
      </c>
      <c r="AZ230" s="46">
        <f t="shared" si="12"/>
        <v>0</v>
      </c>
    </row>
    <row r="231" spans="3:52" ht="20.100000000000001" customHeight="1">
      <c r="C231" s="102"/>
      <c r="D231" s="3"/>
      <c r="E231" s="12"/>
      <c r="F231" s="3"/>
      <c r="G231" s="3"/>
      <c r="H231" s="3"/>
      <c r="J231" s="3"/>
      <c r="K231" s="3"/>
      <c r="L231" s="4"/>
      <c r="M231" s="3"/>
      <c r="O231" s="58"/>
      <c r="Q231" s="64"/>
      <c r="R231" s="45"/>
      <c r="S231" s="45"/>
      <c r="U231" s="64"/>
      <c r="V231" s="45"/>
      <c r="W231" s="64"/>
      <c r="X231" s="64"/>
      <c r="Y231" s="45"/>
      <c r="Z231" s="45"/>
      <c r="AA231" s="105"/>
      <c r="AB231" s="105"/>
      <c r="AC231" s="105"/>
      <c r="AD231" s="64"/>
      <c r="AG231" s="45"/>
      <c r="AH231" s="64"/>
      <c r="AI231" s="45"/>
      <c r="AJ231" s="105"/>
      <c r="AK231" s="105"/>
      <c r="AL231" s="60"/>
      <c r="AM231" s="60"/>
      <c r="AN231" s="60"/>
      <c r="AO231" s="60"/>
      <c r="AP231" s="60"/>
      <c r="AQ231" s="60"/>
      <c r="AR231" s="60"/>
      <c r="AS231" s="60"/>
      <c r="AT231" s="45"/>
      <c r="AU231" s="45"/>
      <c r="AW231" s="45"/>
      <c r="AX231" s="46">
        <f t="shared" si="10"/>
        <v>0</v>
      </c>
      <c r="AY231" s="46">
        <f t="shared" si="11"/>
        <v>0</v>
      </c>
      <c r="AZ231" s="46">
        <f t="shared" si="12"/>
        <v>0</v>
      </c>
    </row>
    <row r="232" spans="3:52" ht="20.100000000000001" customHeight="1">
      <c r="C232" s="102"/>
      <c r="D232" s="3"/>
      <c r="E232" s="12"/>
      <c r="F232" s="3"/>
      <c r="G232" s="3"/>
      <c r="H232" s="3"/>
      <c r="J232" s="3"/>
      <c r="K232" s="3"/>
      <c r="L232" s="4"/>
      <c r="M232" s="3"/>
      <c r="O232" s="58"/>
      <c r="Q232" s="64"/>
      <c r="R232" s="45"/>
      <c r="S232" s="45"/>
      <c r="U232" s="64"/>
      <c r="V232" s="45"/>
      <c r="W232" s="64"/>
      <c r="X232" s="64"/>
      <c r="Y232" s="45"/>
      <c r="Z232" s="45"/>
      <c r="AA232" s="105"/>
      <c r="AB232" s="105"/>
      <c r="AC232" s="105"/>
      <c r="AD232" s="64"/>
      <c r="AG232" s="45"/>
      <c r="AH232" s="64"/>
      <c r="AI232" s="45"/>
      <c r="AJ232" s="105"/>
      <c r="AK232" s="105"/>
      <c r="AL232" s="60"/>
      <c r="AM232" s="60"/>
      <c r="AN232" s="60"/>
      <c r="AO232" s="60"/>
      <c r="AP232" s="60"/>
      <c r="AQ232" s="60"/>
      <c r="AR232" s="60"/>
      <c r="AS232" s="60"/>
      <c r="AT232" s="45"/>
      <c r="AU232" s="45"/>
      <c r="AW232" s="45"/>
      <c r="AX232" s="46">
        <f t="shared" si="10"/>
        <v>0</v>
      </c>
      <c r="AY232" s="46">
        <f t="shared" si="11"/>
        <v>0</v>
      </c>
      <c r="AZ232" s="46">
        <f t="shared" si="12"/>
        <v>0</v>
      </c>
    </row>
    <row r="233" spans="3:52" ht="20.100000000000001" customHeight="1">
      <c r="C233" s="102"/>
      <c r="D233" s="3"/>
      <c r="E233" s="12"/>
      <c r="F233" s="3"/>
      <c r="G233" s="3"/>
      <c r="H233" s="3"/>
      <c r="J233" s="3"/>
      <c r="K233" s="3"/>
      <c r="L233" s="4"/>
      <c r="M233" s="3"/>
      <c r="O233" s="58"/>
      <c r="Q233" s="64"/>
      <c r="R233" s="45"/>
      <c r="S233" s="45"/>
      <c r="U233" s="64"/>
      <c r="V233" s="45"/>
      <c r="W233" s="64"/>
      <c r="X233" s="64"/>
      <c r="Y233" s="45"/>
      <c r="Z233" s="45"/>
      <c r="AA233" s="105"/>
      <c r="AB233" s="105"/>
      <c r="AC233" s="105"/>
      <c r="AD233" s="64"/>
      <c r="AG233" s="45"/>
      <c r="AH233" s="64"/>
      <c r="AI233" s="45"/>
      <c r="AJ233" s="105"/>
      <c r="AK233" s="105"/>
      <c r="AL233" s="60"/>
      <c r="AM233" s="60"/>
      <c r="AN233" s="60"/>
      <c r="AO233" s="60"/>
      <c r="AP233" s="60"/>
      <c r="AQ233" s="60"/>
      <c r="AR233" s="60"/>
      <c r="AS233" s="60"/>
      <c r="AT233" s="45"/>
      <c r="AU233" s="45"/>
      <c r="AW233" s="45"/>
      <c r="AX233" s="46">
        <f t="shared" si="10"/>
        <v>0</v>
      </c>
      <c r="AY233" s="46">
        <f t="shared" si="11"/>
        <v>0</v>
      </c>
      <c r="AZ233" s="46">
        <f t="shared" si="12"/>
        <v>0</v>
      </c>
    </row>
    <row r="234" spans="3:52" ht="20.100000000000001" customHeight="1">
      <c r="C234" s="102"/>
      <c r="D234" s="3"/>
      <c r="E234" s="12"/>
      <c r="F234" s="3"/>
      <c r="G234" s="3"/>
      <c r="H234" s="3"/>
      <c r="J234" s="3"/>
      <c r="K234" s="3"/>
      <c r="L234" s="4"/>
      <c r="M234" s="3"/>
      <c r="O234" s="58"/>
      <c r="Q234" s="64"/>
      <c r="R234" s="45"/>
      <c r="S234" s="45"/>
      <c r="U234" s="64"/>
      <c r="V234" s="45"/>
      <c r="W234" s="64"/>
      <c r="X234" s="64"/>
      <c r="Y234" s="45"/>
      <c r="Z234" s="45"/>
      <c r="AA234" s="105"/>
      <c r="AB234" s="105"/>
      <c r="AC234" s="105"/>
      <c r="AD234" s="64"/>
      <c r="AG234" s="45"/>
      <c r="AH234" s="64"/>
      <c r="AI234" s="45"/>
      <c r="AJ234" s="105"/>
      <c r="AK234" s="105"/>
      <c r="AL234" s="60"/>
      <c r="AM234" s="60"/>
      <c r="AN234" s="60"/>
      <c r="AO234" s="60"/>
      <c r="AP234" s="60"/>
      <c r="AQ234" s="60"/>
      <c r="AR234" s="60"/>
      <c r="AS234" s="60"/>
      <c r="AT234" s="45"/>
      <c r="AU234" s="45"/>
      <c r="AW234" s="45"/>
      <c r="AX234" s="46">
        <f t="shared" si="10"/>
        <v>0</v>
      </c>
      <c r="AY234" s="46">
        <f t="shared" si="11"/>
        <v>0</v>
      </c>
      <c r="AZ234" s="46">
        <f t="shared" si="12"/>
        <v>0</v>
      </c>
    </row>
    <row r="235" spans="3:52" ht="20.100000000000001" customHeight="1">
      <c r="C235" s="102"/>
      <c r="D235" s="3"/>
      <c r="E235" s="12"/>
      <c r="F235" s="3"/>
      <c r="G235" s="3"/>
      <c r="H235" s="3"/>
      <c r="J235" s="3"/>
      <c r="K235" s="3"/>
      <c r="L235" s="4"/>
      <c r="M235" s="3"/>
      <c r="O235" s="58"/>
      <c r="Q235" s="64"/>
      <c r="R235" s="45"/>
      <c r="S235" s="45"/>
      <c r="U235" s="64"/>
      <c r="V235" s="45"/>
      <c r="W235" s="64"/>
      <c r="X235" s="64"/>
      <c r="Y235" s="45"/>
      <c r="Z235" s="45"/>
      <c r="AA235" s="105"/>
      <c r="AB235" s="105"/>
      <c r="AC235" s="105"/>
      <c r="AD235" s="64"/>
      <c r="AG235" s="45"/>
      <c r="AH235" s="64"/>
      <c r="AI235" s="45"/>
      <c r="AJ235" s="105"/>
      <c r="AK235" s="105"/>
      <c r="AL235" s="60"/>
      <c r="AM235" s="60"/>
      <c r="AN235" s="60"/>
      <c r="AO235" s="60"/>
      <c r="AP235" s="60"/>
      <c r="AQ235" s="60"/>
      <c r="AR235" s="60"/>
      <c r="AS235" s="60"/>
      <c r="AT235" s="45"/>
      <c r="AU235" s="45"/>
      <c r="AW235" s="45"/>
      <c r="AX235" s="46">
        <f t="shared" si="10"/>
        <v>0</v>
      </c>
      <c r="AY235" s="46">
        <f t="shared" si="11"/>
        <v>0</v>
      </c>
      <c r="AZ235" s="46">
        <f t="shared" si="12"/>
        <v>0</v>
      </c>
    </row>
    <row r="236" spans="3:52" ht="20.100000000000001" customHeight="1">
      <c r="C236" s="102"/>
      <c r="D236" s="3"/>
      <c r="E236" s="12"/>
      <c r="F236" s="3"/>
      <c r="G236" s="3"/>
      <c r="H236" s="3"/>
      <c r="J236" s="3"/>
      <c r="K236" s="3"/>
      <c r="L236" s="4"/>
      <c r="M236" s="3"/>
      <c r="O236" s="58"/>
      <c r="Q236" s="64"/>
      <c r="R236" s="45"/>
      <c r="S236" s="45"/>
      <c r="U236" s="64"/>
      <c r="V236" s="45"/>
      <c r="W236" s="64"/>
      <c r="X236" s="64"/>
      <c r="Y236" s="45"/>
      <c r="Z236" s="45"/>
      <c r="AA236" s="105"/>
      <c r="AB236" s="105"/>
      <c r="AC236" s="105"/>
      <c r="AD236" s="64"/>
      <c r="AG236" s="45"/>
      <c r="AH236" s="64"/>
      <c r="AI236" s="45"/>
      <c r="AJ236" s="105"/>
      <c r="AK236" s="105"/>
      <c r="AL236" s="60"/>
      <c r="AM236" s="60"/>
      <c r="AN236" s="60"/>
      <c r="AO236" s="60"/>
      <c r="AP236" s="60"/>
      <c r="AQ236" s="60"/>
      <c r="AR236" s="60"/>
      <c r="AS236" s="60"/>
      <c r="AT236" s="45"/>
      <c r="AU236" s="45"/>
      <c r="AW236" s="45"/>
      <c r="AX236" s="46">
        <f t="shared" si="10"/>
        <v>0</v>
      </c>
      <c r="AY236" s="46">
        <f t="shared" si="11"/>
        <v>0</v>
      </c>
      <c r="AZ236" s="46">
        <f t="shared" si="12"/>
        <v>0</v>
      </c>
    </row>
    <row r="237" spans="3:52" ht="20.100000000000001" customHeight="1">
      <c r="C237" s="102"/>
      <c r="D237" s="3"/>
      <c r="E237" s="67"/>
      <c r="F237" s="3"/>
      <c r="G237" s="3"/>
      <c r="H237" s="3"/>
      <c r="J237" s="3"/>
      <c r="K237" s="3"/>
      <c r="L237" s="4"/>
      <c r="M237" s="3"/>
      <c r="O237" s="58"/>
      <c r="Q237" s="64"/>
      <c r="R237" s="45"/>
      <c r="S237" s="45"/>
      <c r="U237" s="64"/>
      <c r="V237" s="45"/>
      <c r="W237" s="64"/>
      <c r="X237" s="64"/>
      <c r="Y237" s="45"/>
      <c r="Z237" s="45"/>
      <c r="AA237" s="105"/>
      <c r="AB237" s="105"/>
      <c r="AC237" s="105"/>
      <c r="AD237" s="64"/>
      <c r="AG237" s="45"/>
      <c r="AH237" s="64"/>
      <c r="AI237" s="45"/>
      <c r="AJ237" s="105"/>
      <c r="AK237" s="105"/>
      <c r="AL237" s="60"/>
      <c r="AM237" s="60"/>
      <c r="AN237" s="60"/>
      <c r="AO237" s="60"/>
      <c r="AP237" s="60"/>
      <c r="AQ237" s="60"/>
      <c r="AR237" s="60"/>
      <c r="AS237" s="60"/>
      <c r="AT237" s="45"/>
      <c r="AU237" s="45"/>
      <c r="AW237" s="45"/>
      <c r="AX237" s="46">
        <f t="shared" si="10"/>
        <v>0</v>
      </c>
      <c r="AY237" s="46">
        <f t="shared" si="11"/>
        <v>0</v>
      </c>
      <c r="AZ237" s="46">
        <f t="shared" si="12"/>
        <v>0</v>
      </c>
    </row>
    <row r="238" spans="3:52" ht="20.100000000000001" customHeight="1">
      <c r="C238" s="102"/>
      <c r="D238" s="3"/>
      <c r="E238" s="12"/>
      <c r="F238" s="3"/>
      <c r="G238" s="3"/>
      <c r="H238" s="3"/>
      <c r="J238" s="3"/>
      <c r="K238" s="3"/>
      <c r="L238" s="4"/>
      <c r="M238" s="3"/>
      <c r="O238" s="58"/>
      <c r="Q238" s="64"/>
      <c r="R238" s="45"/>
      <c r="S238" s="45"/>
      <c r="U238" s="64"/>
      <c r="V238" s="45"/>
      <c r="W238" s="64"/>
      <c r="X238" s="64"/>
      <c r="Y238" s="45"/>
      <c r="Z238" s="45"/>
      <c r="AA238" s="105"/>
      <c r="AB238" s="105"/>
      <c r="AC238" s="105"/>
      <c r="AD238" s="64"/>
      <c r="AG238" s="45"/>
      <c r="AH238" s="64"/>
      <c r="AI238" s="45"/>
      <c r="AJ238" s="105"/>
      <c r="AK238" s="105"/>
      <c r="AL238" s="60"/>
      <c r="AM238" s="60"/>
      <c r="AN238" s="60"/>
      <c r="AO238" s="60"/>
      <c r="AP238" s="60"/>
      <c r="AQ238" s="60"/>
      <c r="AR238" s="60"/>
      <c r="AS238" s="60"/>
      <c r="AT238" s="45"/>
      <c r="AU238" s="45"/>
      <c r="AW238" s="45"/>
      <c r="AX238" s="46">
        <f t="shared" si="10"/>
        <v>0</v>
      </c>
      <c r="AY238" s="46">
        <f t="shared" si="11"/>
        <v>0</v>
      </c>
      <c r="AZ238" s="46">
        <f t="shared" si="12"/>
        <v>0</v>
      </c>
    </row>
    <row r="239" spans="3:52" ht="20.100000000000001" customHeight="1">
      <c r="C239" s="102"/>
      <c r="D239" s="3"/>
      <c r="E239" s="67"/>
      <c r="F239" s="3"/>
      <c r="G239" s="3"/>
      <c r="H239" s="3"/>
      <c r="J239" s="3"/>
      <c r="K239" s="3"/>
      <c r="L239" s="4"/>
      <c r="M239" s="3"/>
      <c r="O239" s="58"/>
      <c r="Q239" s="64"/>
      <c r="R239" s="45"/>
      <c r="S239" s="45"/>
      <c r="U239" s="64"/>
      <c r="V239" s="45"/>
      <c r="W239" s="64"/>
      <c r="X239" s="64"/>
      <c r="Y239" s="45"/>
      <c r="Z239" s="45"/>
      <c r="AA239" s="105"/>
      <c r="AB239" s="105"/>
      <c r="AC239" s="105"/>
      <c r="AD239" s="64"/>
      <c r="AG239" s="45"/>
      <c r="AH239" s="64"/>
      <c r="AI239" s="45"/>
      <c r="AJ239" s="105"/>
      <c r="AK239" s="105"/>
      <c r="AL239" s="60"/>
      <c r="AM239" s="60"/>
      <c r="AN239" s="60"/>
      <c r="AO239" s="60"/>
      <c r="AP239" s="60"/>
      <c r="AQ239" s="60"/>
      <c r="AR239" s="60"/>
      <c r="AS239" s="60"/>
      <c r="AT239" s="45"/>
      <c r="AU239" s="45"/>
      <c r="AW239" s="45"/>
      <c r="AX239" s="46">
        <f t="shared" si="10"/>
        <v>0</v>
      </c>
      <c r="AY239" s="46">
        <f t="shared" si="11"/>
        <v>0</v>
      </c>
      <c r="AZ239" s="46">
        <f t="shared" si="12"/>
        <v>0</v>
      </c>
    </row>
    <row r="240" spans="3:52" ht="20.100000000000001" customHeight="1">
      <c r="C240" s="102"/>
      <c r="D240" s="3"/>
      <c r="E240" s="12"/>
      <c r="F240" s="3"/>
      <c r="G240" s="3"/>
      <c r="H240" s="3"/>
      <c r="J240" s="3"/>
      <c r="K240" s="3"/>
      <c r="L240" s="4"/>
      <c r="M240" s="3"/>
      <c r="O240" s="58"/>
      <c r="Q240" s="64"/>
      <c r="R240" s="45"/>
      <c r="S240" s="45"/>
      <c r="U240" s="64"/>
      <c r="V240" s="45"/>
      <c r="W240" s="64"/>
      <c r="X240" s="64"/>
      <c r="Y240" s="45"/>
      <c r="Z240" s="45"/>
      <c r="AA240" s="105"/>
      <c r="AB240" s="105"/>
      <c r="AC240" s="105"/>
      <c r="AD240" s="64"/>
      <c r="AG240" s="45"/>
      <c r="AH240" s="64"/>
      <c r="AI240" s="45"/>
      <c r="AJ240" s="105"/>
      <c r="AK240" s="105"/>
      <c r="AL240" s="60"/>
      <c r="AM240" s="60"/>
      <c r="AN240" s="60"/>
      <c r="AO240" s="60"/>
      <c r="AP240" s="60"/>
      <c r="AQ240" s="60"/>
      <c r="AR240" s="60"/>
      <c r="AS240" s="60"/>
      <c r="AT240" s="45"/>
      <c r="AU240" s="45"/>
      <c r="AW240" s="45"/>
      <c r="AX240" s="46">
        <f t="shared" si="10"/>
        <v>0</v>
      </c>
      <c r="AY240" s="46">
        <f t="shared" si="11"/>
        <v>0</v>
      </c>
      <c r="AZ240" s="46">
        <f t="shared" si="12"/>
        <v>0</v>
      </c>
    </row>
    <row r="241" spans="2:52" ht="20.100000000000001" customHeight="1">
      <c r="C241" s="102"/>
      <c r="D241" s="3"/>
      <c r="E241" s="67"/>
      <c r="F241" s="3"/>
      <c r="G241" s="3"/>
      <c r="H241" s="3"/>
      <c r="J241" s="3"/>
      <c r="K241" s="3"/>
      <c r="L241" s="4"/>
      <c r="M241" s="3"/>
      <c r="O241" s="58"/>
      <c r="Q241" s="64"/>
      <c r="R241" s="45"/>
      <c r="S241" s="45"/>
      <c r="U241" s="64"/>
      <c r="V241" s="45"/>
      <c r="W241" s="64"/>
      <c r="X241" s="64"/>
      <c r="Y241" s="45"/>
      <c r="Z241" s="45"/>
      <c r="AA241" s="105"/>
      <c r="AB241" s="105"/>
      <c r="AC241" s="105"/>
      <c r="AD241" s="64"/>
      <c r="AG241" s="45"/>
      <c r="AH241" s="64"/>
      <c r="AI241" s="45"/>
      <c r="AJ241" s="105"/>
      <c r="AK241" s="105"/>
      <c r="AL241" s="60"/>
      <c r="AM241" s="60"/>
      <c r="AN241" s="60"/>
      <c r="AO241" s="60"/>
      <c r="AP241" s="60"/>
      <c r="AQ241" s="60"/>
      <c r="AR241" s="60"/>
      <c r="AS241" s="60"/>
      <c r="AT241" s="45"/>
      <c r="AU241" s="45"/>
      <c r="AW241" s="45"/>
      <c r="AX241" s="46">
        <f t="shared" si="10"/>
        <v>0</v>
      </c>
      <c r="AY241" s="46">
        <f t="shared" si="11"/>
        <v>0</v>
      </c>
      <c r="AZ241" s="46">
        <f t="shared" si="12"/>
        <v>0</v>
      </c>
    </row>
    <row r="242" spans="2:52" ht="20.100000000000001" customHeight="1">
      <c r="C242" s="102"/>
      <c r="D242" s="3"/>
      <c r="E242" s="67"/>
      <c r="F242" s="3"/>
      <c r="G242" s="3"/>
      <c r="H242" s="3"/>
      <c r="J242" s="3"/>
      <c r="K242" s="3"/>
      <c r="L242" s="4"/>
      <c r="M242" s="3"/>
      <c r="O242" s="58"/>
      <c r="Q242" s="64"/>
      <c r="R242" s="45"/>
      <c r="S242" s="45"/>
      <c r="U242" s="64"/>
      <c r="V242" s="45"/>
      <c r="W242" s="64"/>
      <c r="X242" s="64"/>
      <c r="Y242" s="45"/>
      <c r="Z242" s="45"/>
      <c r="AA242" s="105"/>
      <c r="AB242" s="105"/>
      <c r="AC242" s="105"/>
      <c r="AD242" s="64"/>
      <c r="AG242" s="45"/>
      <c r="AH242" s="64"/>
      <c r="AI242" s="45"/>
      <c r="AJ242" s="105"/>
      <c r="AK242" s="105"/>
      <c r="AL242" s="60"/>
      <c r="AM242" s="60"/>
      <c r="AN242" s="60"/>
      <c r="AO242" s="60"/>
      <c r="AP242" s="60"/>
      <c r="AQ242" s="60"/>
      <c r="AR242" s="60"/>
      <c r="AS242" s="60"/>
      <c r="AT242" s="45"/>
      <c r="AU242" s="45"/>
      <c r="AW242" s="45"/>
      <c r="AX242" s="46">
        <f t="shared" si="10"/>
        <v>0</v>
      </c>
      <c r="AY242" s="46">
        <f t="shared" si="11"/>
        <v>0</v>
      </c>
      <c r="AZ242" s="46">
        <f t="shared" si="12"/>
        <v>0</v>
      </c>
    </row>
    <row r="243" spans="2:52" ht="20.100000000000001" customHeight="1">
      <c r="C243" s="102"/>
      <c r="D243" s="3"/>
      <c r="E243" s="12"/>
      <c r="F243" s="3"/>
      <c r="G243" s="3"/>
      <c r="H243" s="3"/>
      <c r="J243" s="3"/>
      <c r="K243" s="3"/>
      <c r="L243" s="4"/>
      <c r="M243" s="3"/>
      <c r="O243" s="58"/>
      <c r="Q243" s="64"/>
      <c r="R243" s="45"/>
      <c r="S243" s="45"/>
      <c r="U243" s="64"/>
      <c r="V243" s="45"/>
      <c r="W243" s="64"/>
      <c r="X243" s="64"/>
      <c r="Y243" s="45"/>
      <c r="Z243" s="45"/>
      <c r="AA243" s="105"/>
      <c r="AB243" s="105"/>
      <c r="AC243" s="105"/>
      <c r="AD243" s="64"/>
      <c r="AG243" s="45"/>
      <c r="AH243" s="64"/>
      <c r="AI243" s="45"/>
      <c r="AJ243" s="105"/>
      <c r="AK243" s="105"/>
      <c r="AL243" s="60"/>
      <c r="AM243" s="60"/>
      <c r="AN243" s="60"/>
      <c r="AO243" s="60"/>
      <c r="AP243" s="60"/>
      <c r="AQ243" s="60"/>
      <c r="AR243" s="60"/>
      <c r="AS243" s="60"/>
      <c r="AT243" s="45"/>
      <c r="AU243" s="45"/>
      <c r="AW243" s="45"/>
      <c r="AX243" s="46">
        <f t="shared" si="10"/>
        <v>0</v>
      </c>
      <c r="AY243" s="46">
        <f t="shared" si="11"/>
        <v>0</v>
      </c>
      <c r="AZ243" s="46">
        <f t="shared" si="12"/>
        <v>0</v>
      </c>
    </row>
    <row r="244" spans="2:52" ht="20.100000000000001" customHeight="1">
      <c r="C244" s="102"/>
      <c r="D244" s="3"/>
      <c r="E244" s="12"/>
      <c r="F244" s="3"/>
      <c r="G244" s="3"/>
      <c r="H244" s="3"/>
      <c r="J244" s="3"/>
      <c r="K244" s="3"/>
      <c r="L244" s="4"/>
      <c r="M244" s="3"/>
      <c r="O244" s="58"/>
      <c r="Q244" s="64"/>
      <c r="R244" s="45"/>
      <c r="S244" s="45"/>
      <c r="U244" s="64"/>
      <c r="V244" s="45"/>
      <c r="W244" s="64"/>
      <c r="X244" s="64"/>
      <c r="Y244" s="45"/>
      <c r="Z244" s="45"/>
      <c r="AA244" s="105"/>
      <c r="AB244" s="105"/>
      <c r="AC244" s="105"/>
      <c r="AD244" s="64"/>
      <c r="AH244" s="64"/>
      <c r="AI244" s="45"/>
      <c r="AJ244" s="105"/>
      <c r="AK244" s="105"/>
      <c r="AL244" s="60"/>
      <c r="AM244" s="60"/>
      <c r="AN244" s="60"/>
      <c r="AO244" s="60"/>
      <c r="AP244" s="60"/>
      <c r="AQ244" s="60"/>
      <c r="AR244" s="60"/>
      <c r="AS244" s="60"/>
      <c r="AT244" s="45"/>
      <c r="AU244" s="45"/>
      <c r="AW244" s="45"/>
      <c r="AX244" s="46">
        <f t="shared" si="10"/>
        <v>0</v>
      </c>
      <c r="AY244" s="46">
        <f t="shared" si="11"/>
        <v>0</v>
      </c>
      <c r="AZ244" s="46">
        <f t="shared" si="12"/>
        <v>0</v>
      </c>
    </row>
    <row r="245" spans="2:52" ht="20.100000000000001" customHeight="1">
      <c r="C245" s="102"/>
      <c r="D245" s="3"/>
      <c r="E245" s="12"/>
      <c r="F245" s="3"/>
      <c r="G245" s="3"/>
      <c r="H245" s="3"/>
      <c r="J245" s="3"/>
      <c r="K245" s="3"/>
      <c r="L245" s="4"/>
      <c r="M245" s="3"/>
      <c r="O245" s="58"/>
      <c r="Q245" s="64"/>
      <c r="R245" s="45"/>
      <c r="S245" s="45"/>
      <c r="U245" s="64"/>
      <c r="V245" s="45"/>
      <c r="W245" s="64"/>
      <c r="X245" s="64"/>
      <c r="Y245" s="45"/>
      <c r="Z245" s="45"/>
      <c r="AA245" s="105"/>
      <c r="AB245" s="105"/>
      <c r="AC245" s="105"/>
      <c r="AD245" s="64"/>
      <c r="AG245" s="45"/>
      <c r="AH245" s="64"/>
      <c r="AI245" s="45"/>
      <c r="AJ245" s="105"/>
      <c r="AK245" s="105"/>
      <c r="AL245" s="60"/>
      <c r="AM245" s="60"/>
      <c r="AN245" s="60"/>
      <c r="AO245" s="60"/>
      <c r="AP245" s="60"/>
      <c r="AQ245" s="60"/>
      <c r="AR245" s="60"/>
      <c r="AS245" s="60"/>
      <c r="AT245" s="45"/>
      <c r="AU245" s="45"/>
      <c r="AW245" s="45"/>
      <c r="AX245" s="46">
        <f t="shared" si="10"/>
        <v>0</v>
      </c>
      <c r="AY245" s="46">
        <f t="shared" si="11"/>
        <v>0</v>
      </c>
      <c r="AZ245" s="46">
        <f t="shared" si="12"/>
        <v>0</v>
      </c>
    </row>
    <row r="246" spans="2:52" ht="20.100000000000001" customHeight="1">
      <c r="C246" s="102"/>
      <c r="D246" s="3"/>
      <c r="E246" s="12"/>
      <c r="F246" s="3"/>
      <c r="G246" s="3"/>
      <c r="H246" s="3"/>
      <c r="J246" s="3"/>
      <c r="K246" s="3"/>
      <c r="L246" s="4"/>
      <c r="M246" s="3"/>
      <c r="O246" s="58"/>
      <c r="Q246" s="64"/>
      <c r="R246" s="45"/>
      <c r="S246" s="45"/>
      <c r="U246" s="64"/>
      <c r="V246" s="45"/>
      <c r="W246" s="64"/>
      <c r="X246" s="64"/>
      <c r="Y246" s="45"/>
      <c r="Z246" s="45"/>
      <c r="AA246" s="105"/>
      <c r="AB246" s="105"/>
      <c r="AC246" s="105"/>
      <c r="AD246" s="64"/>
      <c r="AG246" s="45"/>
      <c r="AH246" s="64"/>
      <c r="AI246" s="45"/>
      <c r="AJ246" s="105"/>
      <c r="AK246" s="105"/>
      <c r="AL246" s="60"/>
      <c r="AM246" s="60"/>
      <c r="AN246" s="60"/>
      <c r="AO246" s="60"/>
      <c r="AP246" s="60"/>
      <c r="AQ246" s="60"/>
      <c r="AR246" s="60"/>
      <c r="AS246" s="60"/>
      <c r="AT246" s="45"/>
      <c r="AU246" s="45"/>
      <c r="AW246" s="45"/>
      <c r="AX246" s="46">
        <f t="shared" si="10"/>
        <v>0</v>
      </c>
      <c r="AY246" s="46">
        <f t="shared" si="11"/>
        <v>0</v>
      </c>
      <c r="AZ246" s="46">
        <f t="shared" si="12"/>
        <v>0</v>
      </c>
    </row>
    <row r="247" spans="2:52" ht="20.100000000000001" customHeight="1">
      <c r="C247" s="102"/>
      <c r="D247" s="3"/>
      <c r="E247" s="12"/>
      <c r="F247" s="3"/>
      <c r="G247" s="3"/>
      <c r="H247" s="3"/>
      <c r="J247" s="3"/>
      <c r="K247" s="3"/>
      <c r="L247" s="4"/>
      <c r="M247" s="3"/>
      <c r="O247" s="58"/>
      <c r="Q247" s="64"/>
      <c r="R247" s="45"/>
      <c r="S247" s="45"/>
      <c r="U247" s="64"/>
      <c r="V247" s="45"/>
      <c r="W247" s="64"/>
      <c r="X247" s="64"/>
      <c r="Y247" s="45"/>
      <c r="Z247" s="45"/>
      <c r="AA247" s="105"/>
      <c r="AB247" s="105"/>
      <c r="AC247" s="105"/>
      <c r="AD247" s="64"/>
      <c r="AG247" s="45"/>
      <c r="AH247" s="64"/>
      <c r="AI247" s="45"/>
      <c r="AJ247" s="105"/>
      <c r="AK247" s="105"/>
      <c r="AL247" s="60"/>
      <c r="AM247" s="60"/>
      <c r="AN247" s="60"/>
      <c r="AO247" s="60"/>
      <c r="AP247" s="60"/>
      <c r="AQ247" s="60"/>
      <c r="AR247" s="60"/>
      <c r="AS247" s="60"/>
      <c r="AT247" s="45"/>
      <c r="AU247" s="45"/>
      <c r="AW247" s="45"/>
      <c r="AX247" s="46">
        <f t="shared" si="10"/>
        <v>0</v>
      </c>
      <c r="AY247" s="46">
        <f t="shared" si="11"/>
        <v>0</v>
      </c>
      <c r="AZ247" s="46">
        <f t="shared" si="12"/>
        <v>0</v>
      </c>
    </row>
    <row r="248" spans="2:52" ht="20.100000000000001" customHeight="1">
      <c r="C248" s="102"/>
      <c r="D248" s="3"/>
      <c r="E248" s="67"/>
      <c r="F248" s="3"/>
      <c r="G248" s="3"/>
      <c r="H248" s="3"/>
      <c r="J248" s="3"/>
      <c r="K248" s="3"/>
      <c r="L248" s="4"/>
      <c r="M248" s="3"/>
      <c r="O248" s="58"/>
      <c r="Q248" s="64"/>
      <c r="R248" s="45"/>
      <c r="S248" s="45"/>
      <c r="U248" s="64"/>
      <c r="V248" s="45"/>
      <c r="W248" s="64"/>
      <c r="X248" s="64"/>
      <c r="Y248" s="45"/>
      <c r="Z248" s="45"/>
      <c r="AA248" s="105"/>
      <c r="AB248" s="105"/>
      <c r="AC248" s="105"/>
      <c r="AD248" s="64"/>
      <c r="AG248" s="45"/>
      <c r="AH248" s="64"/>
      <c r="AI248" s="45"/>
      <c r="AJ248" s="105"/>
      <c r="AK248" s="105"/>
      <c r="AL248" s="60"/>
      <c r="AM248" s="60"/>
      <c r="AN248" s="60"/>
      <c r="AO248" s="60"/>
      <c r="AP248" s="60"/>
      <c r="AQ248" s="60"/>
      <c r="AR248" s="60"/>
      <c r="AS248" s="60"/>
      <c r="AT248" s="45"/>
      <c r="AU248" s="45"/>
      <c r="AW248" s="45"/>
      <c r="AX248" s="46">
        <f t="shared" si="10"/>
        <v>0</v>
      </c>
      <c r="AY248" s="46">
        <f t="shared" si="11"/>
        <v>0</v>
      </c>
      <c r="AZ248" s="46">
        <f t="shared" si="12"/>
        <v>0</v>
      </c>
    </row>
    <row r="249" spans="2:52" ht="20.100000000000001" customHeight="1">
      <c r="B249" s="61"/>
      <c r="C249" s="103"/>
      <c r="D249" s="3"/>
      <c r="E249" s="12"/>
      <c r="F249" s="3"/>
      <c r="G249" s="3"/>
      <c r="H249" s="3"/>
      <c r="J249" s="3"/>
      <c r="K249" s="3"/>
      <c r="L249" s="4"/>
      <c r="M249" s="3"/>
      <c r="O249" s="58"/>
      <c r="Q249" s="64"/>
      <c r="R249" s="45"/>
      <c r="S249" s="45"/>
      <c r="U249" s="64"/>
      <c r="V249" s="45"/>
      <c r="W249" s="64"/>
      <c r="X249" s="64"/>
      <c r="Y249" s="45"/>
      <c r="Z249" s="45"/>
      <c r="AA249" s="105"/>
      <c r="AB249" s="105"/>
      <c r="AC249" s="105"/>
      <c r="AD249" s="64"/>
      <c r="AE249" s="62"/>
      <c r="AG249" s="45"/>
      <c r="AH249" s="64"/>
      <c r="AI249" s="45"/>
      <c r="AJ249" s="105"/>
      <c r="AK249" s="105"/>
      <c r="AL249" s="60"/>
      <c r="AM249" s="60"/>
      <c r="AN249" s="60"/>
      <c r="AO249" s="60"/>
      <c r="AP249" s="60"/>
      <c r="AQ249" s="60"/>
      <c r="AR249" s="60"/>
      <c r="AS249" s="60"/>
      <c r="AT249" s="45"/>
      <c r="AU249" s="45"/>
      <c r="AW249" s="45"/>
      <c r="AX249" s="46">
        <f t="shared" si="10"/>
        <v>0</v>
      </c>
      <c r="AY249" s="46">
        <f t="shared" si="11"/>
        <v>0</v>
      </c>
      <c r="AZ249" s="46">
        <f t="shared" si="12"/>
        <v>0</v>
      </c>
    </row>
    <row r="250" spans="2:52" ht="20.100000000000001" customHeight="1">
      <c r="C250" s="102"/>
      <c r="D250" s="3"/>
      <c r="E250" s="12"/>
      <c r="F250" s="3"/>
      <c r="G250" s="3"/>
      <c r="H250" s="3"/>
      <c r="J250" s="3"/>
      <c r="K250" s="3"/>
      <c r="L250" s="4"/>
      <c r="M250" s="3"/>
      <c r="O250" s="58"/>
      <c r="Q250" s="64"/>
      <c r="R250" s="45"/>
      <c r="S250" s="45"/>
      <c r="U250" s="64"/>
      <c r="V250" s="45"/>
      <c r="W250" s="64"/>
      <c r="X250" s="64"/>
      <c r="Y250" s="45"/>
      <c r="Z250" s="45"/>
      <c r="AA250" s="105"/>
      <c r="AB250" s="105"/>
      <c r="AC250" s="105"/>
      <c r="AD250" s="64"/>
      <c r="AG250" s="45"/>
      <c r="AH250" s="64"/>
      <c r="AI250" s="45"/>
      <c r="AJ250" s="105"/>
      <c r="AK250" s="105"/>
      <c r="AL250" s="60"/>
      <c r="AM250" s="60"/>
      <c r="AN250" s="60"/>
      <c r="AO250" s="60"/>
      <c r="AP250" s="60"/>
      <c r="AQ250" s="60"/>
      <c r="AR250" s="60"/>
      <c r="AS250" s="60"/>
      <c r="AT250" s="45"/>
      <c r="AU250" s="45"/>
      <c r="AW250" s="45"/>
      <c r="AX250" s="46">
        <f t="shared" si="10"/>
        <v>0</v>
      </c>
      <c r="AY250" s="46">
        <f t="shared" si="11"/>
        <v>0</v>
      </c>
      <c r="AZ250" s="46">
        <f t="shared" si="12"/>
        <v>0</v>
      </c>
    </row>
    <row r="251" spans="2:52" ht="20.100000000000001" customHeight="1">
      <c r="C251" s="102"/>
      <c r="D251" s="3"/>
      <c r="E251" s="12"/>
      <c r="F251" s="3"/>
      <c r="G251" s="3"/>
      <c r="H251" s="3"/>
      <c r="J251" s="3"/>
      <c r="K251" s="3"/>
      <c r="L251" s="4"/>
      <c r="M251" s="3"/>
      <c r="O251" s="58"/>
      <c r="Q251" s="64"/>
      <c r="R251" s="45"/>
      <c r="S251" s="45"/>
      <c r="U251" s="64"/>
      <c r="V251" s="45"/>
      <c r="W251" s="64"/>
      <c r="X251" s="64"/>
      <c r="Y251" s="45"/>
      <c r="Z251" s="45"/>
      <c r="AA251" s="105"/>
      <c r="AB251" s="105"/>
      <c r="AC251" s="105"/>
      <c r="AD251" s="64"/>
      <c r="AG251" s="45"/>
      <c r="AH251" s="64"/>
      <c r="AI251" s="45"/>
      <c r="AJ251" s="105"/>
      <c r="AK251" s="105"/>
      <c r="AL251" s="60"/>
      <c r="AM251" s="60"/>
      <c r="AN251" s="60"/>
      <c r="AO251" s="60"/>
      <c r="AP251" s="60"/>
      <c r="AQ251" s="60"/>
      <c r="AR251" s="60"/>
      <c r="AS251" s="60"/>
      <c r="AT251" s="45"/>
      <c r="AU251" s="45"/>
      <c r="AW251" s="45"/>
      <c r="AX251" s="46">
        <f t="shared" si="10"/>
        <v>0</v>
      </c>
      <c r="AY251" s="46">
        <f t="shared" si="11"/>
        <v>0</v>
      </c>
      <c r="AZ251" s="46">
        <f t="shared" si="12"/>
        <v>0</v>
      </c>
    </row>
    <row r="252" spans="2:52" ht="20.100000000000001" customHeight="1">
      <c r="C252" s="102"/>
      <c r="D252" s="3"/>
      <c r="E252" s="12"/>
      <c r="F252" s="3"/>
      <c r="G252" s="3"/>
      <c r="H252" s="3"/>
      <c r="J252" s="3"/>
      <c r="K252" s="3"/>
      <c r="L252" s="4"/>
      <c r="M252" s="3"/>
      <c r="O252" s="58"/>
      <c r="Q252" s="64"/>
      <c r="R252" s="45"/>
      <c r="S252" s="45"/>
      <c r="U252" s="64"/>
      <c r="V252" s="45"/>
      <c r="W252" s="64"/>
      <c r="X252" s="64"/>
      <c r="Y252" s="45"/>
      <c r="Z252" s="45"/>
      <c r="AA252" s="105"/>
      <c r="AB252" s="105"/>
      <c r="AC252" s="105"/>
      <c r="AD252" s="64"/>
      <c r="AG252" s="45"/>
      <c r="AH252" s="64"/>
      <c r="AI252" s="45"/>
      <c r="AJ252" s="105"/>
      <c r="AK252" s="105"/>
      <c r="AL252" s="60"/>
      <c r="AM252" s="60"/>
      <c r="AN252" s="60"/>
      <c r="AO252" s="60"/>
      <c r="AP252" s="60"/>
      <c r="AQ252" s="60"/>
      <c r="AR252" s="60"/>
      <c r="AS252" s="60"/>
      <c r="AT252" s="45"/>
      <c r="AU252" s="45"/>
      <c r="AW252" s="45"/>
      <c r="AX252" s="46">
        <f t="shared" si="10"/>
        <v>0</v>
      </c>
      <c r="AY252" s="46">
        <f t="shared" si="11"/>
        <v>0</v>
      </c>
      <c r="AZ252" s="46">
        <f t="shared" si="12"/>
        <v>0</v>
      </c>
    </row>
    <row r="253" spans="2:52" ht="20.100000000000001" customHeight="1">
      <c r="C253" s="102"/>
      <c r="D253" s="3"/>
      <c r="E253" s="12"/>
      <c r="F253" s="3"/>
      <c r="G253" s="3"/>
      <c r="H253" s="3"/>
      <c r="J253" s="3"/>
      <c r="K253" s="3"/>
      <c r="L253" s="4"/>
      <c r="M253" s="3"/>
      <c r="O253" s="58"/>
      <c r="Q253" s="64"/>
      <c r="R253" s="45"/>
      <c r="S253" s="45"/>
      <c r="U253" s="64"/>
      <c r="V253" s="45"/>
      <c r="W253" s="64"/>
      <c r="X253" s="64"/>
      <c r="Y253" s="45"/>
      <c r="Z253" s="45"/>
      <c r="AA253" s="105"/>
      <c r="AB253" s="105"/>
      <c r="AC253" s="105"/>
      <c r="AD253" s="64"/>
      <c r="AG253" s="45"/>
      <c r="AH253" s="64"/>
      <c r="AI253" s="45"/>
      <c r="AJ253" s="105"/>
      <c r="AK253" s="105"/>
      <c r="AL253" s="60"/>
      <c r="AM253" s="60"/>
      <c r="AN253" s="60"/>
      <c r="AO253" s="60"/>
      <c r="AP253" s="60"/>
      <c r="AQ253" s="60"/>
      <c r="AR253" s="60"/>
      <c r="AS253" s="60"/>
      <c r="AT253" s="45"/>
      <c r="AU253" s="45"/>
      <c r="AW253" s="45"/>
      <c r="AX253" s="46">
        <f t="shared" si="10"/>
        <v>0</v>
      </c>
      <c r="AY253" s="46">
        <f t="shared" si="11"/>
        <v>0</v>
      </c>
      <c r="AZ253" s="46">
        <f t="shared" si="12"/>
        <v>0</v>
      </c>
    </row>
    <row r="254" spans="2:52" ht="20.100000000000001" customHeight="1">
      <c r="B254" s="61"/>
      <c r="C254" s="103"/>
      <c r="D254" s="3"/>
      <c r="E254" s="12"/>
      <c r="F254" s="3"/>
      <c r="G254" s="3"/>
      <c r="H254" s="3"/>
      <c r="J254" s="3"/>
      <c r="K254" s="3"/>
      <c r="L254" s="4"/>
      <c r="M254" s="3"/>
      <c r="O254" s="58"/>
      <c r="Q254" s="64"/>
      <c r="R254" s="45"/>
      <c r="S254" s="45"/>
      <c r="U254" s="64"/>
      <c r="V254" s="45"/>
      <c r="W254" s="64"/>
      <c r="X254" s="64"/>
      <c r="Y254" s="45"/>
      <c r="Z254" s="45"/>
      <c r="AA254" s="105"/>
      <c r="AB254" s="105"/>
      <c r="AC254" s="105"/>
      <c r="AD254" s="64"/>
      <c r="AE254" s="62"/>
      <c r="AG254" s="45"/>
      <c r="AH254" s="64"/>
      <c r="AI254" s="45"/>
      <c r="AJ254" s="105"/>
      <c r="AK254" s="105"/>
      <c r="AL254" s="60"/>
      <c r="AM254" s="60"/>
      <c r="AN254" s="60"/>
      <c r="AO254" s="60"/>
      <c r="AP254" s="60"/>
      <c r="AQ254" s="60"/>
      <c r="AR254" s="60"/>
      <c r="AS254" s="60"/>
      <c r="AT254" s="45"/>
      <c r="AU254" s="45"/>
      <c r="AW254" s="45"/>
      <c r="AX254" s="46">
        <f t="shared" si="10"/>
        <v>0</v>
      </c>
      <c r="AY254" s="46">
        <f t="shared" si="11"/>
        <v>0</v>
      </c>
      <c r="AZ254" s="46">
        <f t="shared" si="12"/>
        <v>0</v>
      </c>
    </row>
    <row r="255" spans="2:52" ht="20.100000000000001" customHeight="1">
      <c r="C255" s="102"/>
      <c r="D255" s="3"/>
      <c r="E255" s="12"/>
      <c r="F255" s="3"/>
      <c r="G255" s="3"/>
      <c r="H255" s="3"/>
      <c r="J255" s="3"/>
      <c r="K255" s="3"/>
      <c r="L255" s="4"/>
      <c r="M255" s="3"/>
      <c r="O255" s="58"/>
      <c r="Q255" s="64"/>
      <c r="R255" s="45"/>
      <c r="S255" s="45"/>
      <c r="U255" s="64"/>
      <c r="V255" s="45"/>
      <c r="W255" s="64"/>
      <c r="X255" s="64"/>
      <c r="Y255" s="45"/>
      <c r="Z255" s="45"/>
      <c r="AA255" s="105"/>
      <c r="AB255" s="105"/>
      <c r="AC255" s="105"/>
      <c r="AD255" s="64"/>
      <c r="AG255" s="45"/>
      <c r="AH255" s="64"/>
      <c r="AI255" s="45"/>
      <c r="AJ255" s="105"/>
      <c r="AK255" s="105"/>
      <c r="AL255" s="60"/>
      <c r="AM255" s="60"/>
      <c r="AN255" s="60"/>
      <c r="AO255" s="60"/>
      <c r="AP255" s="60"/>
      <c r="AQ255" s="60"/>
      <c r="AR255" s="60"/>
      <c r="AS255" s="60"/>
      <c r="AT255" s="45"/>
      <c r="AU255" s="45"/>
      <c r="AW255" s="45"/>
      <c r="AX255" s="46">
        <f t="shared" si="10"/>
        <v>0</v>
      </c>
      <c r="AY255" s="46">
        <f t="shared" si="11"/>
        <v>0</v>
      </c>
      <c r="AZ255" s="46">
        <f t="shared" si="12"/>
        <v>0</v>
      </c>
    </row>
    <row r="256" spans="2:52" ht="20.100000000000001" customHeight="1">
      <c r="C256" s="102"/>
      <c r="D256" s="3"/>
      <c r="E256" s="12"/>
      <c r="F256" s="3"/>
      <c r="G256" s="3"/>
      <c r="H256" s="3"/>
      <c r="J256" s="3"/>
      <c r="K256" s="3"/>
      <c r="L256" s="4"/>
      <c r="M256" s="3"/>
      <c r="O256" s="58"/>
      <c r="Q256" s="64"/>
      <c r="R256" s="45"/>
      <c r="S256" s="45"/>
      <c r="U256" s="64"/>
      <c r="V256" s="45"/>
      <c r="W256" s="64"/>
      <c r="X256" s="64"/>
      <c r="Y256" s="45"/>
      <c r="Z256" s="45"/>
      <c r="AA256" s="105"/>
      <c r="AB256" s="105"/>
      <c r="AC256" s="105"/>
      <c r="AD256" s="64"/>
      <c r="AG256" s="45"/>
      <c r="AH256" s="64"/>
      <c r="AI256" s="45"/>
      <c r="AJ256" s="105"/>
      <c r="AK256" s="105"/>
      <c r="AL256" s="60"/>
      <c r="AM256" s="60"/>
      <c r="AN256" s="60"/>
      <c r="AO256" s="60"/>
      <c r="AP256" s="60"/>
      <c r="AQ256" s="60"/>
      <c r="AR256" s="60"/>
      <c r="AS256" s="60"/>
      <c r="AT256" s="45"/>
      <c r="AU256" s="45"/>
      <c r="AW256" s="45"/>
      <c r="AX256" s="46">
        <f t="shared" si="10"/>
        <v>0</v>
      </c>
      <c r="AY256" s="46">
        <f t="shared" si="11"/>
        <v>0</v>
      </c>
      <c r="AZ256" s="46">
        <f t="shared" si="12"/>
        <v>0</v>
      </c>
    </row>
    <row r="257" spans="3:52" ht="20.100000000000001" customHeight="1">
      <c r="C257" s="102"/>
      <c r="D257" s="3"/>
      <c r="E257" s="12"/>
      <c r="F257" s="3"/>
      <c r="G257" s="3"/>
      <c r="H257" s="3"/>
      <c r="J257" s="3"/>
      <c r="K257" s="3"/>
      <c r="L257" s="4"/>
      <c r="M257" s="3"/>
      <c r="O257" s="58"/>
      <c r="Q257" s="64"/>
      <c r="R257" s="45"/>
      <c r="S257" s="45"/>
      <c r="U257" s="64"/>
      <c r="V257" s="45"/>
      <c r="W257" s="64"/>
      <c r="X257" s="64"/>
      <c r="Y257" s="45"/>
      <c r="Z257" s="45"/>
      <c r="AA257" s="105"/>
      <c r="AB257" s="105"/>
      <c r="AC257" s="105"/>
      <c r="AD257" s="64"/>
      <c r="AG257" s="45"/>
      <c r="AH257" s="64"/>
      <c r="AI257" s="45"/>
      <c r="AJ257" s="105"/>
      <c r="AK257" s="105"/>
      <c r="AL257" s="60"/>
      <c r="AM257" s="60"/>
      <c r="AN257" s="60"/>
      <c r="AO257" s="60"/>
      <c r="AP257" s="60"/>
      <c r="AQ257" s="60"/>
      <c r="AR257" s="60"/>
      <c r="AS257" s="60"/>
      <c r="AT257" s="45"/>
      <c r="AU257" s="45"/>
      <c r="AW257" s="45"/>
      <c r="AX257" s="46">
        <f t="shared" si="10"/>
        <v>0</v>
      </c>
      <c r="AY257" s="46">
        <f t="shared" si="11"/>
        <v>0</v>
      </c>
      <c r="AZ257" s="46">
        <f t="shared" si="12"/>
        <v>0</v>
      </c>
    </row>
    <row r="258" spans="3:52" ht="20.100000000000001" customHeight="1">
      <c r="C258" s="102"/>
      <c r="D258" s="3"/>
      <c r="E258" s="12"/>
      <c r="F258" s="3"/>
      <c r="G258" s="3"/>
      <c r="H258" s="3"/>
      <c r="J258" s="3"/>
      <c r="K258" s="3"/>
      <c r="L258" s="4"/>
      <c r="M258" s="3"/>
      <c r="O258" s="58"/>
      <c r="Q258" s="64"/>
      <c r="R258" s="45"/>
      <c r="S258" s="45"/>
      <c r="U258" s="64"/>
      <c r="V258" s="45"/>
      <c r="W258" s="64"/>
      <c r="X258" s="64"/>
      <c r="Y258" s="45"/>
      <c r="Z258" s="45"/>
      <c r="AA258" s="105"/>
      <c r="AB258" s="105"/>
      <c r="AC258" s="105"/>
      <c r="AD258" s="64"/>
      <c r="AG258" s="45"/>
      <c r="AH258" s="64"/>
      <c r="AI258" s="45"/>
      <c r="AJ258" s="105"/>
      <c r="AK258" s="105"/>
      <c r="AL258" s="60"/>
      <c r="AM258" s="60"/>
      <c r="AN258" s="60"/>
      <c r="AO258" s="60"/>
      <c r="AP258" s="60"/>
      <c r="AQ258" s="60"/>
      <c r="AR258" s="60"/>
      <c r="AS258" s="60"/>
      <c r="AT258" s="45"/>
      <c r="AU258" s="45"/>
      <c r="AW258" s="45"/>
      <c r="AX258" s="46">
        <f t="shared" si="10"/>
        <v>0</v>
      </c>
      <c r="AY258" s="46">
        <f t="shared" si="11"/>
        <v>0</v>
      </c>
      <c r="AZ258" s="46">
        <f t="shared" si="12"/>
        <v>0</v>
      </c>
    </row>
    <row r="259" spans="3:52" ht="20.100000000000001" customHeight="1">
      <c r="C259" s="102"/>
      <c r="D259" s="3"/>
      <c r="E259" s="12"/>
      <c r="F259" s="3"/>
      <c r="G259" s="3"/>
      <c r="H259" s="3"/>
      <c r="J259" s="3"/>
      <c r="K259" s="3"/>
      <c r="L259" s="4"/>
      <c r="M259" s="3"/>
      <c r="O259" s="58"/>
      <c r="Q259" s="64"/>
      <c r="R259" s="45"/>
      <c r="S259" s="45"/>
      <c r="U259" s="64"/>
      <c r="V259" s="45"/>
      <c r="W259" s="64"/>
      <c r="X259" s="64"/>
      <c r="Y259" s="45"/>
      <c r="Z259" s="45"/>
      <c r="AA259" s="105"/>
      <c r="AB259" s="105"/>
      <c r="AC259" s="105"/>
      <c r="AD259" s="64"/>
      <c r="AG259" s="45"/>
      <c r="AH259" s="64"/>
      <c r="AI259" s="45"/>
      <c r="AJ259" s="105"/>
      <c r="AK259" s="105"/>
      <c r="AL259" s="60"/>
      <c r="AM259" s="60"/>
      <c r="AN259" s="60"/>
      <c r="AO259" s="60"/>
      <c r="AP259" s="60"/>
      <c r="AQ259" s="60"/>
      <c r="AR259" s="60"/>
      <c r="AS259" s="60"/>
      <c r="AT259" s="45"/>
      <c r="AU259" s="45"/>
      <c r="AW259" s="45"/>
      <c r="AX259" s="46">
        <f t="shared" si="10"/>
        <v>0</v>
      </c>
      <c r="AY259" s="46">
        <f t="shared" si="11"/>
        <v>0</v>
      </c>
      <c r="AZ259" s="46">
        <f t="shared" si="12"/>
        <v>0</v>
      </c>
    </row>
    <row r="260" spans="3:52" ht="20.100000000000001" customHeight="1">
      <c r="C260" s="102"/>
      <c r="D260" s="3"/>
      <c r="E260" s="12"/>
      <c r="F260" s="3"/>
      <c r="G260" s="3"/>
      <c r="H260" s="3"/>
      <c r="J260" s="3"/>
      <c r="K260" s="3"/>
      <c r="L260" s="4"/>
      <c r="M260" s="3"/>
      <c r="O260" s="58"/>
      <c r="Q260" s="64"/>
      <c r="R260" s="45"/>
      <c r="S260" s="45"/>
      <c r="U260" s="64"/>
      <c r="V260" s="45"/>
      <c r="W260" s="64"/>
      <c r="X260" s="64"/>
      <c r="Y260" s="45"/>
      <c r="Z260" s="45"/>
      <c r="AA260" s="105"/>
      <c r="AB260" s="105"/>
      <c r="AC260" s="105"/>
      <c r="AD260" s="64"/>
      <c r="AG260" s="45"/>
      <c r="AH260" s="64"/>
      <c r="AI260" s="45"/>
      <c r="AJ260" s="105"/>
      <c r="AK260" s="105"/>
      <c r="AL260" s="60"/>
      <c r="AM260" s="60"/>
      <c r="AN260" s="60"/>
      <c r="AO260" s="60"/>
      <c r="AP260" s="60"/>
      <c r="AQ260" s="60"/>
      <c r="AR260" s="60"/>
      <c r="AS260" s="60"/>
      <c r="AT260" s="45"/>
      <c r="AU260" s="45"/>
      <c r="AW260" s="45"/>
      <c r="AX260" s="46">
        <f t="shared" si="10"/>
        <v>0</v>
      </c>
      <c r="AY260" s="46">
        <f t="shared" si="11"/>
        <v>0</v>
      </c>
      <c r="AZ260" s="46">
        <f t="shared" si="12"/>
        <v>0</v>
      </c>
    </row>
    <row r="261" spans="3:52" ht="20.100000000000001" customHeight="1">
      <c r="C261" s="102"/>
      <c r="D261" s="3"/>
      <c r="E261" s="12"/>
      <c r="F261" s="3"/>
      <c r="G261" s="3"/>
      <c r="H261" s="3"/>
      <c r="J261" s="3"/>
      <c r="K261" s="3"/>
      <c r="L261" s="4"/>
      <c r="M261" s="3"/>
      <c r="O261" s="58"/>
      <c r="Q261" s="64"/>
      <c r="R261" s="45"/>
      <c r="S261" s="45"/>
      <c r="U261" s="64"/>
      <c r="V261" s="45"/>
      <c r="W261" s="64"/>
      <c r="X261" s="64"/>
      <c r="Y261" s="45"/>
      <c r="Z261" s="45"/>
      <c r="AA261" s="105"/>
      <c r="AB261" s="105"/>
      <c r="AC261" s="105"/>
      <c r="AD261" s="64"/>
      <c r="AG261" s="45"/>
      <c r="AH261" s="64"/>
      <c r="AI261" s="45"/>
      <c r="AJ261" s="105"/>
      <c r="AK261" s="105"/>
      <c r="AL261" s="60"/>
      <c r="AM261" s="60"/>
      <c r="AN261" s="60"/>
      <c r="AO261" s="60"/>
      <c r="AP261" s="60"/>
      <c r="AQ261" s="60"/>
      <c r="AR261" s="60"/>
      <c r="AS261" s="60"/>
      <c r="AT261" s="45"/>
      <c r="AU261" s="45"/>
      <c r="AW261" s="45"/>
      <c r="AX261" s="46">
        <f t="shared" si="10"/>
        <v>0</v>
      </c>
      <c r="AY261" s="46">
        <f t="shared" si="11"/>
        <v>0</v>
      </c>
      <c r="AZ261" s="46">
        <f t="shared" si="12"/>
        <v>0</v>
      </c>
    </row>
    <row r="262" spans="3:52" ht="20.100000000000001" customHeight="1">
      <c r="C262" s="102"/>
      <c r="D262" s="3"/>
      <c r="E262" s="12"/>
      <c r="F262" s="3"/>
      <c r="G262" s="3"/>
      <c r="H262" s="3"/>
      <c r="J262" s="3"/>
      <c r="K262" s="3"/>
      <c r="L262" s="4"/>
      <c r="M262" s="3"/>
      <c r="O262" s="58"/>
      <c r="Q262" s="64"/>
      <c r="R262" s="45"/>
      <c r="S262" s="45"/>
      <c r="U262" s="64"/>
      <c r="V262" s="45"/>
      <c r="W262" s="64"/>
      <c r="X262" s="64"/>
      <c r="Y262" s="45"/>
      <c r="Z262" s="45"/>
      <c r="AA262" s="105"/>
      <c r="AB262" s="105"/>
      <c r="AC262" s="105"/>
      <c r="AD262" s="64"/>
      <c r="AG262" s="45"/>
      <c r="AH262" s="64"/>
      <c r="AI262" s="45"/>
      <c r="AJ262" s="105"/>
      <c r="AK262" s="105"/>
      <c r="AL262" s="60"/>
      <c r="AM262" s="60"/>
      <c r="AN262" s="60"/>
      <c r="AO262" s="60"/>
      <c r="AP262" s="60"/>
      <c r="AQ262" s="60"/>
      <c r="AR262" s="60"/>
      <c r="AS262" s="60"/>
      <c r="AT262" s="45"/>
      <c r="AU262" s="45"/>
      <c r="AW262" s="45"/>
      <c r="AX262" s="46">
        <f t="shared" si="10"/>
        <v>0</v>
      </c>
      <c r="AY262" s="46">
        <f t="shared" si="11"/>
        <v>0</v>
      </c>
      <c r="AZ262" s="46">
        <f t="shared" si="12"/>
        <v>0</v>
      </c>
    </row>
    <row r="263" spans="3:52" ht="20.100000000000001" customHeight="1">
      <c r="C263" s="102"/>
      <c r="D263" s="3"/>
      <c r="E263" s="12"/>
      <c r="F263" s="3"/>
      <c r="G263" s="3"/>
      <c r="H263" s="3"/>
      <c r="J263" s="3"/>
      <c r="K263" s="3"/>
      <c r="L263" s="4"/>
      <c r="M263" s="3"/>
      <c r="O263" s="58"/>
      <c r="Q263" s="64"/>
      <c r="R263" s="45"/>
      <c r="S263" s="45"/>
      <c r="U263" s="64"/>
      <c r="V263" s="45"/>
      <c r="W263" s="64"/>
      <c r="X263" s="64"/>
      <c r="Y263" s="45"/>
      <c r="Z263" s="45"/>
      <c r="AA263" s="105"/>
      <c r="AB263" s="105"/>
      <c r="AC263" s="105"/>
      <c r="AD263" s="64"/>
      <c r="AG263" s="45"/>
      <c r="AH263" s="64"/>
      <c r="AI263" s="45"/>
      <c r="AJ263" s="105"/>
      <c r="AK263" s="105"/>
      <c r="AL263" s="60"/>
      <c r="AM263" s="60"/>
      <c r="AN263" s="60"/>
      <c r="AO263" s="60"/>
      <c r="AP263" s="60"/>
      <c r="AQ263" s="60"/>
      <c r="AR263" s="60"/>
      <c r="AS263" s="60"/>
      <c r="AT263" s="45"/>
      <c r="AU263" s="45"/>
      <c r="AW263" s="45"/>
      <c r="AX263" s="46">
        <f t="shared" si="10"/>
        <v>0</v>
      </c>
      <c r="AY263" s="46">
        <f t="shared" si="11"/>
        <v>0</v>
      </c>
      <c r="AZ263" s="46">
        <f t="shared" si="12"/>
        <v>0</v>
      </c>
    </row>
    <row r="264" spans="3:52" ht="20.100000000000001" customHeight="1">
      <c r="C264" s="102"/>
      <c r="D264" s="3"/>
      <c r="E264" s="12"/>
      <c r="F264" s="3"/>
      <c r="G264" s="3"/>
      <c r="H264" s="3"/>
      <c r="J264" s="3"/>
      <c r="K264" s="3"/>
      <c r="L264" s="4"/>
      <c r="M264" s="3"/>
      <c r="O264" s="58"/>
      <c r="Q264" s="64"/>
      <c r="R264" s="45"/>
      <c r="S264" s="45"/>
      <c r="U264" s="64"/>
      <c r="V264" s="45"/>
      <c r="W264" s="64"/>
      <c r="X264" s="64"/>
      <c r="Y264" s="45"/>
      <c r="Z264" s="45"/>
      <c r="AA264" s="105"/>
      <c r="AB264" s="105"/>
      <c r="AC264" s="105"/>
      <c r="AD264" s="64"/>
      <c r="AG264" s="45"/>
      <c r="AH264" s="64"/>
      <c r="AI264" s="45"/>
      <c r="AJ264" s="105"/>
      <c r="AK264" s="105"/>
      <c r="AL264" s="60"/>
      <c r="AM264" s="60"/>
      <c r="AN264" s="60"/>
      <c r="AO264" s="60"/>
      <c r="AP264" s="60"/>
      <c r="AQ264" s="60"/>
      <c r="AR264" s="60"/>
      <c r="AS264" s="60"/>
      <c r="AT264" s="45"/>
      <c r="AU264" s="45"/>
      <c r="AW264" s="45"/>
      <c r="AX264" s="46">
        <f t="shared" si="10"/>
        <v>0</v>
      </c>
      <c r="AY264" s="46">
        <f t="shared" si="11"/>
        <v>0</v>
      </c>
      <c r="AZ264" s="46">
        <f t="shared" si="12"/>
        <v>0</v>
      </c>
    </row>
    <row r="265" spans="3:52" ht="20.100000000000001" customHeight="1">
      <c r="C265" s="102"/>
      <c r="D265" s="3"/>
      <c r="E265" s="12"/>
      <c r="F265" s="3"/>
      <c r="G265" s="3"/>
      <c r="H265" s="3"/>
      <c r="J265" s="3"/>
      <c r="K265" s="3"/>
      <c r="L265" s="4"/>
      <c r="M265" s="3"/>
      <c r="O265" s="58"/>
      <c r="Q265" s="64"/>
      <c r="R265" s="45"/>
      <c r="S265" s="45"/>
      <c r="U265" s="64"/>
      <c r="V265" s="45"/>
      <c r="W265" s="64"/>
      <c r="X265" s="64"/>
      <c r="Y265" s="45"/>
      <c r="Z265" s="45"/>
      <c r="AA265" s="105"/>
      <c r="AB265" s="105"/>
      <c r="AC265" s="105"/>
      <c r="AD265" s="64"/>
      <c r="AG265" s="45"/>
      <c r="AH265" s="64"/>
      <c r="AI265" s="45"/>
      <c r="AJ265" s="105"/>
      <c r="AK265" s="105"/>
      <c r="AL265" s="60"/>
      <c r="AM265" s="60"/>
      <c r="AN265" s="60"/>
      <c r="AO265" s="60"/>
      <c r="AP265" s="60"/>
      <c r="AQ265" s="60"/>
      <c r="AR265" s="60"/>
      <c r="AS265" s="60"/>
      <c r="AT265" s="45"/>
      <c r="AU265" s="45"/>
      <c r="AW265" s="45"/>
      <c r="AX265" s="46">
        <f t="shared" si="10"/>
        <v>0</v>
      </c>
      <c r="AY265" s="46">
        <f t="shared" si="11"/>
        <v>0</v>
      </c>
      <c r="AZ265" s="46">
        <f t="shared" si="12"/>
        <v>0</v>
      </c>
    </row>
    <row r="266" spans="3:52" ht="20.100000000000001" customHeight="1">
      <c r="C266" s="102"/>
      <c r="D266" s="3"/>
      <c r="E266" s="67"/>
      <c r="F266" s="3"/>
      <c r="G266" s="3"/>
      <c r="H266" s="3"/>
      <c r="J266" s="3"/>
      <c r="K266" s="3"/>
      <c r="L266" s="4"/>
      <c r="M266" s="3"/>
      <c r="O266" s="58"/>
      <c r="Q266" s="64"/>
      <c r="R266" s="45"/>
      <c r="S266" s="45"/>
      <c r="U266" s="64"/>
      <c r="V266" s="45"/>
      <c r="W266" s="64"/>
      <c r="X266" s="64"/>
      <c r="Y266" s="45"/>
      <c r="Z266" s="45"/>
      <c r="AA266" s="105"/>
      <c r="AB266" s="105"/>
      <c r="AC266" s="105"/>
      <c r="AD266" s="64"/>
      <c r="AG266" s="45"/>
      <c r="AH266" s="64"/>
      <c r="AI266" s="45"/>
      <c r="AJ266" s="105"/>
      <c r="AK266" s="105"/>
      <c r="AL266" s="60"/>
      <c r="AM266" s="60"/>
      <c r="AN266" s="60"/>
      <c r="AO266" s="60"/>
      <c r="AP266" s="60"/>
      <c r="AQ266" s="60"/>
      <c r="AR266" s="60"/>
      <c r="AS266" s="60"/>
      <c r="AT266" s="45"/>
      <c r="AU266" s="45"/>
      <c r="AW266" s="45"/>
      <c r="AX266" s="46">
        <f t="shared" si="10"/>
        <v>0</v>
      </c>
      <c r="AY266" s="46">
        <f t="shared" si="11"/>
        <v>0</v>
      </c>
      <c r="AZ266" s="46">
        <f t="shared" si="12"/>
        <v>0</v>
      </c>
    </row>
    <row r="267" spans="3:52" ht="20.100000000000001" customHeight="1">
      <c r="C267" s="102"/>
      <c r="D267" s="3"/>
      <c r="E267" s="12"/>
      <c r="F267" s="3"/>
      <c r="G267" s="3"/>
      <c r="H267" s="3"/>
      <c r="J267" s="3"/>
      <c r="K267" s="3"/>
      <c r="L267" s="4"/>
      <c r="M267" s="3"/>
      <c r="O267" s="58"/>
      <c r="Q267" s="64"/>
      <c r="R267" s="45"/>
      <c r="S267" s="45"/>
      <c r="U267" s="64"/>
      <c r="V267" s="45"/>
      <c r="W267" s="64"/>
      <c r="X267" s="64"/>
      <c r="Y267" s="45"/>
      <c r="Z267" s="45"/>
      <c r="AA267" s="105"/>
      <c r="AB267" s="105"/>
      <c r="AC267" s="105"/>
      <c r="AD267" s="64"/>
      <c r="AH267" s="64"/>
      <c r="AI267" s="45"/>
      <c r="AJ267" s="105"/>
      <c r="AK267" s="105"/>
      <c r="AL267" s="60"/>
      <c r="AM267" s="60"/>
      <c r="AN267" s="60"/>
      <c r="AO267" s="60"/>
      <c r="AP267" s="60"/>
      <c r="AQ267" s="60"/>
      <c r="AR267" s="60"/>
      <c r="AS267" s="60"/>
      <c r="AT267" s="45"/>
      <c r="AU267" s="45"/>
      <c r="AW267" s="45"/>
      <c r="AX267" s="46">
        <f t="shared" ref="AX267:AX330" si="13">IFERROR(SUM(Q267:AS267)-SUM(AT267:AU267)+AV267,"-")</f>
        <v>0</v>
      </c>
      <c r="AY267" s="46">
        <f t="shared" ref="AY267:AY330" si="14">IFERROR(SUM(Q267:AS267)-SUM(AT267:AT267),"-")</f>
        <v>0</v>
      </c>
      <c r="AZ267" s="46">
        <f t="shared" ref="AZ267:AZ330" si="15">SUM(Q267:AS267)</f>
        <v>0</v>
      </c>
    </row>
    <row r="268" spans="3:52" ht="20.100000000000001" customHeight="1">
      <c r="C268" s="102"/>
      <c r="D268" s="3"/>
      <c r="E268" s="12"/>
      <c r="F268" s="3"/>
      <c r="G268" s="3"/>
      <c r="H268" s="3"/>
      <c r="J268" s="3"/>
      <c r="K268" s="3"/>
      <c r="L268" s="4"/>
      <c r="M268" s="3"/>
      <c r="O268" s="58"/>
      <c r="Q268" s="64"/>
      <c r="R268" s="45"/>
      <c r="S268" s="45"/>
      <c r="U268" s="64"/>
      <c r="V268" s="45"/>
      <c r="W268" s="64"/>
      <c r="X268" s="64"/>
      <c r="Y268" s="45"/>
      <c r="Z268" s="45"/>
      <c r="AA268" s="105"/>
      <c r="AB268" s="105"/>
      <c r="AC268" s="105"/>
      <c r="AD268" s="64"/>
      <c r="AG268" s="45"/>
      <c r="AH268" s="64"/>
      <c r="AI268" s="45"/>
      <c r="AJ268" s="105"/>
      <c r="AK268" s="105"/>
      <c r="AL268" s="60"/>
      <c r="AM268" s="60"/>
      <c r="AN268" s="60"/>
      <c r="AO268" s="60"/>
      <c r="AP268" s="60"/>
      <c r="AQ268" s="60"/>
      <c r="AR268" s="60"/>
      <c r="AS268" s="60"/>
      <c r="AT268" s="45"/>
      <c r="AU268" s="45"/>
      <c r="AW268" s="45"/>
      <c r="AX268" s="46">
        <f t="shared" si="13"/>
        <v>0</v>
      </c>
      <c r="AY268" s="46">
        <f t="shared" si="14"/>
        <v>0</v>
      </c>
      <c r="AZ268" s="46">
        <f t="shared" si="15"/>
        <v>0</v>
      </c>
    </row>
    <row r="269" spans="3:52" ht="20.100000000000001" customHeight="1">
      <c r="C269" s="102"/>
      <c r="D269" s="3"/>
      <c r="E269" s="12"/>
      <c r="F269" s="3"/>
      <c r="G269" s="3"/>
      <c r="H269" s="3"/>
      <c r="J269" s="3"/>
      <c r="K269" s="3"/>
      <c r="L269" s="4"/>
      <c r="M269" s="3"/>
      <c r="O269" s="58"/>
      <c r="Q269" s="64"/>
      <c r="R269" s="45"/>
      <c r="S269" s="45"/>
      <c r="U269" s="64"/>
      <c r="V269" s="45"/>
      <c r="W269" s="64"/>
      <c r="X269" s="64"/>
      <c r="Y269" s="45"/>
      <c r="Z269" s="45"/>
      <c r="AA269" s="105"/>
      <c r="AB269" s="105"/>
      <c r="AC269" s="105"/>
      <c r="AD269" s="64"/>
      <c r="AG269" s="45"/>
      <c r="AH269" s="64"/>
      <c r="AI269" s="45"/>
      <c r="AJ269" s="105"/>
      <c r="AK269" s="105"/>
      <c r="AL269" s="60"/>
      <c r="AM269" s="60"/>
      <c r="AN269" s="60"/>
      <c r="AO269" s="60"/>
      <c r="AP269" s="60"/>
      <c r="AQ269" s="60"/>
      <c r="AR269" s="60"/>
      <c r="AS269" s="60"/>
      <c r="AT269" s="45"/>
      <c r="AU269" s="45"/>
      <c r="AW269" s="45"/>
      <c r="AX269" s="46">
        <f t="shared" si="13"/>
        <v>0</v>
      </c>
      <c r="AY269" s="46">
        <f t="shared" si="14"/>
        <v>0</v>
      </c>
      <c r="AZ269" s="46">
        <f t="shared" si="15"/>
        <v>0</v>
      </c>
    </row>
    <row r="270" spans="3:52" ht="20.100000000000001" customHeight="1">
      <c r="C270" s="102"/>
      <c r="D270" s="3"/>
      <c r="E270" s="67"/>
      <c r="F270" s="3"/>
      <c r="G270" s="3"/>
      <c r="H270" s="3"/>
      <c r="J270" s="3"/>
      <c r="K270" s="3"/>
      <c r="L270" s="4"/>
      <c r="M270" s="3"/>
      <c r="O270" s="58"/>
      <c r="Q270" s="64"/>
      <c r="R270" s="45"/>
      <c r="S270" s="45"/>
      <c r="U270" s="64"/>
      <c r="V270" s="45"/>
      <c r="W270" s="64"/>
      <c r="X270" s="64"/>
      <c r="Y270" s="45"/>
      <c r="Z270" s="45"/>
      <c r="AA270" s="105"/>
      <c r="AB270" s="105"/>
      <c r="AC270" s="105"/>
      <c r="AD270" s="64"/>
      <c r="AG270" s="45"/>
      <c r="AH270" s="64"/>
      <c r="AI270" s="45"/>
      <c r="AJ270" s="105"/>
      <c r="AK270" s="105"/>
      <c r="AL270" s="60"/>
      <c r="AM270" s="60"/>
      <c r="AN270" s="60"/>
      <c r="AO270" s="60"/>
      <c r="AP270" s="60"/>
      <c r="AQ270" s="60"/>
      <c r="AR270" s="60"/>
      <c r="AS270" s="60"/>
      <c r="AT270" s="45"/>
      <c r="AU270" s="45"/>
      <c r="AW270" s="45"/>
      <c r="AX270" s="46">
        <f t="shared" si="13"/>
        <v>0</v>
      </c>
      <c r="AY270" s="46">
        <f t="shared" si="14"/>
        <v>0</v>
      </c>
      <c r="AZ270" s="46">
        <f t="shared" si="15"/>
        <v>0</v>
      </c>
    </row>
    <row r="271" spans="3:52" ht="20.100000000000001" customHeight="1">
      <c r="C271" s="102"/>
      <c r="D271" s="3"/>
      <c r="E271" s="67"/>
      <c r="F271" s="3"/>
      <c r="G271" s="3"/>
      <c r="H271" s="3"/>
      <c r="J271" s="3"/>
      <c r="K271" s="3"/>
      <c r="L271" s="4"/>
      <c r="M271" s="3"/>
      <c r="O271" s="58"/>
      <c r="Q271" s="64"/>
      <c r="R271" s="45"/>
      <c r="S271" s="45"/>
      <c r="U271" s="64"/>
      <c r="V271" s="45"/>
      <c r="W271" s="64"/>
      <c r="X271" s="64"/>
      <c r="Y271" s="45"/>
      <c r="Z271" s="45"/>
      <c r="AA271" s="105"/>
      <c r="AB271" s="105"/>
      <c r="AC271" s="105"/>
      <c r="AD271" s="64"/>
      <c r="AG271" s="45"/>
      <c r="AH271" s="64"/>
      <c r="AI271" s="45"/>
      <c r="AJ271" s="105"/>
      <c r="AK271" s="105"/>
      <c r="AL271" s="60"/>
      <c r="AM271" s="60"/>
      <c r="AN271" s="60"/>
      <c r="AO271" s="60"/>
      <c r="AP271" s="60"/>
      <c r="AQ271" s="60"/>
      <c r="AR271" s="60"/>
      <c r="AS271" s="60"/>
      <c r="AT271" s="45"/>
      <c r="AU271" s="45"/>
      <c r="AW271" s="45"/>
      <c r="AX271" s="46">
        <f t="shared" si="13"/>
        <v>0</v>
      </c>
      <c r="AY271" s="46">
        <f t="shared" si="14"/>
        <v>0</v>
      </c>
      <c r="AZ271" s="46">
        <f t="shared" si="15"/>
        <v>0</v>
      </c>
    </row>
    <row r="272" spans="3:52" ht="20.100000000000001" customHeight="1">
      <c r="C272" s="102"/>
      <c r="D272" s="3"/>
      <c r="E272" s="67"/>
      <c r="F272" s="3"/>
      <c r="G272" s="3"/>
      <c r="H272" s="3"/>
      <c r="J272" s="3"/>
      <c r="K272" s="3"/>
      <c r="L272" s="4"/>
      <c r="M272" s="3"/>
      <c r="O272" s="58"/>
      <c r="Q272" s="64"/>
      <c r="R272" s="45"/>
      <c r="S272" s="45"/>
      <c r="U272" s="64"/>
      <c r="V272" s="45"/>
      <c r="W272" s="64"/>
      <c r="X272" s="64"/>
      <c r="Y272" s="45"/>
      <c r="Z272" s="45"/>
      <c r="AA272" s="105"/>
      <c r="AB272" s="105"/>
      <c r="AC272" s="105"/>
      <c r="AD272" s="64"/>
      <c r="AG272" s="45"/>
      <c r="AH272" s="64"/>
      <c r="AI272" s="45"/>
      <c r="AJ272" s="105"/>
      <c r="AK272" s="105"/>
      <c r="AL272" s="60"/>
      <c r="AM272" s="60"/>
      <c r="AN272" s="60"/>
      <c r="AO272" s="60"/>
      <c r="AP272" s="60"/>
      <c r="AQ272" s="60"/>
      <c r="AR272" s="60"/>
      <c r="AS272" s="60"/>
      <c r="AT272" s="45"/>
      <c r="AU272" s="45"/>
      <c r="AW272" s="45"/>
      <c r="AX272" s="46">
        <f t="shared" si="13"/>
        <v>0</v>
      </c>
      <c r="AY272" s="46">
        <f t="shared" si="14"/>
        <v>0</v>
      </c>
      <c r="AZ272" s="46">
        <f t="shared" si="15"/>
        <v>0</v>
      </c>
    </row>
    <row r="273" spans="3:52" ht="20.100000000000001" customHeight="1">
      <c r="C273" s="102"/>
      <c r="D273" s="3"/>
      <c r="E273" s="67"/>
      <c r="F273" s="3"/>
      <c r="G273" s="3"/>
      <c r="H273" s="3"/>
      <c r="J273" s="3"/>
      <c r="K273" s="3"/>
      <c r="L273" s="4"/>
      <c r="M273" s="3"/>
      <c r="O273" s="58"/>
      <c r="Q273" s="64"/>
      <c r="R273" s="45"/>
      <c r="S273" s="45"/>
      <c r="U273" s="64"/>
      <c r="V273" s="45"/>
      <c r="W273" s="64"/>
      <c r="X273" s="64"/>
      <c r="Y273" s="45"/>
      <c r="Z273" s="45"/>
      <c r="AA273" s="105"/>
      <c r="AB273" s="105"/>
      <c r="AC273" s="105"/>
      <c r="AD273" s="64"/>
      <c r="AG273" s="45"/>
      <c r="AH273" s="64"/>
      <c r="AI273" s="45"/>
      <c r="AJ273" s="105"/>
      <c r="AK273" s="105"/>
      <c r="AL273" s="60"/>
      <c r="AM273" s="60"/>
      <c r="AN273" s="60"/>
      <c r="AO273" s="60"/>
      <c r="AP273" s="60"/>
      <c r="AQ273" s="60"/>
      <c r="AR273" s="60"/>
      <c r="AS273" s="60"/>
      <c r="AT273" s="45"/>
      <c r="AU273" s="45"/>
      <c r="AW273" s="45"/>
      <c r="AX273" s="46">
        <f t="shared" si="13"/>
        <v>0</v>
      </c>
      <c r="AY273" s="46">
        <f t="shared" si="14"/>
        <v>0</v>
      </c>
      <c r="AZ273" s="46">
        <f t="shared" si="15"/>
        <v>0</v>
      </c>
    </row>
    <row r="274" spans="3:52" ht="20.100000000000001" customHeight="1">
      <c r="C274" s="102"/>
      <c r="D274" s="3"/>
      <c r="E274" s="67"/>
      <c r="F274" s="3"/>
      <c r="G274" s="3"/>
      <c r="H274" s="3"/>
      <c r="J274" s="3"/>
      <c r="K274" s="3"/>
      <c r="L274" s="4"/>
      <c r="M274" s="3"/>
      <c r="O274" s="58"/>
      <c r="Q274" s="64"/>
      <c r="R274" s="45"/>
      <c r="S274" s="45"/>
      <c r="U274" s="64"/>
      <c r="V274" s="45"/>
      <c r="W274" s="64"/>
      <c r="X274" s="64"/>
      <c r="Y274" s="45"/>
      <c r="Z274" s="45"/>
      <c r="AA274" s="105"/>
      <c r="AB274" s="105"/>
      <c r="AC274" s="105"/>
      <c r="AD274" s="64"/>
      <c r="AG274" s="45"/>
      <c r="AH274" s="64"/>
      <c r="AI274" s="45"/>
      <c r="AJ274" s="105"/>
      <c r="AK274" s="105"/>
      <c r="AL274" s="60"/>
      <c r="AM274" s="60"/>
      <c r="AN274" s="60"/>
      <c r="AO274" s="60"/>
      <c r="AP274" s="60"/>
      <c r="AQ274" s="60"/>
      <c r="AR274" s="60"/>
      <c r="AS274" s="60"/>
      <c r="AT274" s="45"/>
      <c r="AU274" s="45"/>
      <c r="AW274" s="45"/>
      <c r="AX274" s="46">
        <f t="shared" si="13"/>
        <v>0</v>
      </c>
      <c r="AY274" s="46">
        <f t="shared" si="14"/>
        <v>0</v>
      </c>
      <c r="AZ274" s="46">
        <f t="shared" si="15"/>
        <v>0</v>
      </c>
    </row>
    <row r="275" spans="3:52" ht="20.100000000000001" customHeight="1">
      <c r="C275" s="102"/>
      <c r="D275" s="3"/>
      <c r="E275" s="67"/>
      <c r="F275" s="3"/>
      <c r="G275" s="3"/>
      <c r="H275" s="3"/>
      <c r="J275" s="3"/>
      <c r="K275" s="3"/>
      <c r="L275" s="4"/>
      <c r="M275" s="3"/>
      <c r="O275" s="58"/>
      <c r="Q275" s="64"/>
      <c r="R275" s="45"/>
      <c r="S275" s="45"/>
      <c r="U275" s="64"/>
      <c r="V275" s="45"/>
      <c r="W275" s="64"/>
      <c r="X275" s="64"/>
      <c r="Y275" s="45"/>
      <c r="Z275" s="45"/>
      <c r="AA275" s="105"/>
      <c r="AB275" s="105"/>
      <c r="AC275" s="105"/>
      <c r="AD275" s="64"/>
      <c r="AG275" s="45"/>
      <c r="AH275" s="64"/>
      <c r="AI275" s="45"/>
      <c r="AJ275" s="105"/>
      <c r="AK275" s="105"/>
      <c r="AL275" s="60"/>
      <c r="AM275" s="60"/>
      <c r="AN275" s="60"/>
      <c r="AO275" s="60"/>
      <c r="AP275" s="60"/>
      <c r="AQ275" s="60"/>
      <c r="AR275" s="60"/>
      <c r="AS275" s="60"/>
      <c r="AT275" s="45"/>
      <c r="AU275" s="45"/>
      <c r="AW275" s="45"/>
      <c r="AX275" s="46">
        <f t="shared" si="13"/>
        <v>0</v>
      </c>
      <c r="AY275" s="46">
        <f t="shared" si="14"/>
        <v>0</v>
      </c>
      <c r="AZ275" s="46">
        <f t="shared" si="15"/>
        <v>0</v>
      </c>
    </row>
    <row r="276" spans="3:52" ht="20.100000000000001" customHeight="1">
      <c r="C276" s="102"/>
      <c r="D276" s="3"/>
      <c r="E276" s="12"/>
      <c r="F276" s="3"/>
      <c r="G276" s="3"/>
      <c r="H276" s="3"/>
      <c r="J276" s="3"/>
      <c r="K276" s="3"/>
      <c r="L276" s="4"/>
      <c r="M276" s="3"/>
      <c r="O276" s="58"/>
      <c r="Q276" s="64"/>
      <c r="R276" s="45"/>
      <c r="S276" s="45"/>
      <c r="U276" s="64"/>
      <c r="V276" s="45"/>
      <c r="W276" s="64"/>
      <c r="X276" s="64"/>
      <c r="Y276" s="45"/>
      <c r="Z276" s="45"/>
      <c r="AA276" s="105"/>
      <c r="AB276" s="105"/>
      <c r="AC276" s="105"/>
      <c r="AD276" s="64"/>
      <c r="AG276" s="45"/>
      <c r="AH276" s="64"/>
      <c r="AI276" s="45"/>
      <c r="AJ276" s="105"/>
      <c r="AK276" s="105"/>
      <c r="AL276" s="60"/>
      <c r="AM276" s="60"/>
      <c r="AN276" s="60"/>
      <c r="AO276" s="60"/>
      <c r="AP276" s="60"/>
      <c r="AQ276" s="60"/>
      <c r="AR276" s="60"/>
      <c r="AS276" s="60"/>
      <c r="AT276" s="45"/>
      <c r="AU276" s="45"/>
      <c r="AW276" s="45"/>
      <c r="AX276" s="46">
        <f t="shared" si="13"/>
        <v>0</v>
      </c>
      <c r="AY276" s="46">
        <f t="shared" si="14"/>
        <v>0</v>
      </c>
      <c r="AZ276" s="46">
        <f t="shared" si="15"/>
        <v>0</v>
      </c>
    </row>
    <row r="277" spans="3:52" ht="20.100000000000001" customHeight="1">
      <c r="C277" s="102"/>
      <c r="D277" s="3"/>
      <c r="E277" s="12"/>
      <c r="F277" s="3"/>
      <c r="G277" s="3"/>
      <c r="H277" s="3"/>
      <c r="J277" s="3"/>
      <c r="K277" s="3"/>
      <c r="L277" s="4"/>
      <c r="M277" s="3"/>
      <c r="O277" s="58"/>
      <c r="Q277" s="64"/>
      <c r="R277" s="45"/>
      <c r="S277" s="45"/>
      <c r="U277" s="64"/>
      <c r="V277" s="45"/>
      <c r="W277" s="64"/>
      <c r="X277" s="64"/>
      <c r="Y277" s="45"/>
      <c r="Z277" s="45"/>
      <c r="AA277" s="105"/>
      <c r="AB277" s="105"/>
      <c r="AC277" s="105"/>
      <c r="AD277" s="64"/>
      <c r="AG277" s="45"/>
      <c r="AH277" s="64"/>
      <c r="AI277" s="45"/>
      <c r="AJ277" s="105"/>
      <c r="AK277" s="105"/>
      <c r="AL277" s="60"/>
      <c r="AM277" s="60"/>
      <c r="AN277" s="60"/>
      <c r="AO277" s="60"/>
      <c r="AP277" s="60"/>
      <c r="AQ277" s="60"/>
      <c r="AR277" s="60"/>
      <c r="AS277" s="60"/>
      <c r="AT277" s="45"/>
      <c r="AU277" s="45"/>
      <c r="AW277" s="45"/>
      <c r="AX277" s="46">
        <f t="shared" si="13"/>
        <v>0</v>
      </c>
      <c r="AY277" s="46">
        <f t="shared" si="14"/>
        <v>0</v>
      </c>
      <c r="AZ277" s="46">
        <f t="shared" si="15"/>
        <v>0</v>
      </c>
    </row>
    <row r="278" spans="3:52" ht="20.100000000000001" customHeight="1">
      <c r="C278" s="102"/>
      <c r="D278" s="3"/>
      <c r="E278" s="12"/>
      <c r="F278" s="3"/>
      <c r="G278" s="3"/>
      <c r="H278" s="3"/>
      <c r="J278" s="3"/>
      <c r="K278" s="3"/>
      <c r="L278" s="4"/>
      <c r="M278" s="3"/>
      <c r="O278" s="58"/>
      <c r="Q278" s="64"/>
      <c r="R278" s="45"/>
      <c r="S278" s="45"/>
      <c r="U278" s="64"/>
      <c r="V278" s="45"/>
      <c r="W278" s="64"/>
      <c r="X278" s="64"/>
      <c r="Y278" s="45"/>
      <c r="Z278" s="45"/>
      <c r="AA278" s="105"/>
      <c r="AB278" s="105"/>
      <c r="AC278" s="105"/>
      <c r="AD278" s="64"/>
      <c r="AG278" s="45"/>
      <c r="AH278" s="64"/>
      <c r="AI278" s="45"/>
      <c r="AJ278" s="105"/>
      <c r="AK278" s="105"/>
      <c r="AL278" s="60"/>
      <c r="AM278" s="60"/>
      <c r="AN278" s="60"/>
      <c r="AO278" s="60"/>
      <c r="AP278" s="60"/>
      <c r="AQ278" s="60"/>
      <c r="AR278" s="60"/>
      <c r="AS278" s="60"/>
      <c r="AT278" s="45"/>
      <c r="AU278" s="45"/>
      <c r="AW278" s="45"/>
      <c r="AX278" s="46">
        <f t="shared" si="13"/>
        <v>0</v>
      </c>
      <c r="AY278" s="46">
        <f t="shared" si="14"/>
        <v>0</v>
      </c>
      <c r="AZ278" s="46">
        <f t="shared" si="15"/>
        <v>0</v>
      </c>
    </row>
    <row r="279" spans="3:52" ht="20.100000000000001" customHeight="1">
      <c r="C279" s="102"/>
      <c r="D279" s="3"/>
      <c r="E279" s="12"/>
      <c r="F279" s="3"/>
      <c r="G279" s="3"/>
      <c r="H279" s="3"/>
      <c r="J279" s="3"/>
      <c r="K279" s="3"/>
      <c r="L279" s="4"/>
      <c r="M279" s="3"/>
      <c r="O279" s="58"/>
      <c r="Q279" s="64"/>
      <c r="R279" s="45"/>
      <c r="S279" s="45"/>
      <c r="U279" s="64"/>
      <c r="V279" s="45"/>
      <c r="W279" s="64"/>
      <c r="X279" s="64"/>
      <c r="Y279" s="45"/>
      <c r="Z279" s="45"/>
      <c r="AA279" s="105"/>
      <c r="AB279" s="105"/>
      <c r="AC279" s="105"/>
      <c r="AD279" s="64"/>
      <c r="AG279" s="45"/>
      <c r="AH279" s="64"/>
      <c r="AI279" s="45"/>
      <c r="AJ279" s="105"/>
      <c r="AK279" s="105"/>
      <c r="AL279" s="60"/>
      <c r="AM279" s="60"/>
      <c r="AN279" s="60"/>
      <c r="AO279" s="60"/>
      <c r="AP279" s="60"/>
      <c r="AQ279" s="60"/>
      <c r="AR279" s="60"/>
      <c r="AS279" s="60"/>
      <c r="AT279" s="45"/>
      <c r="AU279" s="45"/>
      <c r="AW279" s="45"/>
      <c r="AX279" s="46">
        <f t="shared" si="13"/>
        <v>0</v>
      </c>
      <c r="AY279" s="46">
        <f t="shared" si="14"/>
        <v>0</v>
      </c>
      <c r="AZ279" s="46">
        <f t="shared" si="15"/>
        <v>0</v>
      </c>
    </row>
    <row r="280" spans="3:52" ht="20.100000000000001" customHeight="1">
      <c r="C280" s="102"/>
      <c r="D280" s="3"/>
      <c r="E280" s="12"/>
      <c r="F280" s="3"/>
      <c r="G280" s="3"/>
      <c r="H280" s="3"/>
      <c r="J280" s="3"/>
      <c r="K280" s="3"/>
      <c r="L280" s="4"/>
      <c r="M280" s="3"/>
      <c r="O280" s="58"/>
      <c r="Q280" s="64"/>
      <c r="R280" s="45"/>
      <c r="S280" s="45"/>
      <c r="U280" s="64"/>
      <c r="V280" s="45"/>
      <c r="W280" s="64"/>
      <c r="X280" s="64"/>
      <c r="Y280" s="45"/>
      <c r="Z280" s="45"/>
      <c r="AA280" s="105"/>
      <c r="AB280" s="105"/>
      <c r="AC280" s="105"/>
      <c r="AD280" s="64"/>
      <c r="AG280" s="45"/>
      <c r="AH280" s="64"/>
      <c r="AI280" s="45"/>
      <c r="AJ280" s="105"/>
      <c r="AK280" s="105"/>
      <c r="AL280" s="60"/>
      <c r="AM280" s="60"/>
      <c r="AN280" s="60"/>
      <c r="AO280" s="60"/>
      <c r="AP280" s="60"/>
      <c r="AQ280" s="60"/>
      <c r="AR280" s="60"/>
      <c r="AS280" s="60"/>
      <c r="AT280" s="45"/>
      <c r="AU280" s="45"/>
      <c r="AW280" s="45"/>
      <c r="AX280" s="46">
        <f t="shared" si="13"/>
        <v>0</v>
      </c>
      <c r="AY280" s="46">
        <f t="shared" si="14"/>
        <v>0</v>
      </c>
      <c r="AZ280" s="46">
        <f t="shared" si="15"/>
        <v>0</v>
      </c>
    </row>
    <row r="281" spans="3:52" ht="20.100000000000001" customHeight="1">
      <c r="C281" s="102"/>
      <c r="D281" s="3"/>
      <c r="E281" s="12"/>
      <c r="F281" s="3"/>
      <c r="G281" s="3"/>
      <c r="H281" s="3"/>
      <c r="J281" s="3"/>
      <c r="K281" s="3"/>
      <c r="L281" s="4"/>
      <c r="M281" s="3"/>
      <c r="O281" s="58"/>
      <c r="Q281" s="64"/>
      <c r="R281" s="45"/>
      <c r="S281" s="45"/>
      <c r="U281" s="64"/>
      <c r="V281" s="45"/>
      <c r="W281" s="64"/>
      <c r="X281" s="64"/>
      <c r="Y281" s="45"/>
      <c r="Z281" s="45"/>
      <c r="AA281" s="105"/>
      <c r="AB281" s="105"/>
      <c r="AC281" s="105"/>
      <c r="AD281" s="64"/>
      <c r="AG281" s="45"/>
      <c r="AH281" s="64"/>
      <c r="AI281" s="45"/>
      <c r="AJ281" s="105"/>
      <c r="AK281" s="105"/>
      <c r="AL281" s="60"/>
      <c r="AM281" s="60"/>
      <c r="AN281" s="60"/>
      <c r="AO281" s="60"/>
      <c r="AP281" s="60"/>
      <c r="AQ281" s="60"/>
      <c r="AR281" s="60"/>
      <c r="AS281" s="60"/>
      <c r="AT281" s="45"/>
      <c r="AU281" s="45"/>
      <c r="AW281" s="45"/>
      <c r="AX281" s="46">
        <f t="shared" si="13"/>
        <v>0</v>
      </c>
      <c r="AY281" s="46">
        <f t="shared" si="14"/>
        <v>0</v>
      </c>
      <c r="AZ281" s="46">
        <f t="shared" si="15"/>
        <v>0</v>
      </c>
    </row>
    <row r="282" spans="3:52" ht="20.100000000000001" customHeight="1">
      <c r="C282" s="102"/>
      <c r="D282" s="3"/>
      <c r="E282" s="12"/>
      <c r="F282" s="3"/>
      <c r="G282" s="3"/>
      <c r="H282" s="3"/>
      <c r="J282" s="3"/>
      <c r="K282" s="3"/>
      <c r="L282" s="4"/>
      <c r="M282" s="3"/>
      <c r="O282" s="58"/>
      <c r="Q282" s="64"/>
      <c r="R282" s="45"/>
      <c r="S282" s="45"/>
      <c r="U282" s="64"/>
      <c r="V282" s="45"/>
      <c r="W282" s="64"/>
      <c r="X282" s="64"/>
      <c r="Y282" s="45"/>
      <c r="Z282" s="45"/>
      <c r="AA282" s="105"/>
      <c r="AB282" s="105"/>
      <c r="AC282" s="105"/>
      <c r="AD282" s="64"/>
      <c r="AG282" s="45"/>
      <c r="AH282" s="64"/>
      <c r="AI282" s="45"/>
      <c r="AJ282" s="105"/>
      <c r="AK282" s="105"/>
      <c r="AL282" s="60"/>
      <c r="AM282" s="60"/>
      <c r="AN282" s="60"/>
      <c r="AO282" s="60"/>
      <c r="AP282" s="60"/>
      <c r="AQ282" s="60"/>
      <c r="AR282" s="60"/>
      <c r="AS282" s="60"/>
      <c r="AT282" s="45"/>
      <c r="AU282" s="45"/>
      <c r="AW282" s="45"/>
      <c r="AX282" s="46">
        <f t="shared" si="13"/>
        <v>0</v>
      </c>
      <c r="AY282" s="46">
        <f t="shared" si="14"/>
        <v>0</v>
      </c>
      <c r="AZ282" s="46">
        <f t="shared" si="15"/>
        <v>0</v>
      </c>
    </row>
    <row r="283" spans="3:52" ht="20.100000000000001" customHeight="1">
      <c r="C283" s="102"/>
      <c r="D283" s="3"/>
      <c r="E283" s="12"/>
      <c r="F283" s="3"/>
      <c r="G283" s="3"/>
      <c r="H283" s="3"/>
      <c r="J283" s="3"/>
      <c r="K283" s="3"/>
      <c r="L283" s="4"/>
      <c r="M283" s="3"/>
      <c r="O283" s="58"/>
      <c r="Q283" s="64"/>
      <c r="R283" s="45"/>
      <c r="S283" s="45"/>
      <c r="U283" s="64"/>
      <c r="V283" s="45"/>
      <c r="W283" s="64"/>
      <c r="X283" s="64"/>
      <c r="Y283" s="45"/>
      <c r="Z283" s="45"/>
      <c r="AA283" s="105"/>
      <c r="AB283" s="105"/>
      <c r="AC283" s="105"/>
      <c r="AD283" s="64"/>
      <c r="AG283" s="45"/>
      <c r="AH283" s="64"/>
      <c r="AI283" s="45"/>
      <c r="AJ283" s="105"/>
      <c r="AK283" s="105"/>
      <c r="AL283" s="60"/>
      <c r="AM283" s="60"/>
      <c r="AN283" s="60"/>
      <c r="AO283" s="60"/>
      <c r="AP283" s="60"/>
      <c r="AQ283" s="60"/>
      <c r="AR283" s="60"/>
      <c r="AS283" s="60"/>
      <c r="AT283" s="45"/>
      <c r="AU283" s="45"/>
      <c r="AW283" s="45"/>
      <c r="AX283" s="46">
        <f t="shared" si="13"/>
        <v>0</v>
      </c>
      <c r="AY283" s="46">
        <f t="shared" si="14"/>
        <v>0</v>
      </c>
      <c r="AZ283" s="46">
        <f t="shared" si="15"/>
        <v>0</v>
      </c>
    </row>
    <row r="284" spans="3:52" ht="20.100000000000001" customHeight="1">
      <c r="C284" s="102"/>
      <c r="D284" s="3"/>
      <c r="E284" s="12"/>
      <c r="F284" s="3"/>
      <c r="G284" s="3"/>
      <c r="H284" s="3"/>
      <c r="J284" s="3"/>
      <c r="K284" s="3"/>
      <c r="L284" s="4"/>
      <c r="M284" s="3"/>
      <c r="O284" s="58"/>
      <c r="Q284" s="64"/>
      <c r="R284" s="45"/>
      <c r="S284" s="45"/>
      <c r="U284" s="64"/>
      <c r="V284" s="45"/>
      <c r="W284" s="64"/>
      <c r="X284" s="64"/>
      <c r="Y284" s="45"/>
      <c r="Z284" s="45"/>
      <c r="AA284" s="105"/>
      <c r="AB284" s="105"/>
      <c r="AC284" s="105"/>
      <c r="AD284" s="64"/>
      <c r="AH284" s="64"/>
      <c r="AI284" s="45"/>
      <c r="AJ284" s="105"/>
      <c r="AK284" s="105"/>
      <c r="AL284" s="60"/>
      <c r="AM284" s="60"/>
      <c r="AN284" s="60"/>
      <c r="AO284" s="60"/>
      <c r="AP284" s="60"/>
      <c r="AQ284" s="60"/>
      <c r="AR284" s="60"/>
      <c r="AS284" s="60"/>
      <c r="AT284" s="45"/>
      <c r="AU284" s="45"/>
      <c r="AW284" s="45"/>
      <c r="AX284" s="46">
        <f t="shared" si="13"/>
        <v>0</v>
      </c>
      <c r="AY284" s="46">
        <f t="shared" si="14"/>
        <v>0</v>
      </c>
      <c r="AZ284" s="46">
        <f t="shared" si="15"/>
        <v>0</v>
      </c>
    </row>
    <row r="285" spans="3:52" ht="20.100000000000001" customHeight="1">
      <c r="C285" s="102"/>
      <c r="D285" s="3"/>
      <c r="E285" s="12"/>
      <c r="F285" s="3"/>
      <c r="G285" s="3"/>
      <c r="H285" s="3"/>
      <c r="J285" s="3"/>
      <c r="K285" s="3"/>
      <c r="L285" s="4"/>
      <c r="M285" s="3"/>
      <c r="O285" s="58"/>
      <c r="Q285" s="64"/>
      <c r="R285" s="45"/>
      <c r="S285" s="45"/>
      <c r="U285" s="64"/>
      <c r="V285" s="45"/>
      <c r="W285" s="64"/>
      <c r="X285" s="64"/>
      <c r="Y285" s="45"/>
      <c r="Z285" s="45"/>
      <c r="AA285" s="105"/>
      <c r="AB285" s="105"/>
      <c r="AC285" s="105"/>
      <c r="AD285" s="64"/>
      <c r="AG285" s="45"/>
      <c r="AH285" s="64"/>
      <c r="AI285" s="45"/>
      <c r="AJ285" s="105"/>
      <c r="AK285" s="105"/>
      <c r="AL285" s="60"/>
      <c r="AM285" s="60"/>
      <c r="AN285" s="60"/>
      <c r="AO285" s="60"/>
      <c r="AP285" s="60"/>
      <c r="AQ285" s="60"/>
      <c r="AR285" s="60"/>
      <c r="AS285" s="60"/>
      <c r="AT285" s="45"/>
      <c r="AU285" s="45"/>
      <c r="AW285" s="45"/>
      <c r="AX285" s="46">
        <f t="shared" si="13"/>
        <v>0</v>
      </c>
      <c r="AY285" s="46">
        <f t="shared" si="14"/>
        <v>0</v>
      </c>
      <c r="AZ285" s="46">
        <f t="shared" si="15"/>
        <v>0</v>
      </c>
    </row>
    <row r="286" spans="3:52" ht="20.100000000000001" customHeight="1">
      <c r="C286" s="102"/>
      <c r="D286" s="3"/>
      <c r="E286" s="12"/>
      <c r="F286" s="3"/>
      <c r="G286" s="3"/>
      <c r="H286" s="3"/>
      <c r="J286" s="3"/>
      <c r="K286" s="3"/>
      <c r="L286" s="4"/>
      <c r="M286" s="3"/>
      <c r="O286" s="58"/>
      <c r="Q286" s="64"/>
      <c r="R286" s="45"/>
      <c r="S286" s="45"/>
      <c r="U286" s="64"/>
      <c r="V286" s="45"/>
      <c r="W286" s="64"/>
      <c r="X286" s="64"/>
      <c r="Y286" s="45"/>
      <c r="Z286" s="45"/>
      <c r="AA286" s="105"/>
      <c r="AB286" s="105"/>
      <c r="AC286" s="105"/>
      <c r="AD286" s="64"/>
      <c r="AG286" s="45"/>
      <c r="AH286" s="64"/>
      <c r="AI286" s="45"/>
      <c r="AJ286" s="105"/>
      <c r="AK286" s="105"/>
      <c r="AL286" s="60"/>
      <c r="AM286" s="60"/>
      <c r="AN286" s="60"/>
      <c r="AO286" s="60"/>
      <c r="AP286" s="60"/>
      <c r="AQ286" s="60"/>
      <c r="AR286" s="60"/>
      <c r="AS286" s="60"/>
      <c r="AT286" s="45"/>
      <c r="AU286" s="45"/>
      <c r="AW286" s="45"/>
      <c r="AX286" s="46">
        <f t="shared" si="13"/>
        <v>0</v>
      </c>
      <c r="AY286" s="46">
        <f t="shared" si="14"/>
        <v>0</v>
      </c>
      <c r="AZ286" s="46">
        <f t="shared" si="15"/>
        <v>0</v>
      </c>
    </row>
    <row r="287" spans="3:52" ht="20.100000000000001" customHeight="1">
      <c r="C287" s="102"/>
      <c r="D287" s="3"/>
      <c r="E287" s="12"/>
      <c r="F287" s="3"/>
      <c r="G287" s="3"/>
      <c r="H287" s="3"/>
      <c r="J287" s="3"/>
      <c r="K287" s="3"/>
      <c r="L287" s="4"/>
      <c r="M287" s="3"/>
      <c r="O287" s="58"/>
      <c r="Q287" s="64"/>
      <c r="R287" s="45"/>
      <c r="S287" s="45"/>
      <c r="U287" s="64"/>
      <c r="V287" s="45"/>
      <c r="W287" s="64"/>
      <c r="X287" s="64"/>
      <c r="Y287" s="45"/>
      <c r="Z287" s="45"/>
      <c r="AA287" s="105"/>
      <c r="AB287" s="105"/>
      <c r="AC287" s="105"/>
      <c r="AD287" s="64"/>
      <c r="AG287" s="45"/>
      <c r="AH287" s="64"/>
      <c r="AI287" s="45"/>
      <c r="AJ287" s="105"/>
      <c r="AK287" s="105"/>
      <c r="AL287" s="60"/>
      <c r="AM287" s="60"/>
      <c r="AN287" s="60"/>
      <c r="AO287" s="60"/>
      <c r="AP287" s="60"/>
      <c r="AQ287" s="60"/>
      <c r="AR287" s="60"/>
      <c r="AS287" s="60"/>
      <c r="AT287" s="45"/>
      <c r="AU287" s="45"/>
      <c r="AW287" s="45"/>
      <c r="AX287" s="46">
        <f t="shared" si="13"/>
        <v>0</v>
      </c>
      <c r="AY287" s="46">
        <f t="shared" si="14"/>
        <v>0</v>
      </c>
      <c r="AZ287" s="46">
        <f t="shared" si="15"/>
        <v>0</v>
      </c>
    </row>
    <row r="288" spans="3:52" ht="20.100000000000001" customHeight="1">
      <c r="C288" s="102"/>
      <c r="D288" s="3"/>
      <c r="E288" s="12"/>
      <c r="F288" s="3"/>
      <c r="G288" s="3"/>
      <c r="H288" s="3"/>
      <c r="J288" s="3"/>
      <c r="K288" s="3"/>
      <c r="L288" s="4"/>
      <c r="M288" s="3"/>
      <c r="O288" s="58"/>
      <c r="Q288" s="64"/>
      <c r="R288" s="45"/>
      <c r="S288" s="45"/>
      <c r="U288" s="64"/>
      <c r="V288" s="45"/>
      <c r="W288" s="64"/>
      <c r="X288" s="64"/>
      <c r="Y288" s="45"/>
      <c r="Z288" s="45"/>
      <c r="AA288" s="105"/>
      <c r="AB288" s="105"/>
      <c r="AC288" s="105"/>
      <c r="AD288" s="64"/>
      <c r="AG288" s="45"/>
      <c r="AH288" s="64"/>
      <c r="AI288" s="45"/>
      <c r="AJ288" s="105"/>
      <c r="AK288" s="105"/>
      <c r="AL288" s="60"/>
      <c r="AM288" s="60"/>
      <c r="AN288" s="60"/>
      <c r="AO288" s="60"/>
      <c r="AP288" s="60"/>
      <c r="AQ288" s="60"/>
      <c r="AR288" s="60"/>
      <c r="AS288" s="60"/>
      <c r="AT288" s="45"/>
      <c r="AU288" s="45"/>
      <c r="AW288" s="45"/>
      <c r="AX288" s="46">
        <f t="shared" si="13"/>
        <v>0</v>
      </c>
      <c r="AY288" s="46">
        <f t="shared" si="14"/>
        <v>0</v>
      </c>
      <c r="AZ288" s="46">
        <f t="shared" si="15"/>
        <v>0</v>
      </c>
    </row>
    <row r="289" spans="2:52" ht="20.100000000000001" customHeight="1">
      <c r="C289" s="102"/>
      <c r="D289" s="3"/>
      <c r="E289" s="12"/>
      <c r="F289" s="3"/>
      <c r="G289" s="3"/>
      <c r="H289" s="3"/>
      <c r="J289" s="3"/>
      <c r="K289" s="3"/>
      <c r="L289" s="4"/>
      <c r="M289" s="3"/>
      <c r="O289" s="58"/>
      <c r="Q289" s="64"/>
      <c r="R289" s="45"/>
      <c r="S289" s="45"/>
      <c r="U289" s="64"/>
      <c r="V289" s="45"/>
      <c r="W289" s="64"/>
      <c r="X289" s="64"/>
      <c r="Y289" s="45"/>
      <c r="Z289" s="45"/>
      <c r="AA289" s="105"/>
      <c r="AB289" s="105"/>
      <c r="AC289" s="105"/>
      <c r="AD289" s="64"/>
      <c r="AG289" s="45"/>
      <c r="AH289" s="64"/>
      <c r="AI289" s="45"/>
      <c r="AJ289" s="105"/>
      <c r="AK289" s="105"/>
      <c r="AL289" s="60"/>
      <c r="AM289" s="60"/>
      <c r="AN289" s="60"/>
      <c r="AO289" s="60"/>
      <c r="AP289" s="60"/>
      <c r="AQ289" s="60"/>
      <c r="AR289" s="60"/>
      <c r="AS289" s="60"/>
      <c r="AT289" s="45"/>
      <c r="AU289" s="45"/>
      <c r="AW289" s="45"/>
      <c r="AX289" s="46">
        <f t="shared" si="13"/>
        <v>0</v>
      </c>
      <c r="AY289" s="46">
        <f t="shared" si="14"/>
        <v>0</v>
      </c>
      <c r="AZ289" s="46">
        <f t="shared" si="15"/>
        <v>0</v>
      </c>
    </row>
    <row r="290" spans="2:52" ht="20.100000000000001" customHeight="1">
      <c r="C290" s="102"/>
      <c r="D290" s="3"/>
      <c r="E290" s="12"/>
      <c r="F290" s="3"/>
      <c r="G290" s="3"/>
      <c r="H290" s="3"/>
      <c r="J290" s="3"/>
      <c r="K290" s="3"/>
      <c r="L290" s="4"/>
      <c r="M290" s="3"/>
      <c r="O290" s="58"/>
      <c r="Q290" s="64"/>
      <c r="R290" s="45"/>
      <c r="S290" s="45"/>
      <c r="U290" s="64"/>
      <c r="V290" s="45"/>
      <c r="W290" s="64"/>
      <c r="X290" s="64"/>
      <c r="Y290" s="45"/>
      <c r="Z290" s="45"/>
      <c r="AA290" s="105"/>
      <c r="AB290" s="105"/>
      <c r="AC290" s="105"/>
      <c r="AD290" s="64"/>
      <c r="AG290" s="45"/>
      <c r="AH290" s="64"/>
      <c r="AI290" s="45"/>
      <c r="AJ290" s="105"/>
      <c r="AK290" s="105"/>
      <c r="AL290" s="60"/>
      <c r="AM290" s="60"/>
      <c r="AN290" s="60"/>
      <c r="AO290" s="60"/>
      <c r="AP290" s="60"/>
      <c r="AQ290" s="60"/>
      <c r="AR290" s="60"/>
      <c r="AS290" s="60"/>
      <c r="AT290" s="45"/>
      <c r="AU290" s="45"/>
      <c r="AW290" s="45"/>
      <c r="AX290" s="46">
        <f t="shared" si="13"/>
        <v>0</v>
      </c>
      <c r="AY290" s="46">
        <f t="shared" si="14"/>
        <v>0</v>
      </c>
      <c r="AZ290" s="46">
        <f t="shared" si="15"/>
        <v>0</v>
      </c>
    </row>
    <row r="291" spans="2:52" ht="20.100000000000001" customHeight="1">
      <c r="C291" s="102"/>
      <c r="D291" s="3"/>
      <c r="E291" s="12"/>
      <c r="F291" s="3"/>
      <c r="G291" s="3"/>
      <c r="H291" s="3"/>
      <c r="J291" s="3"/>
      <c r="K291" s="3"/>
      <c r="L291" s="4"/>
      <c r="M291" s="3"/>
      <c r="O291" s="58"/>
      <c r="Q291" s="64"/>
      <c r="R291" s="45"/>
      <c r="S291" s="45"/>
      <c r="U291" s="64"/>
      <c r="V291" s="45"/>
      <c r="W291" s="64"/>
      <c r="X291" s="64"/>
      <c r="Y291" s="45"/>
      <c r="Z291" s="45"/>
      <c r="AA291" s="105"/>
      <c r="AB291" s="105"/>
      <c r="AC291" s="105"/>
      <c r="AD291" s="64"/>
      <c r="AH291" s="64"/>
      <c r="AI291" s="45"/>
      <c r="AJ291" s="105"/>
      <c r="AK291" s="105"/>
      <c r="AL291" s="60"/>
      <c r="AM291" s="60"/>
      <c r="AN291" s="60"/>
      <c r="AO291" s="60"/>
      <c r="AP291" s="60"/>
      <c r="AQ291" s="60"/>
      <c r="AR291" s="60"/>
      <c r="AS291" s="60"/>
      <c r="AT291" s="45"/>
      <c r="AU291" s="45"/>
      <c r="AW291" s="45"/>
      <c r="AX291" s="46">
        <f t="shared" si="13"/>
        <v>0</v>
      </c>
      <c r="AY291" s="46">
        <f t="shared" si="14"/>
        <v>0</v>
      </c>
      <c r="AZ291" s="46">
        <f t="shared" si="15"/>
        <v>0</v>
      </c>
    </row>
    <row r="292" spans="2:52" ht="20.100000000000001" customHeight="1">
      <c r="C292" s="102"/>
      <c r="D292" s="3"/>
      <c r="E292" s="12"/>
      <c r="F292" s="3"/>
      <c r="G292" s="3"/>
      <c r="H292" s="3"/>
      <c r="J292" s="3"/>
      <c r="K292" s="3"/>
      <c r="L292" s="4"/>
      <c r="M292" s="3"/>
      <c r="O292" s="58"/>
      <c r="Q292" s="64"/>
      <c r="R292" s="45"/>
      <c r="S292" s="45"/>
      <c r="U292" s="64"/>
      <c r="V292" s="45"/>
      <c r="W292" s="64"/>
      <c r="X292" s="64"/>
      <c r="Y292" s="45"/>
      <c r="Z292" s="45"/>
      <c r="AA292" s="105"/>
      <c r="AB292" s="105"/>
      <c r="AC292" s="105"/>
      <c r="AD292" s="64"/>
      <c r="AG292" s="45"/>
      <c r="AH292" s="64"/>
      <c r="AI292" s="45"/>
      <c r="AJ292" s="105"/>
      <c r="AK292" s="105"/>
      <c r="AL292" s="60"/>
      <c r="AM292" s="60"/>
      <c r="AN292" s="60"/>
      <c r="AO292" s="60"/>
      <c r="AP292" s="60"/>
      <c r="AQ292" s="60"/>
      <c r="AR292" s="60"/>
      <c r="AS292" s="60"/>
      <c r="AT292" s="45"/>
      <c r="AU292" s="45"/>
      <c r="AW292" s="45"/>
      <c r="AX292" s="46">
        <f t="shared" si="13"/>
        <v>0</v>
      </c>
      <c r="AY292" s="46">
        <f t="shared" si="14"/>
        <v>0</v>
      </c>
      <c r="AZ292" s="46">
        <f t="shared" si="15"/>
        <v>0</v>
      </c>
    </row>
    <row r="293" spans="2:52" ht="20.100000000000001" customHeight="1">
      <c r="C293" s="102"/>
      <c r="D293" s="3"/>
      <c r="E293" s="67"/>
      <c r="F293" s="3"/>
      <c r="G293" s="3"/>
      <c r="H293" s="3"/>
      <c r="J293" s="3"/>
      <c r="K293" s="3"/>
      <c r="L293" s="4"/>
      <c r="M293" s="3"/>
      <c r="O293" s="58"/>
      <c r="Q293" s="64"/>
      <c r="R293" s="45"/>
      <c r="S293" s="45"/>
      <c r="U293" s="64"/>
      <c r="V293" s="45"/>
      <c r="W293" s="64"/>
      <c r="X293" s="64"/>
      <c r="Y293" s="45"/>
      <c r="Z293" s="45"/>
      <c r="AA293" s="105"/>
      <c r="AB293" s="105"/>
      <c r="AC293" s="105"/>
      <c r="AD293" s="64"/>
      <c r="AG293" s="45"/>
      <c r="AH293" s="64"/>
      <c r="AI293" s="45"/>
      <c r="AJ293" s="105"/>
      <c r="AK293" s="105"/>
      <c r="AL293" s="60"/>
      <c r="AM293" s="60"/>
      <c r="AN293" s="60"/>
      <c r="AO293" s="60"/>
      <c r="AP293" s="60"/>
      <c r="AQ293" s="60"/>
      <c r="AR293" s="60"/>
      <c r="AS293" s="60"/>
      <c r="AT293" s="45"/>
      <c r="AU293" s="45"/>
      <c r="AW293" s="45"/>
      <c r="AX293" s="46">
        <f t="shared" si="13"/>
        <v>0</v>
      </c>
      <c r="AY293" s="46">
        <f t="shared" si="14"/>
        <v>0</v>
      </c>
      <c r="AZ293" s="46">
        <f t="shared" si="15"/>
        <v>0</v>
      </c>
    </row>
    <row r="294" spans="2:52" ht="20.100000000000001" customHeight="1">
      <c r="C294" s="102"/>
      <c r="D294" s="3"/>
      <c r="E294" s="12"/>
      <c r="F294" s="3"/>
      <c r="G294" s="3"/>
      <c r="H294" s="3"/>
      <c r="J294" s="3"/>
      <c r="K294" s="3"/>
      <c r="L294" s="4"/>
      <c r="M294" s="3"/>
      <c r="O294" s="58"/>
      <c r="Q294" s="64"/>
      <c r="R294" s="45"/>
      <c r="S294" s="45"/>
      <c r="U294" s="64"/>
      <c r="V294" s="45"/>
      <c r="W294" s="64"/>
      <c r="X294" s="64"/>
      <c r="Y294" s="45"/>
      <c r="Z294" s="45"/>
      <c r="AA294" s="105"/>
      <c r="AB294" s="105"/>
      <c r="AC294" s="105"/>
      <c r="AD294" s="64"/>
      <c r="AG294" s="45"/>
      <c r="AH294" s="64"/>
      <c r="AI294" s="45"/>
      <c r="AJ294" s="105"/>
      <c r="AK294" s="105"/>
      <c r="AL294" s="60"/>
      <c r="AM294" s="60"/>
      <c r="AN294" s="60"/>
      <c r="AO294" s="60"/>
      <c r="AP294" s="60"/>
      <c r="AQ294" s="60"/>
      <c r="AR294" s="60"/>
      <c r="AS294" s="60"/>
      <c r="AT294" s="45"/>
      <c r="AU294" s="45"/>
      <c r="AW294" s="45"/>
      <c r="AX294" s="46">
        <f t="shared" si="13"/>
        <v>0</v>
      </c>
      <c r="AY294" s="46">
        <f t="shared" si="14"/>
        <v>0</v>
      </c>
      <c r="AZ294" s="46">
        <f t="shared" si="15"/>
        <v>0</v>
      </c>
    </row>
    <row r="295" spans="2:52" ht="20.100000000000001" customHeight="1">
      <c r="C295" s="102"/>
      <c r="D295" s="3"/>
      <c r="E295" s="67"/>
      <c r="F295" s="3"/>
      <c r="G295" s="3"/>
      <c r="H295" s="3"/>
      <c r="J295" s="3"/>
      <c r="K295" s="3"/>
      <c r="L295" s="4"/>
      <c r="M295" s="3"/>
      <c r="O295" s="58"/>
      <c r="Q295" s="64"/>
      <c r="R295" s="45"/>
      <c r="S295" s="45"/>
      <c r="U295" s="64"/>
      <c r="V295" s="45"/>
      <c r="W295" s="64"/>
      <c r="X295" s="64"/>
      <c r="Y295" s="45"/>
      <c r="Z295" s="45"/>
      <c r="AA295" s="105"/>
      <c r="AB295" s="105"/>
      <c r="AC295" s="105"/>
      <c r="AD295" s="64"/>
      <c r="AG295" s="45"/>
      <c r="AH295" s="64"/>
      <c r="AI295" s="45"/>
      <c r="AJ295" s="105"/>
      <c r="AK295" s="105"/>
      <c r="AL295" s="60"/>
      <c r="AM295" s="60"/>
      <c r="AN295" s="60"/>
      <c r="AO295" s="60"/>
      <c r="AP295" s="60"/>
      <c r="AQ295" s="60"/>
      <c r="AR295" s="60"/>
      <c r="AS295" s="60"/>
      <c r="AT295" s="45"/>
      <c r="AU295" s="45"/>
      <c r="AW295" s="45"/>
      <c r="AX295" s="46">
        <f t="shared" si="13"/>
        <v>0</v>
      </c>
      <c r="AY295" s="46">
        <f t="shared" si="14"/>
        <v>0</v>
      </c>
      <c r="AZ295" s="46">
        <f t="shared" si="15"/>
        <v>0</v>
      </c>
    </row>
    <row r="296" spans="2:52" ht="20.100000000000001" customHeight="1">
      <c r="C296" s="102"/>
      <c r="D296" s="3"/>
      <c r="E296" s="12"/>
      <c r="F296" s="3"/>
      <c r="G296" s="3"/>
      <c r="H296" s="3"/>
      <c r="J296" s="3"/>
      <c r="K296" s="3"/>
      <c r="L296" s="4"/>
      <c r="M296" s="3"/>
      <c r="O296" s="58"/>
      <c r="Q296" s="64"/>
      <c r="R296" s="45"/>
      <c r="S296" s="45"/>
      <c r="U296" s="64"/>
      <c r="V296" s="45"/>
      <c r="W296" s="64"/>
      <c r="X296" s="64"/>
      <c r="Y296" s="45"/>
      <c r="Z296" s="45"/>
      <c r="AA296" s="105"/>
      <c r="AB296" s="105"/>
      <c r="AC296" s="105"/>
      <c r="AD296" s="64"/>
      <c r="AG296" s="45"/>
      <c r="AH296" s="64"/>
      <c r="AI296" s="45"/>
      <c r="AJ296" s="105"/>
      <c r="AK296" s="105"/>
      <c r="AL296" s="60"/>
      <c r="AM296" s="60"/>
      <c r="AN296" s="60"/>
      <c r="AO296" s="60"/>
      <c r="AP296" s="60"/>
      <c r="AQ296" s="60"/>
      <c r="AR296" s="60"/>
      <c r="AS296" s="60"/>
      <c r="AT296" s="45"/>
      <c r="AU296" s="45"/>
      <c r="AW296" s="45"/>
      <c r="AX296" s="46">
        <f t="shared" si="13"/>
        <v>0</v>
      </c>
      <c r="AY296" s="46">
        <f t="shared" si="14"/>
        <v>0</v>
      </c>
      <c r="AZ296" s="46">
        <f t="shared" si="15"/>
        <v>0</v>
      </c>
    </row>
    <row r="297" spans="2:52" ht="20.100000000000001" customHeight="1">
      <c r="C297" s="102"/>
      <c r="D297" s="3"/>
      <c r="E297" s="12"/>
      <c r="F297" s="3"/>
      <c r="G297" s="3"/>
      <c r="H297" s="3"/>
      <c r="J297" s="3"/>
      <c r="K297" s="3"/>
      <c r="L297" s="4"/>
      <c r="M297" s="3"/>
      <c r="O297" s="58"/>
      <c r="Q297" s="64"/>
      <c r="R297" s="45"/>
      <c r="S297" s="45"/>
      <c r="U297" s="64"/>
      <c r="V297" s="45"/>
      <c r="W297" s="64"/>
      <c r="X297" s="64"/>
      <c r="Y297" s="45"/>
      <c r="Z297" s="45"/>
      <c r="AA297" s="105"/>
      <c r="AB297" s="105"/>
      <c r="AC297" s="105"/>
      <c r="AD297" s="64"/>
      <c r="AG297" s="45"/>
      <c r="AH297" s="64"/>
      <c r="AI297" s="45"/>
      <c r="AJ297" s="105"/>
      <c r="AK297" s="105"/>
      <c r="AL297" s="60"/>
      <c r="AM297" s="60"/>
      <c r="AN297" s="60"/>
      <c r="AO297" s="60"/>
      <c r="AP297" s="60"/>
      <c r="AQ297" s="60"/>
      <c r="AR297" s="60"/>
      <c r="AS297" s="60"/>
      <c r="AT297" s="45"/>
      <c r="AU297" s="45"/>
      <c r="AW297" s="45"/>
      <c r="AX297" s="46">
        <f t="shared" si="13"/>
        <v>0</v>
      </c>
      <c r="AY297" s="46">
        <f t="shared" si="14"/>
        <v>0</v>
      </c>
      <c r="AZ297" s="46">
        <f t="shared" si="15"/>
        <v>0</v>
      </c>
    </row>
    <row r="298" spans="2:52" ht="20.100000000000001" customHeight="1">
      <c r="C298" s="102"/>
      <c r="D298" s="3"/>
      <c r="E298" s="12"/>
      <c r="F298" s="3"/>
      <c r="G298" s="3"/>
      <c r="H298" s="3"/>
      <c r="J298" s="3"/>
      <c r="K298" s="3"/>
      <c r="L298" s="4"/>
      <c r="M298" s="3"/>
      <c r="O298" s="58"/>
      <c r="Q298" s="64"/>
      <c r="R298" s="45"/>
      <c r="S298" s="45"/>
      <c r="U298" s="64"/>
      <c r="V298" s="45"/>
      <c r="W298" s="64"/>
      <c r="X298" s="64"/>
      <c r="Y298" s="45"/>
      <c r="Z298" s="45"/>
      <c r="AA298" s="105"/>
      <c r="AB298" s="105"/>
      <c r="AC298" s="105"/>
      <c r="AD298" s="64"/>
      <c r="AG298" s="45"/>
      <c r="AH298" s="64"/>
      <c r="AI298" s="45"/>
      <c r="AJ298" s="105"/>
      <c r="AK298" s="105"/>
      <c r="AL298" s="60"/>
      <c r="AM298" s="60"/>
      <c r="AN298" s="60"/>
      <c r="AO298" s="60"/>
      <c r="AP298" s="60"/>
      <c r="AQ298" s="60"/>
      <c r="AR298" s="60"/>
      <c r="AS298" s="60"/>
      <c r="AT298" s="45"/>
      <c r="AU298" s="45"/>
      <c r="AW298" s="45"/>
      <c r="AX298" s="46">
        <f t="shared" si="13"/>
        <v>0</v>
      </c>
      <c r="AY298" s="46">
        <f t="shared" si="14"/>
        <v>0</v>
      </c>
      <c r="AZ298" s="46">
        <f t="shared" si="15"/>
        <v>0</v>
      </c>
    </row>
    <row r="299" spans="2:52" ht="20.100000000000001" customHeight="1">
      <c r="C299" s="102"/>
      <c r="D299" s="3"/>
      <c r="E299" s="67"/>
      <c r="F299" s="3"/>
      <c r="G299" s="3"/>
      <c r="H299" s="3"/>
      <c r="J299" s="3"/>
      <c r="K299" s="3"/>
      <c r="L299" s="4"/>
      <c r="M299" s="3"/>
      <c r="O299" s="58"/>
      <c r="Q299" s="64"/>
      <c r="R299" s="45"/>
      <c r="S299" s="45"/>
      <c r="U299" s="64"/>
      <c r="V299" s="45"/>
      <c r="W299" s="64"/>
      <c r="X299" s="64"/>
      <c r="Y299" s="45"/>
      <c r="Z299" s="45"/>
      <c r="AA299" s="105"/>
      <c r="AB299" s="105"/>
      <c r="AC299" s="105"/>
      <c r="AD299" s="64"/>
      <c r="AG299" s="45"/>
      <c r="AH299" s="64"/>
      <c r="AI299" s="45"/>
      <c r="AJ299" s="105"/>
      <c r="AK299" s="105"/>
      <c r="AL299" s="60"/>
      <c r="AM299" s="60"/>
      <c r="AN299" s="60"/>
      <c r="AO299" s="60"/>
      <c r="AP299" s="60"/>
      <c r="AQ299" s="60"/>
      <c r="AR299" s="60"/>
      <c r="AS299" s="60"/>
      <c r="AT299" s="45"/>
      <c r="AU299" s="45"/>
      <c r="AW299" s="45"/>
      <c r="AX299" s="46">
        <f t="shared" si="13"/>
        <v>0</v>
      </c>
      <c r="AY299" s="46">
        <f t="shared" si="14"/>
        <v>0</v>
      </c>
      <c r="AZ299" s="46">
        <f t="shared" si="15"/>
        <v>0</v>
      </c>
    </row>
    <row r="300" spans="2:52" ht="20.100000000000001" customHeight="1">
      <c r="B300" s="61"/>
      <c r="C300" s="103"/>
      <c r="D300" s="3"/>
      <c r="E300" s="12"/>
      <c r="F300" s="3"/>
      <c r="G300" s="3"/>
      <c r="H300" s="3"/>
      <c r="J300" s="3"/>
      <c r="K300" s="3"/>
      <c r="L300" s="4"/>
      <c r="M300" s="3"/>
      <c r="O300" s="58"/>
      <c r="Q300" s="64"/>
      <c r="R300" s="45"/>
      <c r="S300" s="45"/>
      <c r="U300" s="64"/>
      <c r="V300" s="45"/>
      <c r="W300" s="64"/>
      <c r="X300" s="64"/>
      <c r="Y300" s="45"/>
      <c r="Z300" s="45"/>
      <c r="AA300" s="105"/>
      <c r="AB300" s="105"/>
      <c r="AC300" s="105"/>
      <c r="AD300" s="64"/>
      <c r="AE300" s="62"/>
      <c r="AG300" s="45"/>
      <c r="AH300" s="64"/>
      <c r="AI300" s="45"/>
      <c r="AJ300" s="105"/>
      <c r="AK300" s="105"/>
      <c r="AL300" s="60"/>
      <c r="AM300" s="60"/>
      <c r="AN300" s="60"/>
      <c r="AO300" s="60"/>
      <c r="AP300" s="60"/>
      <c r="AQ300" s="60"/>
      <c r="AR300" s="60"/>
      <c r="AS300" s="60"/>
      <c r="AT300" s="45"/>
      <c r="AU300" s="45"/>
      <c r="AW300" s="45"/>
      <c r="AX300" s="46">
        <f t="shared" si="13"/>
        <v>0</v>
      </c>
      <c r="AY300" s="46">
        <f t="shared" si="14"/>
        <v>0</v>
      </c>
      <c r="AZ300" s="46">
        <f t="shared" si="15"/>
        <v>0</v>
      </c>
    </row>
    <row r="301" spans="2:52" ht="20.100000000000001" customHeight="1">
      <c r="C301" s="102"/>
      <c r="D301" s="3"/>
      <c r="E301" s="12"/>
      <c r="F301" s="3"/>
      <c r="G301" s="3"/>
      <c r="H301" s="3"/>
      <c r="J301" s="3"/>
      <c r="K301" s="3"/>
      <c r="L301" s="4"/>
      <c r="M301" s="3"/>
      <c r="O301" s="58"/>
      <c r="Q301" s="64"/>
      <c r="R301" s="45"/>
      <c r="S301" s="45"/>
      <c r="U301" s="64"/>
      <c r="V301" s="45"/>
      <c r="W301" s="64"/>
      <c r="X301" s="64"/>
      <c r="Y301" s="45"/>
      <c r="Z301" s="45"/>
      <c r="AA301" s="105"/>
      <c r="AB301" s="105"/>
      <c r="AC301" s="105"/>
      <c r="AD301" s="64"/>
      <c r="AG301" s="45"/>
      <c r="AH301" s="64"/>
      <c r="AI301" s="45"/>
      <c r="AJ301" s="105"/>
      <c r="AK301" s="105"/>
      <c r="AL301" s="60"/>
      <c r="AM301" s="60"/>
      <c r="AN301" s="60"/>
      <c r="AO301" s="60"/>
      <c r="AP301" s="60"/>
      <c r="AQ301" s="60"/>
      <c r="AR301" s="60"/>
      <c r="AS301" s="60"/>
      <c r="AT301" s="45"/>
      <c r="AU301" s="45"/>
      <c r="AW301" s="45"/>
      <c r="AX301" s="46">
        <f t="shared" si="13"/>
        <v>0</v>
      </c>
      <c r="AY301" s="46">
        <f t="shared" si="14"/>
        <v>0</v>
      </c>
      <c r="AZ301" s="46">
        <f t="shared" si="15"/>
        <v>0</v>
      </c>
    </row>
    <row r="302" spans="2:52" ht="20.100000000000001" customHeight="1">
      <c r="C302" s="102"/>
      <c r="D302" s="3"/>
      <c r="E302" s="12"/>
      <c r="F302" s="3"/>
      <c r="G302" s="3"/>
      <c r="H302" s="3"/>
      <c r="J302" s="3"/>
      <c r="K302" s="3"/>
      <c r="L302" s="4"/>
      <c r="M302" s="3"/>
      <c r="O302" s="58"/>
      <c r="Q302" s="64"/>
      <c r="R302" s="45"/>
      <c r="S302" s="45"/>
      <c r="U302" s="64"/>
      <c r="V302" s="45"/>
      <c r="W302" s="64"/>
      <c r="X302" s="64"/>
      <c r="Y302" s="45"/>
      <c r="Z302" s="45"/>
      <c r="AA302" s="105"/>
      <c r="AB302" s="105"/>
      <c r="AC302" s="105"/>
      <c r="AD302" s="64"/>
      <c r="AG302" s="45"/>
      <c r="AH302" s="64"/>
      <c r="AI302" s="45"/>
      <c r="AJ302" s="105"/>
      <c r="AK302" s="105"/>
      <c r="AL302" s="60"/>
      <c r="AM302" s="60"/>
      <c r="AN302" s="60"/>
      <c r="AO302" s="60"/>
      <c r="AP302" s="60"/>
      <c r="AQ302" s="60"/>
      <c r="AR302" s="60"/>
      <c r="AS302" s="60"/>
      <c r="AT302" s="45"/>
      <c r="AU302" s="45"/>
      <c r="AW302" s="45"/>
      <c r="AX302" s="46">
        <f t="shared" si="13"/>
        <v>0</v>
      </c>
      <c r="AY302" s="46">
        <f t="shared" si="14"/>
        <v>0</v>
      </c>
      <c r="AZ302" s="46">
        <f t="shared" si="15"/>
        <v>0</v>
      </c>
    </row>
    <row r="303" spans="2:52" ht="20.100000000000001" customHeight="1">
      <c r="C303" s="102"/>
      <c r="D303" s="3"/>
      <c r="E303" s="12"/>
      <c r="F303" s="3"/>
      <c r="G303" s="3"/>
      <c r="H303" s="3"/>
      <c r="J303" s="3"/>
      <c r="K303" s="3"/>
      <c r="L303" s="4"/>
      <c r="M303" s="3"/>
      <c r="O303" s="58"/>
      <c r="Q303" s="64"/>
      <c r="R303" s="45"/>
      <c r="S303" s="45"/>
      <c r="U303" s="64"/>
      <c r="V303" s="45"/>
      <c r="W303" s="64"/>
      <c r="X303" s="64"/>
      <c r="Y303" s="45"/>
      <c r="Z303" s="45"/>
      <c r="AA303" s="105"/>
      <c r="AB303" s="105"/>
      <c r="AC303" s="105"/>
      <c r="AD303" s="64"/>
      <c r="AG303" s="45"/>
      <c r="AH303" s="64"/>
      <c r="AI303" s="45"/>
      <c r="AJ303" s="105"/>
      <c r="AK303" s="105"/>
      <c r="AL303" s="60"/>
      <c r="AM303" s="60"/>
      <c r="AN303" s="60"/>
      <c r="AO303" s="60"/>
      <c r="AP303" s="60"/>
      <c r="AQ303" s="60"/>
      <c r="AR303" s="60"/>
      <c r="AS303" s="60"/>
      <c r="AT303" s="45"/>
      <c r="AU303" s="45"/>
      <c r="AW303" s="45"/>
      <c r="AX303" s="46">
        <f t="shared" si="13"/>
        <v>0</v>
      </c>
      <c r="AY303" s="46">
        <f t="shared" si="14"/>
        <v>0</v>
      </c>
      <c r="AZ303" s="46">
        <f t="shared" si="15"/>
        <v>0</v>
      </c>
    </row>
    <row r="304" spans="2:52" ht="20.100000000000001" customHeight="1">
      <c r="C304" s="102"/>
      <c r="D304" s="3"/>
      <c r="E304" s="12"/>
      <c r="F304" s="3"/>
      <c r="G304" s="3"/>
      <c r="H304" s="3"/>
      <c r="J304" s="3"/>
      <c r="K304" s="3"/>
      <c r="L304" s="4"/>
      <c r="M304" s="3"/>
      <c r="O304" s="58"/>
      <c r="Q304" s="64"/>
      <c r="R304" s="45"/>
      <c r="S304" s="45"/>
      <c r="U304" s="64"/>
      <c r="V304" s="45"/>
      <c r="W304" s="64"/>
      <c r="X304" s="64"/>
      <c r="Y304" s="45"/>
      <c r="Z304" s="45"/>
      <c r="AA304" s="105"/>
      <c r="AB304" s="105"/>
      <c r="AC304" s="105"/>
      <c r="AD304" s="64"/>
      <c r="AG304" s="45"/>
      <c r="AH304" s="64"/>
      <c r="AI304" s="45"/>
      <c r="AJ304" s="105"/>
      <c r="AK304" s="105"/>
      <c r="AL304" s="60"/>
      <c r="AM304" s="60"/>
      <c r="AN304" s="60"/>
      <c r="AO304" s="60"/>
      <c r="AP304" s="60"/>
      <c r="AQ304" s="60"/>
      <c r="AR304" s="60"/>
      <c r="AS304" s="60"/>
      <c r="AT304" s="45"/>
      <c r="AU304" s="45"/>
      <c r="AW304" s="45"/>
      <c r="AX304" s="46">
        <f t="shared" si="13"/>
        <v>0</v>
      </c>
      <c r="AY304" s="46">
        <f t="shared" si="14"/>
        <v>0</v>
      </c>
      <c r="AZ304" s="46">
        <f t="shared" si="15"/>
        <v>0</v>
      </c>
    </row>
    <row r="305" spans="3:52" ht="20.100000000000001" customHeight="1">
      <c r="C305" s="102"/>
      <c r="D305" s="3"/>
      <c r="E305" s="12"/>
      <c r="F305" s="3"/>
      <c r="G305" s="3"/>
      <c r="H305" s="3"/>
      <c r="J305" s="3"/>
      <c r="K305" s="3"/>
      <c r="L305" s="4"/>
      <c r="M305" s="3"/>
      <c r="O305" s="58"/>
      <c r="Q305" s="64"/>
      <c r="R305" s="45"/>
      <c r="S305" s="45"/>
      <c r="U305" s="64"/>
      <c r="V305" s="45"/>
      <c r="W305" s="64"/>
      <c r="X305" s="64"/>
      <c r="Y305" s="45"/>
      <c r="Z305" s="45"/>
      <c r="AA305" s="105"/>
      <c r="AB305" s="105"/>
      <c r="AC305" s="105"/>
      <c r="AD305" s="64"/>
      <c r="AG305" s="45"/>
      <c r="AH305" s="64"/>
      <c r="AI305" s="45"/>
      <c r="AJ305" s="105"/>
      <c r="AK305" s="105"/>
      <c r="AL305" s="60"/>
      <c r="AM305" s="60"/>
      <c r="AN305" s="60"/>
      <c r="AO305" s="60"/>
      <c r="AP305" s="60"/>
      <c r="AQ305" s="60"/>
      <c r="AR305" s="60"/>
      <c r="AS305" s="60"/>
      <c r="AT305" s="45"/>
      <c r="AU305" s="45"/>
      <c r="AW305" s="45"/>
      <c r="AX305" s="46">
        <f t="shared" si="13"/>
        <v>0</v>
      </c>
      <c r="AY305" s="46">
        <f t="shared" si="14"/>
        <v>0</v>
      </c>
      <c r="AZ305" s="46">
        <f t="shared" si="15"/>
        <v>0</v>
      </c>
    </row>
    <row r="306" spans="3:52" ht="20.100000000000001" customHeight="1">
      <c r="C306" s="102"/>
      <c r="D306" s="3"/>
      <c r="E306" s="12"/>
      <c r="F306" s="3"/>
      <c r="G306" s="3"/>
      <c r="H306" s="3"/>
      <c r="J306" s="3"/>
      <c r="K306" s="3"/>
      <c r="L306" s="4"/>
      <c r="M306" s="3"/>
      <c r="O306" s="58"/>
      <c r="Q306" s="64"/>
      <c r="R306" s="45"/>
      <c r="S306" s="45"/>
      <c r="U306" s="64"/>
      <c r="V306" s="45"/>
      <c r="W306" s="64"/>
      <c r="X306" s="64"/>
      <c r="Y306" s="45"/>
      <c r="Z306" s="45"/>
      <c r="AA306" s="105"/>
      <c r="AB306" s="105"/>
      <c r="AC306" s="105"/>
      <c r="AD306" s="64"/>
      <c r="AH306" s="64"/>
      <c r="AI306" s="45"/>
      <c r="AJ306" s="105"/>
      <c r="AK306" s="105"/>
      <c r="AL306" s="60"/>
      <c r="AM306" s="60"/>
      <c r="AN306" s="60"/>
      <c r="AO306" s="60"/>
      <c r="AP306" s="60"/>
      <c r="AQ306" s="60"/>
      <c r="AR306" s="60"/>
      <c r="AS306" s="60"/>
      <c r="AT306" s="45"/>
      <c r="AU306" s="45"/>
      <c r="AW306" s="45"/>
      <c r="AX306" s="46">
        <f t="shared" si="13"/>
        <v>0</v>
      </c>
      <c r="AY306" s="46">
        <f t="shared" si="14"/>
        <v>0</v>
      </c>
      <c r="AZ306" s="46">
        <f t="shared" si="15"/>
        <v>0</v>
      </c>
    </row>
    <row r="307" spans="3:52" ht="20.100000000000001" customHeight="1">
      <c r="C307" s="102"/>
      <c r="D307" s="3"/>
      <c r="E307" s="12"/>
      <c r="F307" s="3"/>
      <c r="G307" s="3"/>
      <c r="H307" s="3"/>
      <c r="J307" s="3"/>
      <c r="K307" s="3"/>
      <c r="L307" s="4"/>
      <c r="M307" s="3"/>
      <c r="O307" s="58"/>
      <c r="Q307" s="64"/>
      <c r="R307" s="45"/>
      <c r="S307" s="45"/>
      <c r="U307" s="64"/>
      <c r="V307" s="45"/>
      <c r="W307" s="64"/>
      <c r="X307" s="64"/>
      <c r="Y307" s="45"/>
      <c r="Z307" s="45"/>
      <c r="AA307" s="105"/>
      <c r="AB307" s="105"/>
      <c r="AC307" s="105"/>
      <c r="AD307" s="64"/>
      <c r="AG307" s="45"/>
      <c r="AH307" s="64"/>
      <c r="AI307" s="45"/>
      <c r="AJ307" s="105"/>
      <c r="AK307" s="105"/>
      <c r="AL307" s="60"/>
      <c r="AM307" s="60"/>
      <c r="AN307" s="60"/>
      <c r="AO307" s="60"/>
      <c r="AP307" s="60"/>
      <c r="AQ307" s="60"/>
      <c r="AR307" s="60"/>
      <c r="AS307" s="60"/>
      <c r="AT307" s="45"/>
      <c r="AU307" s="45"/>
      <c r="AW307" s="45"/>
      <c r="AX307" s="46">
        <f t="shared" si="13"/>
        <v>0</v>
      </c>
      <c r="AY307" s="46">
        <f t="shared" si="14"/>
        <v>0</v>
      </c>
      <c r="AZ307" s="46">
        <f t="shared" si="15"/>
        <v>0</v>
      </c>
    </row>
    <row r="308" spans="3:52" ht="20.100000000000001" customHeight="1">
      <c r="C308" s="102"/>
      <c r="D308" s="3"/>
      <c r="E308" s="67"/>
      <c r="F308" s="3"/>
      <c r="G308" s="3"/>
      <c r="H308" s="3"/>
      <c r="J308" s="3"/>
      <c r="K308" s="3"/>
      <c r="L308" s="4"/>
      <c r="M308" s="3"/>
      <c r="O308" s="58"/>
      <c r="Q308" s="64"/>
      <c r="R308" s="45"/>
      <c r="S308" s="45"/>
      <c r="U308" s="64"/>
      <c r="V308" s="45"/>
      <c r="W308" s="64"/>
      <c r="X308" s="64"/>
      <c r="Y308" s="45"/>
      <c r="Z308" s="45"/>
      <c r="AA308" s="105"/>
      <c r="AB308" s="105"/>
      <c r="AC308" s="105"/>
      <c r="AD308" s="64"/>
      <c r="AG308" s="45"/>
      <c r="AH308" s="64"/>
      <c r="AI308" s="45"/>
      <c r="AJ308" s="105"/>
      <c r="AK308" s="105"/>
      <c r="AL308" s="60"/>
      <c r="AM308" s="60"/>
      <c r="AN308" s="60"/>
      <c r="AO308" s="60"/>
      <c r="AP308" s="60"/>
      <c r="AQ308" s="60"/>
      <c r="AR308" s="60"/>
      <c r="AS308" s="60"/>
      <c r="AT308" s="45"/>
      <c r="AU308" s="45"/>
      <c r="AW308" s="45"/>
      <c r="AX308" s="46">
        <f t="shared" si="13"/>
        <v>0</v>
      </c>
      <c r="AY308" s="46">
        <f t="shared" si="14"/>
        <v>0</v>
      </c>
      <c r="AZ308" s="46">
        <f t="shared" si="15"/>
        <v>0</v>
      </c>
    </row>
    <row r="309" spans="3:52" ht="20.100000000000001" customHeight="1">
      <c r="C309" s="102"/>
      <c r="D309" s="3"/>
      <c r="E309" s="12"/>
      <c r="F309" s="3"/>
      <c r="G309" s="3"/>
      <c r="H309" s="3"/>
      <c r="J309" s="3"/>
      <c r="K309" s="3"/>
      <c r="L309" s="4"/>
      <c r="M309" s="3"/>
      <c r="O309" s="58"/>
      <c r="Q309" s="64"/>
      <c r="R309" s="45"/>
      <c r="S309" s="45"/>
      <c r="U309" s="64"/>
      <c r="V309" s="45"/>
      <c r="W309" s="64"/>
      <c r="X309" s="64"/>
      <c r="Y309" s="45"/>
      <c r="Z309" s="45"/>
      <c r="AA309" s="105"/>
      <c r="AB309" s="105"/>
      <c r="AC309" s="105"/>
      <c r="AD309" s="64"/>
      <c r="AG309" s="45"/>
      <c r="AH309" s="64"/>
      <c r="AI309" s="45"/>
      <c r="AJ309" s="105"/>
      <c r="AK309" s="105"/>
      <c r="AL309" s="60"/>
      <c r="AM309" s="60"/>
      <c r="AN309" s="60"/>
      <c r="AO309" s="60"/>
      <c r="AP309" s="60"/>
      <c r="AQ309" s="60"/>
      <c r="AR309" s="60"/>
      <c r="AS309" s="60"/>
      <c r="AT309" s="45"/>
      <c r="AU309" s="45"/>
      <c r="AW309" s="45"/>
      <c r="AX309" s="46">
        <f t="shared" si="13"/>
        <v>0</v>
      </c>
      <c r="AY309" s="46">
        <f t="shared" si="14"/>
        <v>0</v>
      </c>
      <c r="AZ309" s="46">
        <f t="shared" si="15"/>
        <v>0</v>
      </c>
    </row>
    <row r="310" spans="3:52" ht="20.100000000000001" customHeight="1">
      <c r="C310" s="102"/>
      <c r="D310" s="3"/>
      <c r="E310" s="12"/>
      <c r="F310" s="3"/>
      <c r="G310" s="3"/>
      <c r="H310" s="3"/>
      <c r="J310" s="3"/>
      <c r="K310" s="3"/>
      <c r="L310" s="4"/>
      <c r="M310" s="3"/>
      <c r="O310" s="58"/>
      <c r="Q310" s="64"/>
      <c r="R310" s="45"/>
      <c r="S310" s="45"/>
      <c r="U310" s="64"/>
      <c r="V310" s="45"/>
      <c r="W310" s="64"/>
      <c r="X310" s="64"/>
      <c r="Y310" s="45"/>
      <c r="Z310" s="45"/>
      <c r="AA310" s="105"/>
      <c r="AB310" s="105"/>
      <c r="AC310" s="105"/>
      <c r="AD310" s="64"/>
      <c r="AG310" s="45"/>
      <c r="AH310" s="64"/>
      <c r="AI310" s="45"/>
      <c r="AJ310" s="105"/>
      <c r="AK310" s="105"/>
      <c r="AL310" s="60"/>
      <c r="AM310" s="60"/>
      <c r="AN310" s="60"/>
      <c r="AO310" s="60"/>
      <c r="AP310" s="60"/>
      <c r="AQ310" s="60"/>
      <c r="AR310" s="60"/>
      <c r="AS310" s="60"/>
      <c r="AT310" s="45"/>
      <c r="AU310" s="45"/>
      <c r="AW310" s="45"/>
      <c r="AX310" s="46">
        <f t="shared" si="13"/>
        <v>0</v>
      </c>
      <c r="AY310" s="46">
        <f t="shared" si="14"/>
        <v>0</v>
      </c>
      <c r="AZ310" s="46">
        <f t="shared" si="15"/>
        <v>0</v>
      </c>
    </row>
    <row r="311" spans="3:52" ht="20.100000000000001" customHeight="1">
      <c r="C311" s="102"/>
      <c r="D311" s="3"/>
      <c r="E311" s="12"/>
      <c r="F311" s="3"/>
      <c r="G311" s="3"/>
      <c r="H311" s="3"/>
      <c r="J311" s="3"/>
      <c r="K311" s="3"/>
      <c r="L311" s="4"/>
      <c r="M311" s="3"/>
      <c r="O311" s="58"/>
      <c r="Q311" s="64"/>
      <c r="R311" s="45"/>
      <c r="S311" s="45"/>
      <c r="U311" s="64"/>
      <c r="V311" s="45"/>
      <c r="W311" s="64"/>
      <c r="X311" s="64"/>
      <c r="Y311" s="45"/>
      <c r="Z311" s="45"/>
      <c r="AA311" s="105"/>
      <c r="AB311" s="105"/>
      <c r="AC311" s="105"/>
      <c r="AD311" s="64"/>
      <c r="AG311" s="45"/>
      <c r="AH311" s="64"/>
      <c r="AI311" s="45"/>
      <c r="AJ311" s="105"/>
      <c r="AK311" s="105"/>
      <c r="AL311" s="60"/>
      <c r="AM311" s="60"/>
      <c r="AN311" s="60"/>
      <c r="AO311" s="60"/>
      <c r="AP311" s="60"/>
      <c r="AQ311" s="60"/>
      <c r="AR311" s="60"/>
      <c r="AS311" s="60"/>
      <c r="AT311" s="45"/>
      <c r="AU311" s="45"/>
      <c r="AW311" s="45"/>
      <c r="AX311" s="46">
        <f t="shared" si="13"/>
        <v>0</v>
      </c>
      <c r="AY311" s="46">
        <f t="shared" si="14"/>
        <v>0</v>
      </c>
      <c r="AZ311" s="46">
        <f t="shared" si="15"/>
        <v>0</v>
      </c>
    </row>
    <row r="312" spans="3:52" ht="20.100000000000001" customHeight="1">
      <c r="C312" s="102"/>
      <c r="D312" s="3"/>
      <c r="E312" s="12"/>
      <c r="F312" s="3"/>
      <c r="G312" s="3"/>
      <c r="H312" s="3"/>
      <c r="J312" s="3"/>
      <c r="K312" s="3"/>
      <c r="L312" s="4"/>
      <c r="M312" s="3"/>
      <c r="O312" s="58"/>
      <c r="Q312" s="64"/>
      <c r="R312" s="45"/>
      <c r="S312" s="45"/>
      <c r="U312" s="64"/>
      <c r="V312" s="45"/>
      <c r="W312" s="64"/>
      <c r="X312" s="64"/>
      <c r="Y312" s="45"/>
      <c r="Z312" s="45"/>
      <c r="AA312" s="105"/>
      <c r="AB312" s="105"/>
      <c r="AC312" s="105"/>
      <c r="AD312" s="64"/>
      <c r="AG312" s="45"/>
      <c r="AH312" s="64"/>
      <c r="AI312" s="45"/>
      <c r="AJ312" s="105"/>
      <c r="AK312" s="105"/>
      <c r="AL312" s="60"/>
      <c r="AM312" s="60"/>
      <c r="AN312" s="60"/>
      <c r="AO312" s="60"/>
      <c r="AP312" s="60"/>
      <c r="AQ312" s="60"/>
      <c r="AR312" s="60"/>
      <c r="AS312" s="60"/>
      <c r="AT312" s="45"/>
      <c r="AU312" s="45"/>
      <c r="AW312" s="45"/>
      <c r="AX312" s="46">
        <f t="shared" si="13"/>
        <v>0</v>
      </c>
      <c r="AY312" s="46">
        <f t="shared" si="14"/>
        <v>0</v>
      </c>
      <c r="AZ312" s="46">
        <f t="shared" si="15"/>
        <v>0</v>
      </c>
    </row>
    <row r="313" spans="3:52" ht="20.100000000000001" customHeight="1">
      <c r="C313" s="102"/>
      <c r="D313" s="3"/>
      <c r="E313" s="12"/>
      <c r="F313" s="3"/>
      <c r="G313" s="3"/>
      <c r="H313" s="3"/>
      <c r="J313" s="3"/>
      <c r="K313" s="3"/>
      <c r="L313" s="4"/>
      <c r="M313" s="3"/>
      <c r="O313" s="58"/>
      <c r="Q313" s="64"/>
      <c r="R313" s="45"/>
      <c r="S313" s="45"/>
      <c r="U313" s="64"/>
      <c r="V313" s="45"/>
      <c r="W313" s="64"/>
      <c r="X313" s="64"/>
      <c r="Y313" s="45"/>
      <c r="Z313" s="45"/>
      <c r="AA313" s="105"/>
      <c r="AB313" s="105"/>
      <c r="AC313" s="105"/>
      <c r="AD313" s="64"/>
      <c r="AG313" s="45"/>
      <c r="AH313" s="64"/>
      <c r="AI313" s="45"/>
      <c r="AJ313" s="105"/>
      <c r="AK313" s="105"/>
      <c r="AL313" s="60"/>
      <c r="AM313" s="60"/>
      <c r="AN313" s="60"/>
      <c r="AO313" s="60"/>
      <c r="AP313" s="60"/>
      <c r="AQ313" s="60"/>
      <c r="AR313" s="60"/>
      <c r="AS313" s="60"/>
      <c r="AT313" s="45"/>
      <c r="AU313" s="45"/>
      <c r="AW313" s="45"/>
      <c r="AX313" s="46">
        <f t="shared" si="13"/>
        <v>0</v>
      </c>
      <c r="AY313" s="46">
        <f t="shared" si="14"/>
        <v>0</v>
      </c>
      <c r="AZ313" s="46">
        <f t="shared" si="15"/>
        <v>0</v>
      </c>
    </row>
    <row r="314" spans="3:52" ht="20.100000000000001" customHeight="1">
      <c r="C314" s="102"/>
      <c r="D314" s="3"/>
      <c r="E314" s="12"/>
      <c r="F314" s="3"/>
      <c r="G314" s="3"/>
      <c r="H314" s="3"/>
      <c r="J314" s="3"/>
      <c r="K314" s="3"/>
      <c r="L314" s="4"/>
      <c r="M314" s="3"/>
      <c r="O314" s="58"/>
      <c r="Q314" s="64"/>
      <c r="R314" s="45"/>
      <c r="S314" s="45"/>
      <c r="U314" s="64"/>
      <c r="V314" s="45"/>
      <c r="W314" s="64"/>
      <c r="X314" s="64"/>
      <c r="Y314" s="45"/>
      <c r="Z314" s="45"/>
      <c r="AA314" s="105"/>
      <c r="AB314" s="105"/>
      <c r="AC314" s="105"/>
      <c r="AD314" s="64"/>
      <c r="AG314" s="45"/>
      <c r="AH314" s="64"/>
      <c r="AI314" s="45"/>
      <c r="AJ314" s="105"/>
      <c r="AK314" s="105"/>
      <c r="AL314" s="60"/>
      <c r="AM314" s="60"/>
      <c r="AN314" s="60"/>
      <c r="AO314" s="60"/>
      <c r="AP314" s="60"/>
      <c r="AQ314" s="60"/>
      <c r="AR314" s="60"/>
      <c r="AS314" s="60"/>
      <c r="AT314" s="45"/>
      <c r="AU314" s="45"/>
      <c r="AW314" s="45"/>
      <c r="AX314" s="46">
        <f t="shared" si="13"/>
        <v>0</v>
      </c>
      <c r="AY314" s="46">
        <f t="shared" si="14"/>
        <v>0</v>
      </c>
      <c r="AZ314" s="46">
        <f t="shared" si="15"/>
        <v>0</v>
      </c>
    </row>
    <row r="315" spans="3:52" ht="20.100000000000001" customHeight="1">
      <c r="C315" s="102"/>
      <c r="D315" s="3"/>
      <c r="E315" s="12"/>
      <c r="F315" s="3"/>
      <c r="G315" s="3"/>
      <c r="H315" s="3"/>
      <c r="J315" s="3"/>
      <c r="K315" s="3"/>
      <c r="L315" s="4"/>
      <c r="M315" s="3"/>
      <c r="O315" s="58"/>
      <c r="Q315" s="64"/>
      <c r="R315" s="45"/>
      <c r="S315" s="45"/>
      <c r="U315" s="64"/>
      <c r="V315" s="45"/>
      <c r="W315" s="64"/>
      <c r="X315" s="64"/>
      <c r="Y315" s="45"/>
      <c r="Z315" s="45"/>
      <c r="AA315" s="105"/>
      <c r="AB315" s="105"/>
      <c r="AC315" s="105"/>
      <c r="AD315" s="64"/>
      <c r="AH315" s="64"/>
      <c r="AI315" s="45"/>
      <c r="AJ315" s="105"/>
      <c r="AK315" s="105"/>
      <c r="AL315" s="60"/>
      <c r="AM315" s="60"/>
      <c r="AN315" s="60"/>
      <c r="AO315" s="60"/>
      <c r="AP315" s="60"/>
      <c r="AQ315" s="60"/>
      <c r="AR315" s="60"/>
      <c r="AS315" s="60"/>
      <c r="AT315" s="45"/>
      <c r="AU315" s="45"/>
      <c r="AW315" s="45"/>
      <c r="AX315" s="46">
        <f t="shared" si="13"/>
        <v>0</v>
      </c>
      <c r="AY315" s="46">
        <f t="shared" si="14"/>
        <v>0</v>
      </c>
      <c r="AZ315" s="46">
        <f t="shared" si="15"/>
        <v>0</v>
      </c>
    </row>
    <row r="316" spans="3:52" ht="20.100000000000001" customHeight="1">
      <c r="C316" s="102"/>
      <c r="D316" s="3"/>
      <c r="E316" s="12"/>
      <c r="F316" s="3"/>
      <c r="G316" s="3"/>
      <c r="H316" s="3"/>
      <c r="J316" s="3"/>
      <c r="K316" s="3"/>
      <c r="L316" s="4"/>
      <c r="M316" s="3"/>
      <c r="O316" s="58"/>
      <c r="Q316" s="64"/>
      <c r="R316" s="45"/>
      <c r="S316" s="45"/>
      <c r="U316" s="64"/>
      <c r="V316" s="45"/>
      <c r="W316" s="64"/>
      <c r="X316" s="64"/>
      <c r="Y316" s="45"/>
      <c r="Z316" s="45"/>
      <c r="AA316" s="105"/>
      <c r="AB316" s="105"/>
      <c r="AC316" s="105"/>
      <c r="AD316" s="64"/>
      <c r="AG316" s="45"/>
      <c r="AH316" s="64"/>
      <c r="AI316" s="45"/>
      <c r="AJ316" s="105"/>
      <c r="AK316" s="105"/>
      <c r="AL316" s="60"/>
      <c r="AM316" s="60"/>
      <c r="AN316" s="60"/>
      <c r="AO316" s="60"/>
      <c r="AP316" s="60"/>
      <c r="AQ316" s="60"/>
      <c r="AR316" s="60"/>
      <c r="AS316" s="60"/>
      <c r="AT316" s="45"/>
      <c r="AU316" s="45"/>
      <c r="AW316" s="45"/>
      <c r="AX316" s="46">
        <f t="shared" si="13"/>
        <v>0</v>
      </c>
      <c r="AY316" s="46">
        <f t="shared" si="14"/>
        <v>0</v>
      </c>
      <c r="AZ316" s="46">
        <f t="shared" si="15"/>
        <v>0</v>
      </c>
    </row>
    <row r="317" spans="3:52" ht="20.100000000000001" customHeight="1">
      <c r="C317" s="102"/>
      <c r="D317" s="3"/>
      <c r="E317" s="12"/>
      <c r="F317" s="3"/>
      <c r="G317" s="3"/>
      <c r="H317" s="3"/>
      <c r="J317" s="3"/>
      <c r="K317" s="3"/>
      <c r="L317" s="4"/>
      <c r="M317" s="3"/>
      <c r="O317" s="58"/>
      <c r="Q317" s="64"/>
      <c r="R317" s="45"/>
      <c r="S317" s="45"/>
      <c r="U317" s="64"/>
      <c r="V317" s="45"/>
      <c r="W317" s="64"/>
      <c r="X317" s="64"/>
      <c r="Y317" s="45"/>
      <c r="Z317" s="45"/>
      <c r="AA317" s="105"/>
      <c r="AB317" s="105"/>
      <c r="AC317" s="105"/>
      <c r="AD317" s="64"/>
      <c r="AG317" s="45"/>
      <c r="AH317" s="64"/>
      <c r="AI317" s="45"/>
      <c r="AJ317" s="105"/>
      <c r="AK317" s="105"/>
      <c r="AL317" s="60"/>
      <c r="AM317" s="60"/>
      <c r="AN317" s="60"/>
      <c r="AO317" s="60"/>
      <c r="AP317" s="60"/>
      <c r="AQ317" s="60"/>
      <c r="AR317" s="60"/>
      <c r="AS317" s="60"/>
      <c r="AT317" s="45"/>
      <c r="AU317" s="45"/>
      <c r="AW317" s="45"/>
      <c r="AX317" s="46">
        <f t="shared" si="13"/>
        <v>0</v>
      </c>
      <c r="AY317" s="46">
        <f t="shared" si="14"/>
        <v>0</v>
      </c>
      <c r="AZ317" s="46">
        <f t="shared" si="15"/>
        <v>0</v>
      </c>
    </row>
    <row r="318" spans="3:52" ht="20.100000000000001" customHeight="1">
      <c r="C318" s="102"/>
      <c r="D318" s="3"/>
      <c r="E318" s="67"/>
      <c r="F318" s="3"/>
      <c r="G318" s="3"/>
      <c r="H318" s="3"/>
      <c r="J318" s="3"/>
      <c r="K318" s="3"/>
      <c r="L318" s="4"/>
      <c r="M318" s="3"/>
      <c r="O318" s="58"/>
      <c r="Q318" s="64"/>
      <c r="R318" s="45"/>
      <c r="S318" s="45"/>
      <c r="U318" s="64"/>
      <c r="V318" s="45"/>
      <c r="W318" s="64"/>
      <c r="X318" s="64"/>
      <c r="Y318" s="45"/>
      <c r="Z318" s="45"/>
      <c r="AA318" s="105"/>
      <c r="AB318" s="105"/>
      <c r="AC318" s="105"/>
      <c r="AD318" s="64"/>
      <c r="AG318" s="45"/>
      <c r="AH318" s="64"/>
      <c r="AI318" s="45"/>
      <c r="AJ318" s="105"/>
      <c r="AK318" s="105"/>
      <c r="AL318" s="60"/>
      <c r="AM318" s="60"/>
      <c r="AN318" s="60"/>
      <c r="AO318" s="60"/>
      <c r="AP318" s="60"/>
      <c r="AQ318" s="60"/>
      <c r="AR318" s="60"/>
      <c r="AS318" s="60"/>
      <c r="AT318" s="45"/>
      <c r="AU318" s="45"/>
      <c r="AW318" s="45"/>
      <c r="AX318" s="46">
        <f t="shared" si="13"/>
        <v>0</v>
      </c>
      <c r="AY318" s="46">
        <f t="shared" si="14"/>
        <v>0</v>
      </c>
      <c r="AZ318" s="46">
        <f t="shared" si="15"/>
        <v>0</v>
      </c>
    </row>
    <row r="319" spans="3:52" ht="20.100000000000001" customHeight="1">
      <c r="C319" s="102"/>
      <c r="D319" s="3"/>
      <c r="E319" s="12"/>
      <c r="F319" s="3"/>
      <c r="G319" s="3"/>
      <c r="H319" s="3"/>
      <c r="J319" s="3"/>
      <c r="K319" s="3"/>
      <c r="L319" s="4"/>
      <c r="M319" s="3"/>
      <c r="O319" s="58"/>
      <c r="Q319" s="64"/>
      <c r="R319" s="45"/>
      <c r="S319" s="45"/>
      <c r="U319" s="64"/>
      <c r="V319" s="45"/>
      <c r="W319" s="64"/>
      <c r="X319" s="64"/>
      <c r="Y319" s="45"/>
      <c r="Z319" s="45"/>
      <c r="AA319" s="105"/>
      <c r="AB319" s="105"/>
      <c r="AC319" s="105"/>
      <c r="AD319" s="64"/>
      <c r="AG319" s="45"/>
      <c r="AH319" s="64"/>
      <c r="AI319" s="45"/>
      <c r="AJ319" s="105"/>
      <c r="AK319" s="105"/>
      <c r="AL319" s="60"/>
      <c r="AM319" s="60"/>
      <c r="AN319" s="60"/>
      <c r="AO319" s="60"/>
      <c r="AP319" s="60"/>
      <c r="AQ319" s="60"/>
      <c r="AR319" s="60"/>
      <c r="AS319" s="60"/>
      <c r="AT319" s="45"/>
      <c r="AU319" s="45"/>
      <c r="AW319" s="45"/>
      <c r="AX319" s="46">
        <f t="shared" si="13"/>
        <v>0</v>
      </c>
      <c r="AY319" s="46">
        <f t="shared" si="14"/>
        <v>0</v>
      </c>
      <c r="AZ319" s="46">
        <f t="shared" si="15"/>
        <v>0</v>
      </c>
    </row>
    <row r="320" spans="3:52" ht="20.100000000000001" customHeight="1">
      <c r="C320" s="102"/>
      <c r="D320" s="3"/>
      <c r="E320" s="67"/>
      <c r="F320" s="3"/>
      <c r="G320" s="3"/>
      <c r="H320" s="3"/>
      <c r="J320" s="3"/>
      <c r="K320" s="3"/>
      <c r="L320" s="4"/>
      <c r="M320" s="3"/>
      <c r="O320" s="58"/>
      <c r="Q320" s="64"/>
      <c r="R320" s="45"/>
      <c r="S320" s="45"/>
      <c r="U320" s="64"/>
      <c r="V320" s="45"/>
      <c r="W320" s="64"/>
      <c r="X320" s="64"/>
      <c r="Y320" s="45"/>
      <c r="Z320" s="45"/>
      <c r="AA320" s="105"/>
      <c r="AB320" s="105"/>
      <c r="AC320" s="105"/>
      <c r="AD320" s="64"/>
      <c r="AG320" s="45"/>
      <c r="AH320" s="64"/>
      <c r="AI320" s="45"/>
      <c r="AJ320" s="105"/>
      <c r="AK320" s="105"/>
      <c r="AL320" s="60"/>
      <c r="AM320" s="60"/>
      <c r="AN320" s="60"/>
      <c r="AO320" s="60"/>
      <c r="AP320" s="60"/>
      <c r="AQ320" s="60"/>
      <c r="AR320" s="60"/>
      <c r="AS320" s="60"/>
      <c r="AT320" s="45"/>
      <c r="AU320" s="45"/>
      <c r="AW320" s="45"/>
      <c r="AX320" s="46">
        <f t="shared" si="13"/>
        <v>0</v>
      </c>
      <c r="AY320" s="46">
        <f t="shared" si="14"/>
        <v>0</v>
      </c>
      <c r="AZ320" s="46">
        <f t="shared" si="15"/>
        <v>0</v>
      </c>
    </row>
    <row r="321" spans="2:52" ht="20.100000000000001" customHeight="1">
      <c r="C321" s="102"/>
      <c r="D321" s="3"/>
      <c r="E321" s="12"/>
      <c r="F321" s="3"/>
      <c r="G321" s="3"/>
      <c r="H321" s="3"/>
      <c r="J321" s="3"/>
      <c r="K321" s="3"/>
      <c r="L321" s="4"/>
      <c r="M321" s="3"/>
      <c r="O321" s="58"/>
      <c r="Q321" s="64"/>
      <c r="R321" s="45"/>
      <c r="S321" s="45"/>
      <c r="U321" s="64"/>
      <c r="V321" s="45"/>
      <c r="W321" s="64"/>
      <c r="X321" s="64"/>
      <c r="Y321" s="45"/>
      <c r="Z321" s="45"/>
      <c r="AA321" s="105"/>
      <c r="AB321" s="105"/>
      <c r="AC321" s="105"/>
      <c r="AD321" s="64"/>
      <c r="AH321" s="64"/>
      <c r="AI321" s="45"/>
      <c r="AJ321" s="105"/>
      <c r="AK321" s="105"/>
      <c r="AL321" s="60"/>
      <c r="AM321" s="60"/>
      <c r="AN321" s="60"/>
      <c r="AO321" s="60"/>
      <c r="AP321" s="60"/>
      <c r="AQ321" s="60"/>
      <c r="AR321" s="60"/>
      <c r="AS321" s="60"/>
      <c r="AT321" s="45"/>
      <c r="AU321" s="45"/>
      <c r="AW321" s="45"/>
      <c r="AX321" s="46">
        <f t="shared" si="13"/>
        <v>0</v>
      </c>
      <c r="AY321" s="46">
        <f t="shared" si="14"/>
        <v>0</v>
      </c>
      <c r="AZ321" s="46">
        <f t="shared" si="15"/>
        <v>0</v>
      </c>
    </row>
    <row r="322" spans="2:52" ht="20.100000000000001" customHeight="1">
      <c r="C322" s="102"/>
      <c r="D322" s="3"/>
      <c r="E322" s="12"/>
      <c r="F322" s="3"/>
      <c r="G322" s="3"/>
      <c r="H322" s="3"/>
      <c r="J322" s="3"/>
      <c r="K322" s="3"/>
      <c r="L322" s="4"/>
      <c r="M322" s="3"/>
      <c r="O322" s="58"/>
      <c r="Q322" s="64"/>
      <c r="R322" s="45"/>
      <c r="S322" s="45"/>
      <c r="U322" s="64"/>
      <c r="V322" s="45"/>
      <c r="W322" s="64"/>
      <c r="X322" s="64"/>
      <c r="Y322" s="45"/>
      <c r="Z322" s="45"/>
      <c r="AA322" s="105"/>
      <c r="AB322" s="105"/>
      <c r="AC322" s="105"/>
      <c r="AD322" s="64"/>
      <c r="AH322" s="64"/>
      <c r="AI322" s="45"/>
      <c r="AJ322" s="105"/>
      <c r="AK322" s="105"/>
      <c r="AL322" s="60"/>
      <c r="AM322" s="60"/>
      <c r="AN322" s="60"/>
      <c r="AO322" s="60"/>
      <c r="AP322" s="60"/>
      <c r="AQ322" s="60"/>
      <c r="AR322" s="60"/>
      <c r="AS322" s="60"/>
      <c r="AT322" s="45"/>
      <c r="AU322" s="45"/>
      <c r="AW322" s="45"/>
      <c r="AX322" s="46">
        <f t="shared" si="13"/>
        <v>0</v>
      </c>
      <c r="AY322" s="46">
        <f t="shared" si="14"/>
        <v>0</v>
      </c>
      <c r="AZ322" s="46">
        <f t="shared" si="15"/>
        <v>0</v>
      </c>
    </row>
    <row r="323" spans="2:52" ht="20.100000000000001" customHeight="1">
      <c r="C323" s="102"/>
      <c r="D323" s="3"/>
      <c r="E323" s="12"/>
      <c r="F323" s="3"/>
      <c r="G323" s="3"/>
      <c r="H323" s="3"/>
      <c r="J323" s="3"/>
      <c r="K323" s="3"/>
      <c r="L323" s="4"/>
      <c r="M323" s="3"/>
      <c r="O323" s="58"/>
      <c r="Q323" s="64"/>
      <c r="R323" s="45"/>
      <c r="S323" s="45"/>
      <c r="U323" s="64"/>
      <c r="V323" s="45"/>
      <c r="W323" s="64"/>
      <c r="X323" s="64"/>
      <c r="Y323" s="45"/>
      <c r="Z323" s="45"/>
      <c r="AA323" s="105"/>
      <c r="AB323" s="105"/>
      <c r="AC323" s="105"/>
      <c r="AD323" s="64"/>
      <c r="AG323" s="45"/>
      <c r="AH323" s="64"/>
      <c r="AI323" s="45"/>
      <c r="AJ323" s="105"/>
      <c r="AK323" s="105"/>
      <c r="AL323" s="60"/>
      <c r="AM323" s="60"/>
      <c r="AN323" s="60"/>
      <c r="AO323" s="60"/>
      <c r="AP323" s="60"/>
      <c r="AQ323" s="60"/>
      <c r="AR323" s="60"/>
      <c r="AS323" s="60"/>
      <c r="AT323" s="45"/>
      <c r="AU323" s="45"/>
      <c r="AW323" s="45"/>
      <c r="AX323" s="46">
        <f t="shared" si="13"/>
        <v>0</v>
      </c>
      <c r="AY323" s="46">
        <f t="shared" si="14"/>
        <v>0</v>
      </c>
      <c r="AZ323" s="46">
        <f t="shared" si="15"/>
        <v>0</v>
      </c>
    </row>
    <row r="324" spans="2:52" ht="20.100000000000001" customHeight="1">
      <c r="C324" s="102"/>
      <c r="D324" s="3"/>
      <c r="E324" s="12"/>
      <c r="F324" s="3"/>
      <c r="G324" s="3"/>
      <c r="H324" s="3"/>
      <c r="J324" s="3"/>
      <c r="K324" s="3"/>
      <c r="L324" s="4"/>
      <c r="M324" s="3"/>
      <c r="O324" s="58"/>
      <c r="Q324" s="64"/>
      <c r="R324" s="45"/>
      <c r="S324" s="45"/>
      <c r="U324" s="64"/>
      <c r="V324" s="45"/>
      <c r="W324" s="64"/>
      <c r="X324" s="64"/>
      <c r="Y324" s="45"/>
      <c r="Z324" s="45"/>
      <c r="AA324" s="105"/>
      <c r="AB324" s="105"/>
      <c r="AC324" s="105"/>
      <c r="AD324" s="64"/>
      <c r="AG324" s="45"/>
      <c r="AH324" s="64"/>
      <c r="AI324" s="45"/>
      <c r="AJ324" s="105"/>
      <c r="AK324" s="105"/>
      <c r="AL324" s="60"/>
      <c r="AM324" s="60"/>
      <c r="AN324" s="60"/>
      <c r="AO324" s="60"/>
      <c r="AP324" s="60"/>
      <c r="AQ324" s="60"/>
      <c r="AR324" s="60"/>
      <c r="AS324" s="60"/>
      <c r="AT324" s="45"/>
      <c r="AU324" s="45"/>
      <c r="AW324" s="45"/>
      <c r="AX324" s="46">
        <f t="shared" si="13"/>
        <v>0</v>
      </c>
      <c r="AY324" s="46">
        <f t="shared" si="14"/>
        <v>0</v>
      </c>
      <c r="AZ324" s="46">
        <f t="shared" si="15"/>
        <v>0</v>
      </c>
    </row>
    <row r="325" spans="2:52" ht="20.100000000000001" customHeight="1">
      <c r="C325" s="102"/>
      <c r="D325" s="3"/>
      <c r="E325" s="12"/>
      <c r="F325" s="3"/>
      <c r="G325" s="3"/>
      <c r="H325" s="3"/>
      <c r="J325" s="3"/>
      <c r="K325" s="3"/>
      <c r="L325" s="4"/>
      <c r="M325" s="3"/>
      <c r="O325" s="58"/>
      <c r="Q325" s="64"/>
      <c r="R325" s="45"/>
      <c r="S325" s="45"/>
      <c r="U325" s="64"/>
      <c r="V325" s="45"/>
      <c r="W325" s="64"/>
      <c r="X325" s="64"/>
      <c r="Y325" s="45"/>
      <c r="Z325" s="45"/>
      <c r="AA325" s="105"/>
      <c r="AB325" s="105"/>
      <c r="AC325" s="105"/>
      <c r="AD325" s="64"/>
      <c r="AH325" s="64"/>
      <c r="AI325" s="45"/>
      <c r="AJ325" s="105"/>
      <c r="AK325" s="105"/>
      <c r="AL325" s="60"/>
      <c r="AM325" s="60"/>
      <c r="AN325" s="60"/>
      <c r="AO325" s="60"/>
      <c r="AP325" s="60"/>
      <c r="AQ325" s="60"/>
      <c r="AR325" s="60"/>
      <c r="AS325" s="60"/>
      <c r="AT325" s="45"/>
      <c r="AU325" s="45"/>
      <c r="AW325" s="45"/>
      <c r="AX325" s="46">
        <f t="shared" si="13"/>
        <v>0</v>
      </c>
      <c r="AY325" s="46">
        <f t="shared" si="14"/>
        <v>0</v>
      </c>
      <c r="AZ325" s="46">
        <f t="shared" si="15"/>
        <v>0</v>
      </c>
    </row>
    <row r="326" spans="2:52" ht="20.100000000000001" customHeight="1">
      <c r="C326" s="102"/>
      <c r="D326" s="3"/>
      <c r="E326" s="12"/>
      <c r="F326" s="3"/>
      <c r="G326" s="3"/>
      <c r="H326" s="3"/>
      <c r="J326" s="3"/>
      <c r="K326" s="3"/>
      <c r="L326" s="4"/>
      <c r="M326" s="3"/>
      <c r="O326" s="58"/>
      <c r="Q326" s="64"/>
      <c r="R326" s="45"/>
      <c r="S326" s="45"/>
      <c r="U326" s="64"/>
      <c r="V326" s="45"/>
      <c r="W326" s="64"/>
      <c r="X326" s="64"/>
      <c r="Y326" s="45"/>
      <c r="Z326" s="45"/>
      <c r="AA326" s="105"/>
      <c r="AB326" s="105"/>
      <c r="AC326" s="105"/>
      <c r="AD326" s="64"/>
      <c r="AG326" s="45"/>
      <c r="AH326" s="64"/>
      <c r="AI326" s="45"/>
      <c r="AJ326" s="105"/>
      <c r="AK326" s="105"/>
      <c r="AL326" s="60"/>
      <c r="AM326" s="60"/>
      <c r="AN326" s="60"/>
      <c r="AO326" s="60"/>
      <c r="AP326" s="60"/>
      <c r="AQ326" s="60"/>
      <c r="AR326" s="60"/>
      <c r="AS326" s="60"/>
      <c r="AT326" s="45"/>
      <c r="AU326" s="45"/>
      <c r="AW326" s="45"/>
      <c r="AX326" s="46">
        <f t="shared" si="13"/>
        <v>0</v>
      </c>
      <c r="AY326" s="46">
        <f t="shared" si="14"/>
        <v>0</v>
      </c>
      <c r="AZ326" s="46">
        <f t="shared" si="15"/>
        <v>0</v>
      </c>
    </row>
    <row r="327" spans="2:52" ht="20.100000000000001" customHeight="1">
      <c r="C327" s="102"/>
      <c r="D327" s="3"/>
      <c r="E327" s="12"/>
      <c r="F327" s="3"/>
      <c r="G327" s="3"/>
      <c r="H327" s="3"/>
      <c r="J327" s="3"/>
      <c r="K327" s="3"/>
      <c r="L327" s="4"/>
      <c r="M327" s="3"/>
      <c r="O327" s="58"/>
      <c r="Q327" s="64"/>
      <c r="R327" s="45"/>
      <c r="S327" s="45"/>
      <c r="U327" s="64"/>
      <c r="V327" s="45"/>
      <c r="W327" s="64"/>
      <c r="X327" s="64"/>
      <c r="Y327" s="45"/>
      <c r="Z327" s="45"/>
      <c r="AA327" s="105"/>
      <c r="AB327" s="105"/>
      <c r="AC327" s="105"/>
      <c r="AD327" s="64"/>
      <c r="AG327" s="45"/>
      <c r="AH327" s="64"/>
      <c r="AI327" s="45"/>
      <c r="AJ327" s="105"/>
      <c r="AK327" s="105"/>
      <c r="AL327" s="60"/>
      <c r="AM327" s="60"/>
      <c r="AN327" s="60"/>
      <c r="AO327" s="60"/>
      <c r="AP327" s="60"/>
      <c r="AQ327" s="60"/>
      <c r="AR327" s="60"/>
      <c r="AS327" s="60"/>
      <c r="AT327" s="45"/>
      <c r="AU327" s="45"/>
      <c r="AW327" s="45"/>
      <c r="AX327" s="46">
        <f t="shared" si="13"/>
        <v>0</v>
      </c>
      <c r="AY327" s="46">
        <f t="shared" si="14"/>
        <v>0</v>
      </c>
      <c r="AZ327" s="46">
        <f t="shared" si="15"/>
        <v>0</v>
      </c>
    </row>
    <row r="328" spans="2:52" ht="20.100000000000001" customHeight="1">
      <c r="C328" s="102"/>
      <c r="D328" s="3"/>
      <c r="E328" s="67"/>
      <c r="F328" s="3"/>
      <c r="G328" s="3"/>
      <c r="H328" s="3"/>
      <c r="J328" s="3"/>
      <c r="K328" s="3"/>
      <c r="L328" s="4"/>
      <c r="M328" s="3"/>
      <c r="O328" s="58"/>
      <c r="Q328" s="64"/>
      <c r="R328" s="45"/>
      <c r="S328" s="45"/>
      <c r="U328" s="64"/>
      <c r="V328" s="45"/>
      <c r="W328" s="64"/>
      <c r="X328" s="64"/>
      <c r="Y328" s="45"/>
      <c r="Z328" s="45"/>
      <c r="AA328" s="105"/>
      <c r="AB328" s="105"/>
      <c r="AC328" s="105"/>
      <c r="AD328" s="64"/>
      <c r="AH328" s="64"/>
      <c r="AI328" s="45"/>
      <c r="AJ328" s="105"/>
      <c r="AK328" s="105"/>
      <c r="AL328" s="60"/>
      <c r="AM328" s="60"/>
      <c r="AN328" s="60"/>
      <c r="AO328" s="60"/>
      <c r="AP328" s="60"/>
      <c r="AQ328" s="60"/>
      <c r="AR328" s="60"/>
      <c r="AS328" s="60"/>
      <c r="AT328" s="45"/>
      <c r="AU328" s="45"/>
      <c r="AW328" s="45"/>
      <c r="AX328" s="46">
        <f t="shared" si="13"/>
        <v>0</v>
      </c>
      <c r="AY328" s="46">
        <f t="shared" si="14"/>
        <v>0</v>
      </c>
      <c r="AZ328" s="46">
        <f t="shared" si="15"/>
        <v>0</v>
      </c>
    </row>
    <row r="329" spans="2:52" ht="20.100000000000001" customHeight="1">
      <c r="C329" s="102"/>
      <c r="D329" s="3"/>
      <c r="E329" s="12"/>
      <c r="F329" s="3"/>
      <c r="G329" s="3"/>
      <c r="H329" s="3"/>
      <c r="J329" s="3"/>
      <c r="K329" s="3"/>
      <c r="L329" s="4"/>
      <c r="M329" s="3"/>
      <c r="O329" s="58"/>
      <c r="Q329" s="64"/>
      <c r="R329" s="45"/>
      <c r="S329" s="45"/>
      <c r="U329" s="64"/>
      <c r="V329" s="45"/>
      <c r="W329" s="64"/>
      <c r="X329" s="64"/>
      <c r="Y329" s="45"/>
      <c r="Z329" s="45"/>
      <c r="AA329" s="105"/>
      <c r="AB329" s="105"/>
      <c r="AC329" s="105"/>
      <c r="AD329" s="64"/>
      <c r="AG329" s="45"/>
      <c r="AH329" s="64"/>
      <c r="AI329" s="45"/>
      <c r="AJ329" s="105"/>
      <c r="AK329" s="105"/>
      <c r="AL329" s="60"/>
      <c r="AM329" s="60"/>
      <c r="AN329" s="60"/>
      <c r="AO329" s="60"/>
      <c r="AP329" s="60"/>
      <c r="AQ329" s="60"/>
      <c r="AR329" s="60"/>
      <c r="AS329" s="60"/>
      <c r="AT329" s="45"/>
      <c r="AU329" s="45"/>
      <c r="AW329" s="45"/>
      <c r="AX329" s="46">
        <f t="shared" si="13"/>
        <v>0</v>
      </c>
      <c r="AY329" s="46">
        <f t="shared" si="14"/>
        <v>0</v>
      </c>
      <c r="AZ329" s="46">
        <f t="shared" si="15"/>
        <v>0</v>
      </c>
    </row>
    <row r="330" spans="2:52" ht="20.100000000000001" customHeight="1">
      <c r="C330" s="102"/>
      <c r="D330" s="3"/>
      <c r="E330" s="12"/>
      <c r="F330" s="3"/>
      <c r="G330" s="3"/>
      <c r="H330" s="3"/>
      <c r="J330" s="3"/>
      <c r="K330" s="3"/>
      <c r="L330" s="4"/>
      <c r="M330" s="3"/>
      <c r="O330" s="58"/>
      <c r="Q330" s="64"/>
      <c r="R330" s="45"/>
      <c r="S330" s="45"/>
      <c r="U330" s="64"/>
      <c r="V330" s="45"/>
      <c r="W330" s="64"/>
      <c r="X330" s="64"/>
      <c r="Y330" s="45"/>
      <c r="Z330" s="45"/>
      <c r="AA330" s="105"/>
      <c r="AB330" s="105"/>
      <c r="AC330" s="105"/>
      <c r="AD330" s="64"/>
      <c r="AH330" s="64"/>
      <c r="AI330" s="45"/>
      <c r="AJ330" s="105"/>
      <c r="AK330" s="105"/>
      <c r="AL330" s="60"/>
      <c r="AM330" s="60"/>
      <c r="AN330" s="60"/>
      <c r="AO330" s="60"/>
      <c r="AP330" s="60"/>
      <c r="AQ330" s="60"/>
      <c r="AR330" s="60"/>
      <c r="AS330" s="60"/>
      <c r="AT330" s="45"/>
      <c r="AU330" s="45"/>
      <c r="AW330" s="45"/>
      <c r="AX330" s="46">
        <f t="shared" si="13"/>
        <v>0</v>
      </c>
      <c r="AY330" s="46">
        <f t="shared" si="14"/>
        <v>0</v>
      </c>
      <c r="AZ330" s="46">
        <f t="shared" si="15"/>
        <v>0</v>
      </c>
    </row>
    <row r="331" spans="2:52" ht="20.100000000000001" customHeight="1">
      <c r="B331" s="61"/>
      <c r="C331" s="103"/>
      <c r="D331" s="3"/>
      <c r="E331" s="12"/>
      <c r="F331" s="3"/>
      <c r="G331" s="3"/>
      <c r="H331" s="3"/>
      <c r="J331" s="3"/>
      <c r="K331" s="3"/>
      <c r="L331" s="4"/>
      <c r="M331" s="3"/>
      <c r="O331" s="58"/>
      <c r="Q331" s="64"/>
      <c r="R331" s="45"/>
      <c r="S331" s="45"/>
      <c r="U331" s="64"/>
      <c r="V331" s="45"/>
      <c r="W331" s="64"/>
      <c r="X331" s="64"/>
      <c r="Y331" s="45"/>
      <c r="Z331" s="45"/>
      <c r="AA331" s="105"/>
      <c r="AB331" s="105"/>
      <c r="AC331" s="105"/>
      <c r="AD331" s="64"/>
      <c r="AE331" s="62"/>
      <c r="AG331" s="45"/>
      <c r="AH331" s="64"/>
      <c r="AI331" s="45"/>
      <c r="AJ331" s="105"/>
      <c r="AK331" s="105"/>
      <c r="AL331" s="60"/>
      <c r="AM331" s="60"/>
      <c r="AN331" s="60"/>
      <c r="AO331" s="60"/>
      <c r="AP331" s="60"/>
      <c r="AQ331" s="60"/>
      <c r="AR331" s="60"/>
      <c r="AS331" s="60"/>
      <c r="AT331" s="45"/>
      <c r="AU331" s="45"/>
      <c r="AW331" s="45"/>
      <c r="AX331" s="46">
        <f t="shared" ref="AX331:AX394" si="16">IFERROR(SUM(Q331:AS331)-SUM(AT331:AU331)+AV331,"-")</f>
        <v>0</v>
      </c>
      <c r="AY331" s="46">
        <f t="shared" ref="AY331:AY394" si="17">IFERROR(SUM(Q331:AS331)-SUM(AT331:AT331),"-")</f>
        <v>0</v>
      </c>
      <c r="AZ331" s="46">
        <f t="shared" ref="AZ331:AZ394" si="18">SUM(Q331:AS331)</f>
        <v>0</v>
      </c>
    </row>
    <row r="332" spans="2:52" ht="20.100000000000001" customHeight="1">
      <c r="C332" s="102"/>
      <c r="D332" s="3"/>
      <c r="E332" s="67"/>
      <c r="F332" s="3"/>
      <c r="G332" s="3"/>
      <c r="H332" s="3"/>
      <c r="J332" s="3"/>
      <c r="K332" s="3"/>
      <c r="L332" s="4"/>
      <c r="M332" s="3"/>
      <c r="O332" s="58"/>
      <c r="Q332" s="64"/>
      <c r="R332" s="45"/>
      <c r="S332" s="45"/>
      <c r="U332" s="64"/>
      <c r="V332" s="45"/>
      <c r="W332" s="64"/>
      <c r="X332" s="64"/>
      <c r="Y332" s="45"/>
      <c r="Z332" s="45"/>
      <c r="AA332" s="105"/>
      <c r="AB332" s="105"/>
      <c r="AC332" s="105"/>
      <c r="AD332" s="64"/>
      <c r="AG332" s="45"/>
      <c r="AH332" s="64"/>
      <c r="AI332" s="45"/>
      <c r="AJ332" s="105"/>
      <c r="AK332" s="105"/>
      <c r="AL332" s="60"/>
      <c r="AM332" s="60"/>
      <c r="AN332" s="60"/>
      <c r="AO332" s="60"/>
      <c r="AP332" s="60"/>
      <c r="AQ332" s="60"/>
      <c r="AR332" s="60"/>
      <c r="AS332" s="60"/>
      <c r="AT332" s="45"/>
      <c r="AU332" s="45"/>
      <c r="AW332" s="45"/>
      <c r="AX332" s="46">
        <f t="shared" si="16"/>
        <v>0</v>
      </c>
      <c r="AY332" s="46">
        <f t="shared" si="17"/>
        <v>0</v>
      </c>
      <c r="AZ332" s="46">
        <f t="shared" si="18"/>
        <v>0</v>
      </c>
    </row>
    <row r="333" spans="2:52" ht="20.100000000000001" customHeight="1">
      <c r="C333" s="102"/>
      <c r="D333" s="3"/>
      <c r="E333" s="12"/>
      <c r="F333" s="3"/>
      <c r="G333" s="3"/>
      <c r="H333" s="3"/>
      <c r="J333" s="3"/>
      <c r="K333" s="3"/>
      <c r="L333" s="4"/>
      <c r="M333" s="3"/>
      <c r="O333" s="58"/>
      <c r="Q333" s="64"/>
      <c r="R333" s="45"/>
      <c r="S333" s="45"/>
      <c r="U333" s="64"/>
      <c r="V333" s="45"/>
      <c r="W333" s="64"/>
      <c r="X333" s="64"/>
      <c r="Y333" s="45"/>
      <c r="Z333" s="45"/>
      <c r="AA333" s="105"/>
      <c r="AB333" s="105"/>
      <c r="AC333" s="105"/>
      <c r="AD333" s="64"/>
      <c r="AG333" s="45"/>
      <c r="AH333" s="64"/>
      <c r="AI333" s="45"/>
      <c r="AJ333" s="105"/>
      <c r="AK333" s="105"/>
      <c r="AL333" s="60"/>
      <c r="AM333" s="60"/>
      <c r="AN333" s="60"/>
      <c r="AO333" s="60"/>
      <c r="AP333" s="60"/>
      <c r="AQ333" s="60"/>
      <c r="AR333" s="60"/>
      <c r="AS333" s="60"/>
      <c r="AT333" s="45"/>
      <c r="AU333" s="45"/>
      <c r="AW333" s="45"/>
      <c r="AX333" s="46">
        <f t="shared" si="16"/>
        <v>0</v>
      </c>
      <c r="AY333" s="46">
        <f t="shared" si="17"/>
        <v>0</v>
      </c>
      <c r="AZ333" s="46">
        <f t="shared" si="18"/>
        <v>0</v>
      </c>
    </row>
    <row r="334" spans="2:52" ht="20.100000000000001" customHeight="1">
      <c r="C334" s="102"/>
      <c r="D334" s="3"/>
      <c r="E334" s="67"/>
      <c r="F334" s="3"/>
      <c r="G334" s="3"/>
      <c r="H334" s="3"/>
      <c r="J334" s="3"/>
      <c r="K334" s="3"/>
      <c r="L334" s="4"/>
      <c r="M334" s="3"/>
      <c r="O334" s="58"/>
      <c r="Q334" s="64"/>
      <c r="R334" s="45"/>
      <c r="S334" s="45"/>
      <c r="U334" s="64"/>
      <c r="V334" s="45"/>
      <c r="W334" s="64"/>
      <c r="X334" s="64"/>
      <c r="Y334" s="45"/>
      <c r="Z334" s="45"/>
      <c r="AA334" s="105"/>
      <c r="AB334" s="105"/>
      <c r="AC334" s="105"/>
      <c r="AD334" s="64"/>
      <c r="AH334" s="64"/>
      <c r="AI334" s="45"/>
      <c r="AJ334" s="105"/>
      <c r="AK334" s="105"/>
      <c r="AL334" s="60"/>
      <c r="AM334" s="60"/>
      <c r="AN334" s="60"/>
      <c r="AO334" s="60"/>
      <c r="AP334" s="60"/>
      <c r="AQ334" s="60"/>
      <c r="AR334" s="60"/>
      <c r="AS334" s="60"/>
      <c r="AT334" s="45"/>
      <c r="AU334" s="45"/>
      <c r="AW334" s="45"/>
      <c r="AX334" s="46">
        <f t="shared" si="16"/>
        <v>0</v>
      </c>
      <c r="AY334" s="46">
        <f t="shared" si="17"/>
        <v>0</v>
      </c>
      <c r="AZ334" s="46">
        <f t="shared" si="18"/>
        <v>0</v>
      </c>
    </row>
    <row r="335" spans="2:52" ht="20.100000000000001" customHeight="1">
      <c r="C335" s="102"/>
      <c r="D335" s="3"/>
      <c r="E335" s="12"/>
      <c r="F335" s="3"/>
      <c r="G335" s="3"/>
      <c r="H335" s="3"/>
      <c r="J335" s="3"/>
      <c r="K335" s="3"/>
      <c r="L335" s="4"/>
      <c r="M335" s="3"/>
      <c r="O335" s="58"/>
      <c r="Q335" s="64"/>
      <c r="R335" s="45"/>
      <c r="S335" s="45"/>
      <c r="U335" s="64"/>
      <c r="V335" s="45"/>
      <c r="W335" s="64"/>
      <c r="X335" s="64"/>
      <c r="Y335" s="45"/>
      <c r="Z335" s="45"/>
      <c r="AA335" s="105"/>
      <c r="AB335" s="105"/>
      <c r="AC335" s="105"/>
      <c r="AD335" s="64"/>
      <c r="AH335" s="64"/>
      <c r="AI335" s="45"/>
      <c r="AJ335" s="105"/>
      <c r="AK335" s="105"/>
      <c r="AL335" s="60"/>
      <c r="AM335" s="60"/>
      <c r="AN335" s="60"/>
      <c r="AO335" s="60"/>
      <c r="AP335" s="60"/>
      <c r="AQ335" s="60"/>
      <c r="AR335" s="60"/>
      <c r="AS335" s="60"/>
      <c r="AT335" s="45"/>
      <c r="AU335" s="45"/>
      <c r="AW335" s="45"/>
      <c r="AX335" s="46">
        <f t="shared" si="16"/>
        <v>0</v>
      </c>
      <c r="AY335" s="46">
        <f t="shared" si="17"/>
        <v>0</v>
      </c>
      <c r="AZ335" s="46">
        <f t="shared" si="18"/>
        <v>0</v>
      </c>
    </row>
    <row r="336" spans="2:52" ht="20.100000000000001" customHeight="1">
      <c r="C336" s="102"/>
      <c r="D336" s="3"/>
      <c r="E336" s="12"/>
      <c r="F336" s="3"/>
      <c r="G336" s="3"/>
      <c r="H336" s="3"/>
      <c r="J336" s="3"/>
      <c r="K336" s="3"/>
      <c r="L336" s="4"/>
      <c r="M336" s="3"/>
      <c r="O336" s="58"/>
      <c r="Q336" s="64"/>
      <c r="R336" s="45"/>
      <c r="S336" s="45"/>
      <c r="U336" s="64"/>
      <c r="V336" s="45"/>
      <c r="W336" s="64"/>
      <c r="X336" s="64"/>
      <c r="Y336" s="45"/>
      <c r="Z336" s="45"/>
      <c r="AA336" s="105"/>
      <c r="AB336" s="105"/>
      <c r="AC336" s="105"/>
      <c r="AD336" s="64"/>
      <c r="AH336" s="64"/>
      <c r="AI336" s="45"/>
      <c r="AJ336" s="105"/>
      <c r="AK336" s="105"/>
      <c r="AL336" s="60"/>
      <c r="AM336" s="60"/>
      <c r="AN336" s="60"/>
      <c r="AO336" s="60"/>
      <c r="AP336" s="60"/>
      <c r="AQ336" s="60"/>
      <c r="AR336" s="60"/>
      <c r="AS336" s="60"/>
      <c r="AT336" s="45"/>
      <c r="AU336" s="45"/>
      <c r="AW336" s="45"/>
      <c r="AX336" s="46">
        <f t="shared" si="16"/>
        <v>0</v>
      </c>
      <c r="AY336" s="46">
        <f t="shared" si="17"/>
        <v>0</v>
      </c>
      <c r="AZ336" s="46">
        <f t="shared" si="18"/>
        <v>0</v>
      </c>
    </row>
    <row r="337" spans="3:52" ht="20.100000000000001" customHeight="1">
      <c r="C337" s="102"/>
      <c r="D337" s="3"/>
      <c r="E337" s="12"/>
      <c r="F337" s="3"/>
      <c r="G337" s="3"/>
      <c r="H337" s="3"/>
      <c r="J337" s="3"/>
      <c r="K337" s="3"/>
      <c r="L337" s="4"/>
      <c r="M337" s="3"/>
      <c r="O337" s="58"/>
      <c r="Q337" s="64"/>
      <c r="R337" s="45"/>
      <c r="S337" s="45"/>
      <c r="U337" s="64"/>
      <c r="V337" s="45"/>
      <c r="W337" s="64"/>
      <c r="X337" s="64"/>
      <c r="Y337" s="45"/>
      <c r="Z337" s="45"/>
      <c r="AA337" s="105"/>
      <c r="AB337" s="105"/>
      <c r="AC337" s="105"/>
      <c r="AD337" s="64"/>
      <c r="AG337" s="45"/>
      <c r="AH337" s="64"/>
      <c r="AI337" s="45"/>
      <c r="AJ337" s="105"/>
      <c r="AK337" s="105"/>
      <c r="AL337" s="60"/>
      <c r="AM337" s="60"/>
      <c r="AN337" s="60"/>
      <c r="AO337" s="60"/>
      <c r="AP337" s="60"/>
      <c r="AQ337" s="60"/>
      <c r="AR337" s="60"/>
      <c r="AS337" s="60"/>
      <c r="AT337" s="45"/>
      <c r="AU337" s="45"/>
      <c r="AW337" s="45"/>
      <c r="AX337" s="46">
        <f t="shared" si="16"/>
        <v>0</v>
      </c>
      <c r="AY337" s="46">
        <f t="shared" si="17"/>
        <v>0</v>
      </c>
      <c r="AZ337" s="46">
        <f t="shared" si="18"/>
        <v>0</v>
      </c>
    </row>
    <row r="338" spans="3:52" ht="20.100000000000001" customHeight="1">
      <c r="C338" s="102"/>
      <c r="D338" s="3"/>
      <c r="E338" s="12"/>
      <c r="F338" s="3"/>
      <c r="G338" s="3"/>
      <c r="H338" s="3"/>
      <c r="J338" s="3"/>
      <c r="K338" s="3"/>
      <c r="L338" s="4"/>
      <c r="M338" s="3"/>
      <c r="O338" s="58"/>
      <c r="Q338" s="64"/>
      <c r="R338" s="45"/>
      <c r="S338" s="45"/>
      <c r="U338" s="64"/>
      <c r="V338" s="45"/>
      <c r="W338" s="64"/>
      <c r="X338" s="64"/>
      <c r="Y338" s="45"/>
      <c r="Z338" s="45"/>
      <c r="AA338" s="105"/>
      <c r="AB338" s="105"/>
      <c r="AC338" s="105"/>
      <c r="AD338" s="64"/>
      <c r="AH338" s="64"/>
      <c r="AI338" s="45"/>
      <c r="AJ338" s="105"/>
      <c r="AK338" s="105"/>
      <c r="AL338" s="60"/>
      <c r="AM338" s="60"/>
      <c r="AN338" s="60"/>
      <c r="AO338" s="60"/>
      <c r="AP338" s="60"/>
      <c r="AQ338" s="60"/>
      <c r="AR338" s="60"/>
      <c r="AS338" s="60"/>
      <c r="AT338" s="45"/>
      <c r="AU338" s="45"/>
      <c r="AW338" s="45"/>
      <c r="AX338" s="46">
        <f t="shared" si="16"/>
        <v>0</v>
      </c>
      <c r="AY338" s="46">
        <f t="shared" si="17"/>
        <v>0</v>
      </c>
      <c r="AZ338" s="46">
        <f t="shared" si="18"/>
        <v>0</v>
      </c>
    </row>
    <row r="339" spans="3:52" ht="20.100000000000001" customHeight="1">
      <c r="C339" s="102"/>
      <c r="D339" s="3"/>
      <c r="E339" s="12"/>
      <c r="F339" s="3"/>
      <c r="G339" s="3"/>
      <c r="H339" s="3"/>
      <c r="J339" s="3"/>
      <c r="K339" s="3"/>
      <c r="L339" s="4"/>
      <c r="M339" s="3"/>
      <c r="O339" s="58"/>
      <c r="Q339" s="64"/>
      <c r="R339" s="45"/>
      <c r="S339" s="45"/>
      <c r="U339" s="64"/>
      <c r="V339" s="45"/>
      <c r="W339" s="64"/>
      <c r="X339" s="64"/>
      <c r="Y339" s="45"/>
      <c r="Z339" s="45"/>
      <c r="AA339" s="105"/>
      <c r="AB339" s="105"/>
      <c r="AC339" s="105"/>
      <c r="AD339" s="64"/>
      <c r="AG339" s="45"/>
      <c r="AH339" s="64"/>
      <c r="AI339" s="45"/>
      <c r="AJ339" s="105"/>
      <c r="AK339" s="105"/>
      <c r="AL339" s="60"/>
      <c r="AM339" s="60"/>
      <c r="AN339" s="60"/>
      <c r="AO339" s="60"/>
      <c r="AP339" s="60"/>
      <c r="AQ339" s="60"/>
      <c r="AR339" s="60"/>
      <c r="AS339" s="60"/>
      <c r="AT339" s="45"/>
      <c r="AU339" s="45"/>
      <c r="AW339" s="45"/>
      <c r="AX339" s="46">
        <f t="shared" si="16"/>
        <v>0</v>
      </c>
      <c r="AY339" s="46">
        <f t="shared" si="17"/>
        <v>0</v>
      </c>
      <c r="AZ339" s="46">
        <f t="shared" si="18"/>
        <v>0</v>
      </c>
    </row>
    <row r="340" spans="3:52" ht="20.100000000000001" customHeight="1">
      <c r="C340" s="102"/>
      <c r="D340" s="3"/>
      <c r="E340" s="67"/>
      <c r="F340" s="3"/>
      <c r="G340" s="3"/>
      <c r="H340" s="3"/>
      <c r="J340" s="3"/>
      <c r="K340" s="3"/>
      <c r="L340" s="4"/>
      <c r="M340" s="3"/>
      <c r="O340" s="58"/>
      <c r="Q340" s="64"/>
      <c r="R340" s="45"/>
      <c r="S340" s="45"/>
      <c r="U340" s="64"/>
      <c r="V340" s="45"/>
      <c r="W340" s="64"/>
      <c r="X340" s="64"/>
      <c r="Y340" s="45"/>
      <c r="Z340" s="45"/>
      <c r="AA340" s="105"/>
      <c r="AB340" s="105"/>
      <c r="AC340" s="105"/>
      <c r="AD340" s="64"/>
      <c r="AG340" s="45"/>
      <c r="AH340" s="64"/>
      <c r="AI340" s="45"/>
      <c r="AJ340" s="105"/>
      <c r="AK340" s="105"/>
      <c r="AL340" s="60"/>
      <c r="AM340" s="60"/>
      <c r="AN340" s="60"/>
      <c r="AO340" s="60"/>
      <c r="AP340" s="60"/>
      <c r="AQ340" s="60"/>
      <c r="AR340" s="60"/>
      <c r="AS340" s="60"/>
      <c r="AT340" s="45"/>
      <c r="AU340" s="45"/>
      <c r="AW340" s="45"/>
      <c r="AX340" s="46">
        <f t="shared" si="16"/>
        <v>0</v>
      </c>
      <c r="AY340" s="46">
        <f t="shared" si="17"/>
        <v>0</v>
      </c>
      <c r="AZ340" s="46">
        <f t="shared" si="18"/>
        <v>0</v>
      </c>
    </row>
    <row r="341" spans="3:52" ht="20.100000000000001" customHeight="1">
      <c r="C341" s="102"/>
      <c r="D341" s="3"/>
      <c r="E341" s="12"/>
      <c r="F341" s="3"/>
      <c r="G341" s="3"/>
      <c r="H341" s="3"/>
      <c r="J341" s="3"/>
      <c r="K341" s="3"/>
      <c r="L341" s="4"/>
      <c r="M341" s="3"/>
      <c r="O341" s="58"/>
      <c r="Q341" s="64"/>
      <c r="R341" s="45"/>
      <c r="S341" s="45"/>
      <c r="U341" s="64"/>
      <c r="V341" s="45"/>
      <c r="W341" s="64"/>
      <c r="X341" s="64"/>
      <c r="Y341" s="45"/>
      <c r="Z341" s="45"/>
      <c r="AA341" s="105"/>
      <c r="AB341" s="105"/>
      <c r="AC341" s="105"/>
      <c r="AD341" s="64"/>
      <c r="AH341" s="64"/>
      <c r="AI341" s="45"/>
      <c r="AJ341" s="105"/>
      <c r="AK341" s="105"/>
      <c r="AL341" s="60"/>
      <c r="AM341" s="60"/>
      <c r="AN341" s="60"/>
      <c r="AO341" s="60"/>
      <c r="AP341" s="60"/>
      <c r="AQ341" s="60"/>
      <c r="AR341" s="60"/>
      <c r="AS341" s="60"/>
      <c r="AT341" s="45"/>
      <c r="AU341" s="45"/>
      <c r="AW341" s="45"/>
      <c r="AX341" s="46">
        <f t="shared" si="16"/>
        <v>0</v>
      </c>
      <c r="AY341" s="46">
        <f t="shared" si="17"/>
        <v>0</v>
      </c>
      <c r="AZ341" s="46">
        <f t="shared" si="18"/>
        <v>0</v>
      </c>
    </row>
    <row r="342" spans="3:52" ht="20.100000000000001" customHeight="1">
      <c r="C342" s="102"/>
      <c r="D342" s="3"/>
      <c r="E342" s="12"/>
      <c r="F342" s="3"/>
      <c r="G342" s="3"/>
      <c r="H342" s="3"/>
      <c r="J342" s="3"/>
      <c r="K342" s="3"/>
      <c r="L342" s="4"/>
      <c r="M342" s="3"/>
      <c r="O342" s="58"/>
      <c r="Q342" s="64"/>
      <c r="R342" s="45"/>
      <c r="S342" s="45"/>
      <c r="U342" s="64"/>
      <c r="V342" s="45"/>
      <c r="W342" s="64"/>
      <c r="X342" s="64"/>
      <c r="Y342" s="45"/>
      <c r="Z342" s="45"/>
      <c r="AA342" s="105"/>
      <c r="AB342" s="105"/>
      <c r="AC342" s="105"/>
      <c r="AD342" s="64"/>
      <c r="AG342" s="45"/>
      <c r="AH342" s="64"/>
      <c r="AI342" s="45"/>
      <c r="AJ342" s="105"/>
      <c r="AK342" s="105"/>
      <c r="AL342" s="60"/>
      <c r="AM342" s="60"/>
      <c r="AN342" s="60"/>
      <c r="AO342" s="60"/>
      <c r="AP342" s="60"/>
      <c r="AQ342" s="60"/>
      <c r="AR342" s="60"/>
      <c r="AS342" s="60"/>
      <c r="AT342" s="45"/>
      <c r="AU342" s="45"/>
      <c r="AW342" s="45"/>
      <c r="AX342" s="46">
        <f t="shared" si="16"/>
        <v>0</v>
      </c>
      <c r="AY342" s="46">
        <f t="shared" si="17"/>
        <v>0</v>
      </c>
      <c r="AZ342" s="46">
        <f t="shared" si="18"/>
        <v>0</v>
      </c>
    </row>
    <row r="343" spans="3:52" ht="20.100000000000001" customHeight="1">
      <c r="C343" s="102"/>
      <c r="D343" s="3"/>
      <c r="E343" s="12"/>
      <c r="F343" s="3"/>
      <c r="G343" s="3"/>
      <c r="H343" s="3"/>
      <c r="J343" s="3"/>
      <c r="K343" s="3"/>
      <c r="L343" s="4"/>
      <c r="M343" s="3"/>
      <c r="O343" s="58"/>
      <c r="Q343" s="64"/>
      <c r="R343" s="45"/>
      <c r="S343" s="45"/>
      <c r="U343" s="64"/>
      <c r="V343" s="45"/>
      <c r="W343" s="64"/>
      <c r="X343" s="64"/>
      <c r="Y343" s="45"/>
      <c r="Z343" s="45"/>
      <c r="AA343" s="105"/>
      <c r="AB343" s="105"/>
      <c r="AC343" s="105"/>
      <c r="AD343" s="64"/>
      <c r="AG343" s="45"/>
      <c r="AH343" s="64"/>
      <c r="AI343" s="45"/>
      <c r="AJ343" s="105"/>
      <c r="AK343" s="105"/>
      <c r="AL343" s="60"/>
      <c r="AM343" s="60"/>
      <c r="AN343" s="60"/>
      <c r="AO343" s="60"/>
      <c r="AP343" s="60"/>
      <c r="AQ343" s="60"/>
      <c r="AR343" s="60"/>
      <c r="AS343" s="60"/>
      <c r="AT343" s="45"/>
      <c r="AU343" s="45"/>
      <c r="AW343" s="45"/>
      <c r="AX343" s="46">
        <f t="shared" si="16"/>
        <v>0</v>
      </c>
      <c r="AY343" s="46">
        <f t="shared" si="17"/>
        <v>0</v>
      </c>
      <c r="AZ343" s="46">
        <f t="shared" si="18"/>
        <v>0</v>
      </c>
    </row>
    <row r="344" spans="3:52" ht="20.100000000000001" customHeight="1">
      <c r="C344" s="102"/>
      <c r="D344" s="3"/>
      <c r="E344" s="12"/>
      <c r="F344" s="3"/>
      <c r="G344" s="3"/>
      <c r="H344" s="3"/>
      <c r="J344" s="3"/>
      <c r="K344" s="3"/>
      <c r="L344" s="4"/>
      <c r="M344" s="3"/>
      <c r="O344" s="58"/>
      <c r="Q344" s="64"/>
      <c r="R344" s="45"/>
      <c r="S344" s="45"/>
      <c r="U344" s="64"/>
      <c r="V344" s="45"/>
      <c r="W344" s="64"/>
      <c r="X344" s="64"/>
      <c r="Y344" s="45"/>
      <c r="Z344" s="45"/>
      <c r="AA344" s="105"/>
      <c r="AB344" s="105"/>
      <c r="AC344" s="105"/>
      <c r="AD344" s="64"/>
      <c r="AH344" s="64"/>
      <c r="AI344" s="45"/>
      <c r="AJ344" s="105"/>
      <c r="AK344" s="105"/>
      <c r="AL344" s="60"/>
      <c r="AM344" s="60"/>
      <c r="AN344" s="60"/>
      <c r="AO344" s="60"/>
      <c r="AP344" s="60"/>
      <c r="AQ344" s="60"/>
      <c r="AR344" s="60"/>
      <c r="AS344" s="60"/>
      <c r="AT344" s="45"/>
      <c r="AU344" s="45"/>
      <c r="AW344" s="45"/>
      <c r="AX344" s="46">
        <f t="shared" si="16"/>
        <v>0</v>
      </c>
      <c r="AY344" s="46">
        <f t="shared" si="17"/>
        <v>0</v>
      </c>
      <c r="AZ344" s="46">
        <f t="shared" si="18"/>
        <v>0</v>
      </c>
    </row>
    <row r="345" spans="3:52" ht="20.100000000000001" customHeight="1">
      <c r="C345" s="102"/>
      <c r="D345" s="3"/>
      <c r="E345" s="67"/>
      <c r="F345" s="3"/>
      <c r="G345" s="3"/>
      <c r="H345" s="3"/>
      <c r="J345" s="3"/>
      <c r="K345" s="3"/>
      <c r="L345" s="4"/>
      <c r="M345" s="3"/>
      <c r="O345" s="58"/>
      <c r="Q345" s="64"/>
      <c r="R345" s="45"/>
      <c r="U345" s="64"/>
      <c r="V345" s="45"/>
      <c r="W345" s="64"/>
      <c r="X345" s="64"/>
      <c r="Y345" s="45"/>
      <c r="Z345" s="45"/>
      <c r="AA345" s="105"/>
      <c r="AB345" s="105"/>
      <c r="AC345" s="105"/>
      <c r="AD345" s="64"/>
      <c r="AG345" s="45"/>
      <c r="AH345" s="64"/>
      <c r="AI345" s="45"/>
      <c r="AJ345" s="105"/>
      <c r="AK345" s="105"/>
      <c r="AL345" s="60"/>
      <c r="AM345" s="60"/>
      <c r="AN345" s="60"/>
      <c r="AO345" s="60"/>
      <c r="AP345" s="60"/>
      <c r="AQ345" s="60"/>
      <c r="AR345" s="60"/>
      <c r="AS345" s="60"/>
      <c r="AT345" s="45"/>
      <c r="AU345" s="45"/>
      <c r="AW345" s="45"/>
      <c r="AX345" s="46">
        <f t="shared" si="16"/>
        <v>0</v>
      </c>
      <c r="AY345" s="46">
        <f t="shared" si="17"/>
        <v>0</v>
      </c>
      <c r="AZ345" s="46">
        <f t="shared" si="18"/>
        <v>0</v>
      </c>
    </row>
    <row r="346" spans="3:52" ht="20.100000000000001" customHeight="1">
      <c r="C346" s="102"/>
      <c r="D346" s="3"/>
      <c r="E346" s="12"/>
      <c r="F346" s="3"/>
      <c r="G346" s="3"/>
      <c r="H346" s="3"/>
      <c r="J346" s="3"/>
      <c r="K346" s="3"/>
      <c r="L346" s="4"/>
      <c r="M346" s="3"/>
      <c r="O346" s="58"/>
      <c r="Q346" s="64"/>
      <c r="R346" s="45"/>
      <c r="S346" s="45"/>
      <c r="U346" s="64"/>
      <c r="V346" s="45"/>
      <c r="W346" s="64"/>
      <c r="X346" s="64"/>
      <c r="Y346" s="45"/>
      <c r="Z346" s="45"/>
      <c r="AA346" s="105"/>
      <c r="AB346" s="105"/>
      <c r="AC346" s="105"/>
      <c r="AD346" s="64"/>
      <c r="AG346" s="45"/>
      <c r="AH346" s="64"/>
      <c r="AI346" s="45"/>
      <c r="AJ346" s="105"/>
      <c r="AK346" s="105"/>
      <c r="AL346" s="60"/>
      <c r="AM346" s="60"/>
      <c r="AN346" s="60"/>
      <c r="AO346" s="60"/>
      <c r="AP346" s="60"/>
      <c r="AQ346" s="60"/>
      <c r="AR346" s="60"/>
      <c r="AS346" s="60"/>
      <c r="AT346" s="45"/>
      <c r="AU346" s="45"/>
      <c r="AW346" s="45"/>
      <c r="AX346" s="46">
        <f t="shared" si="16"/>
        <v>0</v>
      </c>
      <c r="AY346" s="46">
        <f t="shared" si="17"/>
        <v>0</v>
      </c>
      <c r="AZ346" s="46">
        <f t="shared" si="18"/>
        <v>0</v>
      </c>
    </row>
    <row r="347" spans="3:52" ht="20.100000000000001" customHeight="1">
      <c r="C347" s="102"/>
      <c r="D347" s="3"/>
      <c r="E347" s="12"/>
      <c r="F347" s="3"/>
      <c r="G347" s="3"/>
      <c r="H347" s="3"/>
      <c r="J347" s="3"/>
      <c r="K347" s="3"/>
      <c r="L347" s="4"/>
      <c r="M347" s="3"/>
      <c r="O347" s="58"/>
      <c r="Q347" s="64"/>
      <c r="R347" s="45"/>
      <c r="S347" s="45"/>
      <c r="U347" s="64"/>
      <c r="V347" s="45"/>
      <c r="W347" s="64"/>
      <c r="X347" s="64"/>
      <c r="Y347" s="45"/>
      <c r="Z347" s="45"/>
      <c r="AA347" s="105"/>
      <c r="AB347" s="105"/>
      <c r="AC347" s="105"/>
      <c r="AD347" s="64"/>
      <c r="AG347" s="45"/>
      <c r="AH347" s="64"/>
      <c r="AI347" s="45"/>
      <c r="AJ347" s="105"/>
      <c r="AK347" s="105"/>
      <c r="AL347" s="60"/>
      <c r="AM347" s="60"/>
      <c r="AN347" s="60"/>
      <c r="AO347" s="60"/>
      <c r="AP347" s="60"/>
      <c r="AQ347" s="60"/>
      <c r="AR347" s="60"/>
      <c r="AS347" s="60"/>
      <c r="AT347" s="45"/>
      <c r="AU347" s="45"/>
      <c r="AW347" s="45"/>
      <c r="AX347" s="46">
        <f t="shared" si="16"/>
        <v>0</v>
      </c>
      <c r="AY347" s="46">
        <f t="shared" si="17"/>
        <v>0</v>
      </c>
      <c r="AZ347" s="46">
        <f t="shared" si="18"/>
        <v>0</v>
      </c>
    </row>
    <row r="348" spans="3:52" ht="20.100000000000001" customHeight="1">
      <c r="C348" s="102"/>
      <c r="D348" s="3"/>
      <c r="E348" s="12"/>
      <c r="F348" s="3"/>
      <c r="G348" s="3"/>
      <c r="H348" s="3"/>
      <c r="J348" s="3"/>
      <c r="K348" s="3"/>
      <c r="L348" s="4"/>
      <c r="M348" s="3"/>
      <c r="O348" s="58"/>
      <c r="Q348" s="64"/>
      <c r="R348" s="45"/>
      <c r="S348" s="45"/>
      <c r="U348" s="64"/>
      <c r="V348" s="45"/>
      <c r="W348" s="64"/>
      <c r="X348" s="64"/>
      <c r="Y348" s="45"/>
      <c r="Z348" s="45"/>
      <c r="AA348" s="105"/>
      <c r="AB348" s="105"/>
      <c r="AC348" s="105"/>
      <c r="AD348" s="64"/>
      <c r="AG348" s="45"/>
      <c r="AH348" s="64"/>
      <c r="AI348" s="45"/>
      <c r="AJ348" s="105"/>
      <c r="AK348" s="105"/>
      <c r="AL348" s="60"/>
      <c r="AM348" s="60"/>
      <c r="AN348" s="60"/>
      <c r="AO348" s="60"/>
      <c r="AP348" s="60"/>
      <c r="AQ348" s="60"/>
      <c r="AR348" s="60"/>
      <c r="AS348" s="60"/>
      <c r="AT348" s="45"/>
      <c r="AU348" s="45"/>
      <c r="AW348" s="45"/>
      <c r="AX348" s="46">
        <f t="shared" si="16"/>
        <v>0</v>
      </c>
      <c r="AY348" s="46">
        <f t="shared" si="17"/>
        <v>0</v>
      </c>
      <c r="AZ348" s="46">
        <f t="shared" si="18"/>
        <v>0</v>
      </c>
    </row>
    <row r="349" spans="3:52" ht="20.100000000000001" customHeight="1">
      <c r="C349" s="102"/>
      <c r="D349" s="3"/>
      <c r="E349" s="12"/>
      <c r="F349" s="3"/>
      <c r="G349" s="3"/>
      <c r="H349" s="3"/>
      <c r="J349" s="3"/>
      <c r="K349" s="3"/>
      <c r="L349" s="4"/>
      <c r="M349" s="3"/>
      <c r="O349" s="58"/>
      <c r="Q349" s="64"/>
      <c r="R349" s="45"/>
      <c r="S349" s="45"/>
      <c r="U349" s="64"/>
      <c r="V349" s="45"/>
      <c r="W349" s="64"/>
      <c r="X349" s="64"/>
      <c r="Y349" s="45"/>
      <c r="Z349" s="45"/>
      <c r="AA349" s="105"/>
      <c r="AB349" s="105"/>
      <c r="AC349" s="105"/>
      <c r="AD349" s="64"/>
      <c r="AH349" s="64"/>
      <c r="AI349" s="45"/>
      <c r="AJ349" s="105"/>
      <c r="AK349" s="105"/>
      <c r="AL349" s="60"/>
      <c r="AM349" s="60"/>
      <c r="AN349" s="60"/>
      <c r="AO349" s="60"/>
      <c r="AP349" s="60"/>
      <c r="AQ349" s="60"/>
      <c r="AR349" s="60"/>
      <c r="AS349" s="60"/>
      <c r="AT349" s="45"/>
      <c r="AU349" s="45"/>
      <c r="AW349" s="45"/>
      <c r="AX349" s="46">
        <f t="shared" si="16"/>
        <v>0</v>
      </c>
      <c r="AY349" s="46">
        <f t="shared" si="17"/>
        <v>0</v>
      </c>
      <c r="AZ349" s="46">
        <f t="shared" si="18"/>
        <v>0</v>
      </c>
    </row>
    <row r="350" spans="3:52" ht="20.100000000000001" customHeight="1">
      <c r="C350" s="102"/>
      <c r="D350" s="3"/>
      <c r="E350" s="12"/>
      <c r="F350" s="3"/>
      <c r="G350" s="3"/>
      <c r="H350" s="3"/>
      <c r="J350" s="3"/>
      <c r="K350" s="3"/>
      <c r="L350" s="4"/>
      <c r="M350" s="3"/>
      <c r="O350" s="58"/>
      <c r="Q350" s="64"/>
      <c r="R350" s="45"/>
      <c r="S350" s="45"/>
      <c r="U350" s="64"/>
      <c r="V350" s="45"/>
      <c r="W350" s="64"/>
      <c r="X350" s="64"/>
      <c r="Y350" s="45"/>
      <c r="Z350" s="45"/>
      <c r="AA350" s="105"/>
      <c r="AB350" s="105"/>
      <c r="AC350" s="105"/>
      <c r="AD350" s="64"/>
      <c r="AG350" s="45"/>
      <c r="AH350" s="64"/>
      <c r="AI350" s="45"/>
      <c r="AJ350" s="105"/>
      <c r="AK350" s="105"/>
      <c r="AL350" s="60"/>
      <c r="AM350" s="60"/>
      <c r="AN350" s="60"/>
      <c r="AO350" s="60"/>
      <c r="AP350" s="60"/>
      <c r="AQ350" s="60"/>
      <c r="AR350" s="60"/>
      <c r="AS350" s="60"/>
      <c r="AT350" s="45"/>
      <c r="AU350" s="45"/>
      <c r="AW350" s="45"/>
      <c r="AX350" s="46">
        <f t="shared" si="16"/>
        <v>0</v>
      </c>
      <c r="AY350" s="46">
        <f t="shared" si="17"/>
        <v>0</v>
      </c>
      <c r="AZ350" s="46">
        <f t="shared" si="18"/>
        <v>0</v>
      </c>
    </row>
    <row r="351" spans="3:52" ht="20.100000000000001" customHeight="1">
      <c r="C351" s="102"/>
      <c r="D351" s="3"/>
      <c r="E351" s="12"/>
      <c r="F351" s="3"/>
      <c r="G351" s="3"/>
      <c r="H351" s="3"/>
      <c r="J351" s="3"/>
      <c r="K351" s="3"/>
      <c r="L351" s="4"/>
      <c r="M351" s="3"/>
      <c r="O351" s="58"/>
      <c r="Q351" s="64"/>
      <c r="R351" s="45"/>
      <c r="S351" s="45"/>
      <c r="U351" s="64"/>
      <c r="V351" s="45"/>
      <c r="W351" s="64"/>
      <c r="X351" s="64"/>
      <c r="Y351" s="45"/>
      <c r="Z351" s="45"/>
      <c r="AA351" s="105"/>
      <c r="AB351" s="105"/>
      <c r="AC351" s="105"/>
      <c r="AD351" s="64"/>
      <c r="AG351" s="45"/>
      <c r="AH351" s="64"/>
      <c r="AI351" s="45"/>
      <c r="AJ351" s="105"/>
      <c r="AK351" s="105"/>
      <c r="AL351" s="60"/>
      <c r="AM351" s="60"/>
      <c r="AN351" s="60"/>
      <c r="AO351" s="60"/>
      <c r="AP351" s="60"/>
      <c r="AQ351" s="60"/>
      <c r="AR351" s="60"/>
      <c r="AS351" s="60"/>
      <c r="AT351" s="45"/>
      <c r="AU351" s="45"/>
      <c r="AW351" s="45"/>
      <c r="AX351" s="46">
        <f t="shared" si="16"/>
        <v>0</v>
      </c>
      <c r="AY351" s="46">
        <f t="shared" si="17"/>
        <v>0</v>
      </c>
      <c r="AZ351" s="46">
        <f t="shared" si="18"/>
        <v>0</v>
      </c>
    </row>
    <row r="352" spans="3:52" ht="20.100000000000001" customHeight="1">
      <c r="C352" s="102"/>
      <c r="D352" s="3"/>
      <c r="E352" s="67"/>
      <c r="F352" s="3"/>
      <c r="G352" s="3"/>
      <c r="H352" s="3"/>
      <c r="J352" s="3"/>
      <c r="K352" s="3"/>
      <c r="L352" s="4"/>
      <c r="M352" s="3"/>
      <c r="O352" s="58"/>
      <c r="Q352" s="64"/>
      <c r="R352" s="45"/>
      <c r="S352" s="45"/>
      <c r="U352" s="64"/>
      <c r="V352" s="45"/>
      <c r="W352" s="64"/>
      <c r="X352" s="64"/>
      <c r="Y352" s="45"/>
      <c r="Z352" s="45"/>
      <c r="AA352" s="105"/>
      <c r="AB352" s="105"/>
      <c r="AC352" s="105"/>
      <c r="AD352" s="64"/>
      <c r="AG352" s="45"/>
      <c r="AH352" s="64"/>
      <c r="AI352" s="45"/>
      <c r="AJ352" s="105"/>
      <c r="AK352" s="105"/>
      <c r="AL352" s="60"/>
      <c r="AM352" s="60"/>
      <c r="AN352" s="60"/>
      <c r="AO352" s="60"/>
      <c r="AP352" s="60"/>
      <c r="AQ352" s="60"/>
      <c r="AR352" s="60"/>
      <c r="AS352" s="60"/>
      <c r="AT352" s="45"/>
      <c r="AU352" s="45"/>
      <c r="AW352" s="45"/>
      <c r="AX352" s="46">
        <f t="shared" si="16"/>
        <v>0</v>
      </c>
      <c r="AY352" s="46">
        <f t="shared" si="17"/>
        <v>0</v>
      </c>
      <c r="AZ352" s="46">
        <f t="shared" si="18"/>
        <v>0</v>
      </c>
    </row>
    <row r="353" spans="3:52" ht="20.100000000000001" customHeight="1">
      <c r="C353" s="102"/>
      <c r="D353" s="3"/>
      <c r="E353" s="12"/>
      <c r="F353" s="3"/>
      <c r="G353" s="3"/>
      <c r="H353" s="3"/>
      <c r="J353" s="3"/>
      <c r="K353" s="3"/>
      <c r="L353" s="4"/>
      <c r="M353" s="3"/>
      <c r="O353" s="58"/>
      <c r="Q353" s="64"/>
      <c r="R353" s="45"/>
      <c r="S353" s="45"/>
      <c r="U353" s="64"/>
      <c r="V353" s="45"/>
      <c r="W353" s="64"/>
      <c r="X353" s="64"/>
      <c r="Y353" s="45"/>
      <c r="Z353" s="45"/>
      <c r="AA353" s="105"/>
      <c r="AB353" s="105"/>
      <c r="AC353" s="105"/>
      <c r="AD353" s="64"/>
      <c r="AH353" s="64"/>
      <c r="AI353" s="45"/>
      <c r="AJ353" s="105"/>
      <c r="AK353" s="105"/>
      <c r="AL353" s="60"/>
      <c r="AM353" s="60"/>
      <c r="AN353" s="60"/>
      <c r="AO353" s="60"/>
      <c r="AP353" s="60"/>
      <c r="AQ353" s="60"/>
      <c r="AR353" s="60"/>
      <c r="AS353" s="60"/>
      <c r="AT353" s="45"/>
      <c r="AU353" s="45"/>
      <c r="AW353" s="45"/>
      <c r="AX353" s="46">
        <f t="shared" si="16"/>
        <v>0</v>
      </c>
      <c r="AY353" s="46">
        <f t="shared" si="17"/>
        <v>0</v>
      </c>
      <c r="AZ353" s="46">
        <f t="shared" si="18"/>
        <v>0</v>
      </c>
    </row>
    <row r="354" spans="3:52" ht="20.100000000000001" customHeight="1">
      <c r="C354" s="102"/>
      <c r="D354" s="3"/>
      <c r="E354" s="12"/>
      <c r="F354" s="3"/>
      <c r="G354" s="3"/>
      <c r="H354" s="3"/>
      <c r="J354" s="3"/>
      <c r="K354" s="3"/>
      <c r="L354" s="4"/>
      <c r="M354" s="3"/>
      <c r="O354" s="58"/>
      <c r="Q354" s="64"/>
      <c r="R354" s="45"/>
      <c r="S354" s="45"/>
      <c r="U354" s="64"/>
      <c r="V354" s="45"/>
      <c r="W354" s="64"/>
      <c r="X354" s="64"/>
      <c r="Y354" s="45"/>
      <c r="Z354" s="45"/>
      <c r="AA354" s="105"/>
      <c r="AB354" s="105"/>
      <c r="AC354" s="105"/>
      <c r="AD354" s="64"/>
      <c r="AG354" s="45"/>
      <c r="AH354" s="64"/>
      <c r="AI354" s="45"/>
      <c r="AJ354" s="105"/>
      <c r="AK354" s="105"/>
      <c r="AL354" s="60"/>
      <c r="AM354" s="60"/>
      <c r="AN354" s="60"/>
      <c r="AO354" s="60"/>
      <c r="AP354" s="60"/>
      <c r="AQ354" s="60"/>
      <c r="AR354" s="60"/>
      <c r="AS354" s="60"/>
      <c r="AT354" s="45"/>
      <c r="AU354" s="45"/>
      <c r="AW354" s="45"/>
      <c r="AX354" s="46">
        <f t="shared" si="16"/>
        <v>0</v>
      </c>
      <c r="AY354" s="46">
        <f t="shared" si="17"/>
        <v>0</v>
      </c>
      <c r="AZ354" s="46">
        <f t="shared" si="18"/>
        <v>0</v>
      </c>
    </row>
    <row r="355" spans="3:52" ht="20.100000000000001" customHeight="1">
      <c r="C355" s="102"/>
      <c r="D355" s="3"/>
      <c r="E355" s="12"/>
      <c r="F355" s="3"/>
      <c r="G355" s="3"/>
      <c r="H355" s="3"/>
      <c r="J355" s="3"/>
      <c r="K355" s="3"/>
      <c r="L355" s="4"/>
      <c r="M355" s="3"/>
      <c r="O355" s="58"/>
      <c r="Q355" s="64"/>
      <c r="R355" s="45"/>
      <c r="S355" s="45"/>
      <c r="U355" s="64"/>
      <c r="V355" s="45"/>
      <c r="W355" s="64"/>
      <c r="X355" s="64"/>
      <c r="Y355" s="45"/>
      <c r="Z355" s="45"/>
      <c r="AA355" s="105"/>
      <c r="AB355" s="105"/>
      <c r="AC355" s="105"/>
      <c r="AD355" s="64"/>
      <c r="AG355" s="45"/>
      <c r="AH355" s="64"/>
      <c r="AI355" s="45"/>
      <c r="AJ355" s="105"/>
      <c r="AK355" s="105"/>
      <c r="AL355" s="60"/>
      <c r="AM355" s="60"/>
      <c r="AN355" s="60"/>
      <c r="AO355" s="60"/>
      <c r="AP355" s="60"/>
      <c r="AQ355" s="60"/>
      <c r="AR355" s="60"/>
      <c r="AS355" s="60"/>
      <c r="AT355" s="45"/>
      <c r="AU355" s="45"/>
      <c r="AW355" s="45"/>
      <c r="AX355" s="46">
        <f t="shared" si="16"/>
        <v>0</v>
      </c>
      <c r="AY355" s="46">
        <f t="shared" si="17"/>
        <v>0</v>
      </c>
      <c r="AZ355" s="46">
        <f t="shared" si="18"/>
        <v>0</v>
      </c>
    </row>
    <row r="356" spans="3:52" ht="20.100000000000001" customHeight="1">
      <c r="C356" s="102"/>
      <c r="D356" s="3"/>
      <c r="E356" s="12"/>
      <c r="F356" s="3"/>
      <c r="G356" s="3"/>
      <c r="H356" s="3"/>
      <c r="J356" s="3"/>
      <c r="K356" s="3"/>
      <c r="L356" s="4"/>
      <c r="M356" s="3"/>
      <c r="O356" s="58"/>
      <c r="Q356" s="64"/>
      <c r="R356" s="45"/>
      <c r="S356" s="45"/>
      <c r="U356" s="64"/>
      <c r="V356" s="45"/>
      <c r="W356" s="64"/>
      <c r="X356" s="64"/>
      <c r="Y356" s="45"/>
      <c r="Z356" s="45"/>
      <c r="AA356" s="105"/>
      <c r="AB356" s="105"/>
      <c r="AC356" s="105"/>
      <c r="AD356" s="64"/>
      <c r="AH356" s="64"/>
      <c r="AI356" s="45"/>
      <c r="AJ356" s="105"/>
      <c r="AK356" s="105"/>
      <c r="AL356" s="60"/>
      <c r="AM356" s="60"/>
      <c r="AN356" s="60"/>
      <c r="AO356" s="60"/>
      <c r="AP356" s="60"/>
      <c r="AQ356" s="60"/>
      <c r="AR356" s="60"/>
      <c r="AS356" s="60"/>
      <c r="AT356" s="45"/>
      <c r="AU356" s="45"/>
      <c r="AW356" s="45"/>
      <c r="AX356" s="46">
        <f t="shared" si="16"/>
        <v>0</v>
      </c>
      <c r="AY356" s="46">
        <f t="shared" si="17"/>
        <v>0</v>
      </c>
      <c r="AZ356" s="46">
        <f t="shared" si="18"/>
        <v>0</v>
      </c>
    </row>
    <row r="357" spans="3:52" ht="20.100000000000001" customHeight="1">
      <c r="C357" s="102"/>
      <c r="D357" s="3"/>
      <c r="E357" s="12"/>
      <c r="F357" s="3"/>
      <c r="G357" s="3"/>
      <c r="H357" s="3"/>
      <c r="J357" s="3"/>
      <c r="K357" s="3"/>
      <c r="L357" s="4"/>
      <c r="M357" s="3"/>
      <c r="O357" s="58"/>
      <c r="Q357" s="64"/>
      <c r="R357" s="45"/>
      <c r="S357" s="45"/>
      <c r="U357" s="64"/>
      <c r="V357" s="45"/>
      <c r="W357" s="64"/>
      <c r="X357" s="64"/>
      <c r="Y357" s="45"/>
      <c r="Z357" s="45"/>
      <c r="AA357" s="105"/>
      <c r="AB357" s="105"/>
      <c r="AC357" s="105"/>
      <c r="AD357" s="64"/>
      <c r="AG357" s="45"/>
      <c r="AH357" s="64"/>
      <c r="AI357" s="45"/>
      <c r="AJ357" s="105"/>
      <c r="AK357" s="105"/>
      <c r="AL357" s="60"/>
      <c r="AM357" s="60"/>
      <c r="AN357" s="60"/>
      <c r="AO357" s="60"/>
      <c r="AP357" s="60"/>
      <c r="AQ357" s="60"/>
      <c r="AR357" s="60"/>
      <c r="AS357" s="60"/>
      <c r="AT357" s="45"/>
      <c r="AU357" s="45"/>
      <c r="AW357" s="45"/>
      <c r="AX357" s="46">
        <f t="shared" si="16"/>
        <v>0</v>
      </c>
      <c r="AY357" s="46">
        <f t="shared" si="17"/>
        <v>0</v>
      </c>
      <c r="AZ357" s="46">
        <f t="shared" si="18"/>
        <v>0</v>
      </c>
    </row>
    <row r="358" spans="3:52" ht="20.100000000000001" customHeight="1">
      <c r="C358" s="102"/>
      <c r="D358" s="3"/>
      <c r="E358" s="12"/>
      <c r="F358" s="3"/>
      <c r="G358" s="3"/>
      <c r="H358" s="3"/>
      <c r="J358" s="3"/>
      <c r="K358" s="3"/>
      <c r="L358" s="4"/>
      <c r="M358" s="3"/>
      <c r="O358" s="58"/>
      <c r="Q358" s="64"/>
      <c r="R358" s="45"/>
      <c r="S358" s="45"/>
      <c r="U358" s="64"/>
      <c r="V358" s="45"/>
      <c r="W358" s="64"/>
      <c r="X358" s="64"/>
      <c r="Y358" s="45"/>
      <c r="Z358" s="45"/>
      <c r="AA358" s="105"/>
      <c r="AB358" s="105"/>
      <c r="AC358" s="105"/>
      <c r="AD358" s="64"/>
      <c r="AG358" s="45"/>
      <c r="AH358" s="64"/>
      <c r="AI358" s="45"/>
      <c r="AJ358" s="105"/>
      <c r="AK358" s="105"/>
      <c r="AL358" s="60"/>
      <c r="AM358" s="60"/>
      <c r="AN358" s="60"/>
      <c r="AO358" s="60"/>
      <c r="AP358" s="60"/>
      <c r="AQ358" s="60"/>
      <c r="AR358" s="60"/>
      <c r="AS358" s="60"/>
      <c r="AT358" s="45"/>
      <c r="AU358" s="45"/>
      <c r="AW358" s="45"/>
      <c r="AX358" s="46">
        <f t="shared" si="16"/>
        <v>0</v>
      </c>
      <c r="AY358" s="46">
        <f t="shared" si="17"/>
        <v>0</v>
      </c>
      <c r="AZ358" s="46">
        <f t="shared" si="18"/>
        <v>0</v>
      </c>
    </row>
    <row r="359" spans="3:52" ht="20.100000000000001" customHeight="1">
      <c r="C359" s="102"/>
      <c r="D359" s="3"/>
      <c r="E359" s="12"/>
      <c r="F359" s="3"/>
      <c r="G359" s="3"/>
      <c r="H359" s="3"/>
      <c r="J359" s="3"/>
      <c r="K359" s="3"/>
      <c r="L359" s="4"/>
      <c r="M359" s="3"/>
      <c r="O359" s="58"/>
      <c r="Q359" s="64"/>
      <c r="R359" s="45"/>
      <c r="S359" s="45"/>
      <c r="U359" s="64"/>
      <c r="V359" s="45"/>
      <c r="W359" s="64"/>
      <c r="X359" s="64"/>
      <c r="Y359" s="45"/>
      <c r="Z359" s="45"/>
      <c r="AA359" s="105"/>
      <c r="AB359" s="105"/>
      <c r="AC359" s="105"/>
      <c r="AD359" s="64"/>
      <c r="AG359" s="45"/>
      <c r="AH359" s="64"/>
      <c r="AI359" s="45"/>
      <c r="AJ359" s="105"/>
      <c r="AK359" s="105"/>
      <c r="AL359" s="60"/>
      <c r="AM359" s="60"/>
      <c r="AN359" s="60"/>
      <c r="AO359" s="60"/>
      <c r="AP359" s="60"/>
      <c r="AQ359" s="60"/>
      <c r="AR359" s="60"/>
      <c r="AS359" s="60"/>
      <c r="AT359" s="45"/>
      <c r="AU359" s="45"/>
      <c r="AW359" s="45"/>
      <c r="AX359" s="46">
        <f t="shared" si="16"/>
        <v>0</v>
      </c>
      <c r="AY359" s="46">
        <f t="shared" si="17"/>
        <v>0</v>
      </c>
      <c r="AZ359" s="46">
        <f t="shared" si="18"/>
        <v>0</v>
      </c>
    </row>
    <row r="360" spans="3:52" ht="20.100000000000001" customHeight="1">
      <c r="C360" s="102"/>
      <c r="D360" s="3"/>
      <c r="E360" s="67"/>
      <c r="F360" s="3"/>
      <c r="G360" s="3"/>
      <c r="H360" s="3"/>
      <c r="J360" s="3"/>
      <c r="K360" s="3"/>
      <c r="L360" s="4"/>
      <c r="M360" s="3"/>
      <c r="O360" s="58"/>
      <c r="Q360" s="64"/>
      <c r="R360" s="45"/>
      <c r="S360" s="45"/>
      <c r="U360" s="64"/>
      <c r="V360" s="45"/>
      <c r="W360" s="64"/>
      <c r="X360" s="64"/>
      <c r="Y360" s="45"/>
      <c r="Z360" s="45"/>
      <c r="AA360" s="105"/>
      <c r="AB360" s="105"/>
      <c r="AC360" s="105"/>
      <c r="AD360" s="64"/>
      <c r="AH360" s="64"/>
      <c r="AI360" s="45"/>
      <c r="AJ360" s="105"/>
      <c r="AK360" s="105"/>
      <c r="AL360" s="60"/>
      <c r="AM360" s="60"/>
      <c r="AN360" s="60"/>
      <c r="AO360" s="60"/>
      <c r="AP360" s="60"/>
      <c r="AQ360" s="60"/>
      <c r="AR360" s="60"/>
      <c r="AS360" s="60"/>
      <c r="AT360" s="45"/>
      <c r="AU360" s="45"/>
      <c r="AW360" s="45"/>
      <c r="AX360" s="46">
        <f t="shared" si="16"/>
        <v>0</v>
      </c>
      <c r="AY360" s="46">
        <f t="shared" si="17"/>
        <v>0</v>
      </c>
      <c r="AZ360" s="46">
        <f t="shared" si="18"/>
        <v>0</v>
      </c>
    </row>
    <row r="361" spans="3:52" ht="20.100000000000001" customHeight="1">
      <c r="C361" s="102"/>
      <c r="D361" s="3"/>
      <c r="E361" s="12"/>
      <c r="F361" s="3"/>
      <c r="G361" s="3"/>
      <c r="H361" s="3"/>
      <c r="J361" s="3"/>
      <c r="K361" s="3"/>
      <c r="L361" s="4"/>
      <c r="M361" s="3"/>
      <c r="O361" s="58"/>
      <c r="Q361" s="64"/>
      <c r="R361" s="45"/>
      <c r="S361" s="45"/>
      <c r="U361" s="64"/>
      <c r="V361" s="45"/>
      <c r="W361" s="64"/>
      <c r="X361" s="64"/>
      <c r="Y361" s="45"/>
      <c r="Z361" s="45"/>
      <c r="AA361" s="105"/>
      <c r="AB361" s="105"/>
      <c r="AC361" s="105"/>
      <c r="AD361" s="64"/>
      <c r="AG361" s="45"/>
      <c r="AH361" s="64"/>
      <c r="AI361" s="45"/>
      <c r="AJ361" s="105"/>
      <c r="AK361" s="105"/>
      <c r="AL361" s="60"/>
      <c r="AM361" s="60"/>
      <c r="AN361" s="60"/>
      <c r="AO361" s="60"/>
      <c r="AP361" s="60"/>
      <c r="AQ361" s="60"/>
      <c r="AR361" s="60"/>
      <c r="AS361" s="60"/>
      <c r="AT361" s="45"/>
      <c r="AU361" s="45"/>
      <c r="AW361" s="45"/>
      <c r="AX361" s="46">
        <f t="shared" si="16"/>
        <v>0</v>
      </c>
      <c r="AY361" s="46">
        <f t="shared" si="17"/>
        <v>0</v>
      </c>
      <c r="AZ361" s="46">
        <f t="shared" si="18"/>
        <v>0</v>
      </c>
    </row>
    <row r="362" spans="3:52" ht="20.100000000000001" customHeight="1">
      <c r="C362" s="102"/>
      <c r="D362" s="3"/>
      <c r="E362" s="12"/>
      <c r="F362" s="3"/>
      <c r="G362" s="3"/>
      <c r="H362" s="3"/>
      <c r="J362" s="3"/>
      <c r="K362" s="3"/>
      <c r="L362" s="4"/>
      <c r="M362" s="3"/>
      <c r="O362" s="58"/>
      <c r="Q362" s="64"/>
      <c r="R362" s="45"/>
      <c r="S362" s="45"/>
      <c r="U362" s="64"/>
      <c r="V362" s="45"/>
      <c r="W362" s="64"/>
      <c r="X362" s="64"/>
      <c r="Y362" s="45"/>
      <c r="Z362" s="45"/>
      <c r="AA362" s="105"/>
      <c r="AB362" s="105"/>
      <c r="AC362" s="105"/>
      <c r="AD362" s="64"/>
      <c r="AG362" s="45"/>
      <c r="AH362" s="64"/>
      <c r="AI362" s="45"/>
      <c r="AJ362" s="105"/>
      <c r="AK362" s="105"/>
      <c r="AL362" s="60"/>
      <c r="AM362" s="60"/>
      <c r="AN362" s="60"/>
      <c r="AO362" s="60"/>
      <c r="AP362" s="60"/>
      <c r="AQ362" s="60"/>
      <c r="AR362" s="60"/>
      <c r="AS362" s="60"/>
      <c r="AT362" s="45"/>
      <c r="AU362" s="45"/>
      <c r="AW362" s="45"/>
      <c r="AX362" s="46">
        <f t="shared" si="16"/>
        <v>0</v>
      </c>
      <c r="AY362" s="46">
        <f t="shared" si="17"/>
        <v>0</v>
      </c>
      <c r="AZ362" s="46">
        <f t="shared" si="18"/>
        <v>0</v>
      </c>
    </row>
    <row r="363" spans="3:52" ht="20.100000000000001" customHeight="1">
      <c r="C363" s="102"/>
      <c r="D363" s="3"/>
      <c r="E363" s="12"/>
      <c r="F363" s="3"/>
      <c r="G363" s="3"/>
      <c r="H363" s="3"/>
      <c r="J363" s="3"/>
      <c r="K363" s="3"/>
      <c r="L363" s="4"/>
      <c r="M363" s="3"/>
      <c r="O363" s="58"/>
      <c r="Q363" s="64"/>
      <c r="R363" s="45"/>
      <c r="S363" s="45"/>
      <c r="U363" s="64"/>
      <c r="V363" s="45"/>
      <c r="W363" s="64"/>
      <c r="X363" s="64"/>
      <c r="Y363" s="45"/>
      <c r="Z363" s="45"/>
      <c r="AA363" s="105"/>
      <c r="AB363" s="105"/>
      <c r="AC363" s="105"/>
      <c r="AD363" s="64"/>
      <c r="AG363" s="45"/>
      <c r="AH363" s="64"/>
      <c r="AI363" s="45"/>
      <c r="AJ363" s="105"/>
      <c r="AK363" s="105"/>
      <c r="AL363" s="60"/>
      <c r="AM363" s="60"/>
      <c r="AN363" s="60"/>
      <c r="AO363" s="60"/>
      <c r="AP363" s="60"/>
      <c r="AQ363" s="60"/>
      <c r="AR363" s="60"/>
      <c r="AS363" s="60"/>
      <c r="AT363" s="45"/>
      <c r="AU363" s="45"/>
      <c r="AW363" s="45"/>
      <c r="AX363" s="46">
        <f t="shared" si="16"/>
        <v>0</v>
      </c>
      <c r="AY363" s="46">
        <f t="shared" si="17"/>
        <v>0</v>
      </c>
      <c r="AZ363" s="46">
        <f t="shared" si="18"/>
        <v>0</v>
      </c>
    </row>
    <row r="364" spans="3:52" ht="20.100000000000001" customHeight="1">
      <c r="C364" s="102"/>
      <c r="D364" s="3"/>
      <c r="E364" s="12"/>
      <c r="F364" s="3"/>
      <c r="G364" s="3"/>
      <c r="H364" s="3"/>
      <c r="J364" s="3"/>
      <c r="K364" s="3"/>
      <c r="L364" s="4"/>
      <c r="M364" s="3"/>
      <c r="O364" s="58"/>
      <c r="Q364" s="64"/>
      <c r="R364" s="45"/>
      <c r="S364" s="45"/>
      <c r="U364" s="64"/>
      <c r="V364" s="45"/>
      <c r="W364" s="64"/>
      <c r="X364" s="64"/>
      <c r="Y364" s="45"/>
      <c r="Z364" s="45"/>
      <c r="AA364" s="105"/>
      <c r="AB364" s="105"/>
      <c r="AC364" s="105"/>
      <c r="AD364" s="64"/>
      <c r="AG364" s="45"/>
      <c r="AH364" s="64"/>
      <c r="AI364" s="45"/>
      <c r="AJ364" s="105"/>
      <c r="AK364" s="105"/>
      <c r="AL364" s="60"/>
      <c r="AM364" s="60"/>
      <c r="AN364" s="60"/>
      <c r="AO364" s="60"/>
      <c r="AP364" s="60"/>
      <c r="AQ364" s="60"/>
      <c r="AR364" s="60"/>
      <c r="AS364" s="60"/>
      <c r="AT364" s="45"/>
      <c r="AU364" s="45"/>
      <c r="AW364" s="45"/>
      <c r="AX364" s="46">
        <f t="shared" si="16"/>
        <v>0</v>
      </c>
      <c r="AY364" s="46">
        <f t="shared" si="17"/>
        <v>0</v>
      </c>
      <c r="AZ364" s="46">
        <f t="shared" si="18"/>
        <v>0</v>
      </c>
    </row>
    <row r="365" spans="3:52" ht="20.100000000000001" customHeight="1">
      <c r="C365" s="102"/>
      <c r="D365" s="3"/>
      <c r="E365" s="67"/>
      <c r="F365" s="3"/>
      <c r="G365" s="3"/>
      <c r="H365" s="3"/>
      <c r="J365" s="3"/>
      <c r="K365" s="3"/>
      <c r="L365" s="4"/>
      <c r="M365" s="3"/>
      <c r="O365" s="58"/>
      <c r="Q365" s="64"/>
      <c r="R365" s="45"/>
      <c r="S365" s="45"/>
      <c r="U365" s="64"/>
      <c r="V365" s="45"/>
      <c r="W365" s="64"/>
      <c r="X365" s="64"/>
      <c r="Y365" s="45"/>
      <c r="Z365" s="45"/>
      <c r="AA365" s="105"/>
      <c r="AB365" s="105"/>
      <c r="AC365" s="105"/>
      <c r="AD365" s="64"/>
      <c r="AH365" s="64"/>
      <c r="AI365" s="45"/>
      <c r="AJ365" s="105"/>
      <c r="AK365" s="105"/>
      <c r="AL365" s="60"/>
      <c r="AM365" s="60"/>
      <c r="AN365" s="60"/>
      <c r="AO365" s="60"/>
      <c r="AP365" s="60"/>
      <c r="AQ365" s="60"/>
      <c r="AR365" s="60"/>
      <c r="AS365" s="60"/>
      <c r="AT365" s="45"/>
      <c r="AU365" s="45"/>
      <c r="AW365" s="45"/>
      <c r="AX365" s="46">
        <f t="shared" si="16"/>
        <v>0</v>
      </c>
      <c r="AY365" s="46">
        <f t="shared" si="17"/>
        <v>0</v>
      </c>
      <c r="AZ365" s="46">
        <f t="shared" si="18"/>
        <v>0</v>
      </c>
    </row>
    <row r="366" spans="3:52" ht="20.100000000000001" customHeight="1">
      <c r="C366" s="102"/>
      <c r="D366" s="3"/>
      <c r="E366" s="12"/>
      <c r="F366" s="3"/>
      <c r="G366" s="3"/>
      <c r="H366" s="3"/>
      <c r="J366" s="3"/>
      <c r="K366" s="3"/>
      <c r="L366" s="4"/>
      <c r="M366" s="3"/>
      <c r="O366" s="58"/>
      <c r="Q366" s="64"/>
      <c r="R366" s="45"/>
      <c r="S366" s="45"/>
      <c r="U366" s="64"/>
      <c r="V366" s="45"/>
      <c r="W366" s="64"/>
      <c r="X366" s="64"/>
      <c r="Y366" s="45"/>
      <c r="Z366" s="45"/>
      <c r="AA366" s="105"/>
      <c r="AB366" s="105"/>
      <c r="AC366" s="105"/>
      <c r="AD366" s="64"/>
      <c r="AG366" s="45"/>
      <c r="AH366" s="64"/>
      <c r="AI366" s="45"/>
      <c r="AJ366" s="105"/>
      <c r="AK366" s="105"/>
      <c r="AL366" s="60"/>
      <c r="AM366" s="60"/>
      <c r="AN366" s="60"/>
      <c r="AO366" s="60"/>
      <c r="AP366" s="60"/>
      <c r="AQ366" s="60"/>
      <c r="AR366" s="60"/>
      <c r="AS366" s="60"/>
      <c r="AT366" s="45"/>
      <c r="AU366" s="45"/>
      <c r="AW366" s="45"/>
      <c r="AX366" s="46">
        <f t="shared" si="16"/>
        <v>0</v>
      </c>
      <c r="AY366" s="46">
        <f t="shared" si="17"/>
        <v>0</v>
      </c>
      <c r="AZ366" s="46">
        <f t="shared" si="18"/>
        <v>0</v>
      </c>
    </row>
    <row r="367" spans="3:52" ht="20.100000000000001" customHeight="1">
      <c r="C367" s="102"/>
      <c r="D367" s="3"/>
      <c r="E367" s="12"/>
      <c r="F367" s="3"/>
      <c r="G367" s="3"/>
      <c r="H367" s="3"/>
      <c r="J367" s="3"/>
      <c r="K367" s="3"/>
      <c r="L367" s="4"/>
      <c r="M367" s="3"/>
      <c r="O367" s="58"/>
      <c r="Q367" s="64"/>
      <c r="R367" s="45"/>
      <c r="S367" s="45"/>
      <c r="U367" s="64"/>
      <c r="V367" s="45"/>
      <c r="W367" s="64"/>
      <c r="X367" s="64"/>
      <c r="Y367" s="45"/>
      <c r="Z367" s="45"/>
      <c r="AA367" s="105"/>
      <c r="AB367" s="105"/>
      <c r="AC367" s="105"/>
      <c r="AD367" s="64"/>
      <c r="AH367" s="64"/>
      <c r="AI367" s="45"/>
      <c r="AJ367" s="105"/>
      <c r="AK367" s="105"/>
      <c r="AL367" s="60"/>
      <c r="AM367" s="60"/>
      <c r="AN367" s="60"/>
      <c r="AO367" s="60"/>
      <c r="AP367" s="60"/>
      <c r="AQ367" s="60"/>
      <c r="AR367" s="60"/>
      <c r="AS367" s="60"/>
      <c r="AT367" s="45"/>
      <c r="AU367" s="45"/>
      <c r="AW367" s="45"/>
      <c r="AX367" s="46">
        <f t="shared" si="16"/>
        <v>0</v>
      </c>
      <c r="AY367" s="46">
        <f t="shared" si="17"/>
        <v>0</v>
      </c>
      <c r="AZ367" s="46">
        <f t="shared" si="18"/>
        <v>0</v>
      </c>
    </row>
    <row r="368" spans="3:52" ht="20.100000000000001" customHeight="1">
      <c r="C368" s="102"/>
      <c r="D368" s="3"/>
      <c r="E368" s="12"/>
      <c r="F368" s="3"/>
      <c r="G368" s="3"/>
      <c r="H368" s="3"/>
      <c r="J368" s="3"/>
      <c r="K368" s="3"/>
      <c r="L368" s="4"/>
      <c r="M368" s="3"/>
      <c r="O368" s="58"/>
      <c r="Q368" s="64"/>
      <c r="R368" s="45"/>
      <c r="S368" s="45"/>
      <c r="U368" s="64"/>
      <c r="V368" s="45"/>
      <c r="W368" s="64"/>
      <c r="X368" s="64"/>
      <c r="Y368" s="45"/>
      <c r="Z368" s="45"/>
      <c r="AA368" s="105"/>
      <c r="AB368" s="105"/>
      <c r="AC368" s="105"/>
      <c r="AD368" s="64"/>
      <c r="AG368" s="45"/>
      <c r="AH368" s="64"/>
      <c r="AI368" s="45"/>
      <c r="AJ368" s="105"/>
      <c r="AK368" s="105"/>
      <c r="AL368" s="60"/>
      <c r="AM368" s="60"/>
      <c r="AN368" s="60"/>
      <c r="AO368" s="60"/>
      <c r="AP368" s="60"/>
      <c r="AQ368" s="60"/>
      <c r="AR368" s="60"/>
      <c r="AS368" s="60"/>
      <c r="AT368" s="45"/>
      <c r="AU368" s="45"/>
      <c r="AW368" s="45"/>
      <c r="AX368" s="46">
        <f t="shared" si="16"/>
        <v>0</v>
      </c>
      <c r="AY368" s="46">
        <f t="shared" si="17"/>
        <v>0</v>
      </c>
      <c r="AZ368" s="46">
        <f t="shared" si="18"/>
        <v>0</v>
      </c>
    </row>
    <row r="369" spans="2:52" ht="20.100000000000001" customHeight="1">
      <c r="C369" s="102"/>
      <c r="D369" s="3"/>
      <c r="E369" s="12"/>
      <c r="F369" s="3"/>
      <c r="G369" s="3"/>
      <c r="H369" s="3"/>
      <c r="J369" s="3"/>
      <c r="K369" s="3"/>
      <c r="L369" s="4"/>
      <c r="M369" s="3"/>
      <c r="O369" s="58"/>
      <c r="Q369" s="64"/>
      <c r="R369" s="45"/>
      <c r="S369" s="45"/>
      <c r="U369" s="64"/>
      <c r="V369" s="45"/>
      <c r="W369" s="64"/>
      <c r="X369" s="64"/>
      <c r="Y369" s="45"/>
      <c r="Z369" s="45"/>
      <c r="AA369" s="105"/>
      <c r="AB369" s="105"/>
      <c r="AC369" s="105"/>
      <c r="AD369" s="64"/>
      <c r="AG369" s="45"/>
      <c r="AH369" s="64"/>
      <c r="AI369" s="45"/>
      <c r="AJ369" s="105"/>
      <c r="AK369" s="105"/>
      <c r="AL369" s="60"/>
      <c r="AM369" s="60"/>
      <c r="AN369" s="60"/>
      <c r="AO369" s="60"/>
      <c r="AP369" s="60"/>
      <c r="AQ369" s="60"/>
      <c r="AR369" s="60"/>
      <c r="AS369" s="60"/>
      <c r="AT369" s="45"/>
      <c r="AU369" s="45"/>
      <c r="AW369" s="45"/>
      <c r="AX369" s="46">
        <f t="shared" si="16"/>
        <v>0</v>
      </c>
      <c r="AY369" s="46">
        <f t="shared" si="17"/>
        <v>0</v>
      </c>
      <c r="AZ369" s="46">
        <f t="shared" si="18"/>
        <v>0</v>
      </c>
    </row>
    <row r="370" spans="2:52" ht="20.100000000000001" customHeight="1">
      <c r="C370" s="102"/>
      <c r="D370" s="3"/>
      <c r="E370" s="12"/>
      <c r="F370" s="3"/>
      <c r="G370" s="3"/>
      <c r="H370" s="3"/>
      <c r="J370" s="3"/>
      <c r="K370" s="3"/>
      <c r="L370" s="4"/>
      <c r="M370" s="3"/>
      <c r="O370" s="58"/>
      <c r="Q370" s="64"/>
      <c r="R370" s="45"/>
      <c r="S370" s="45"/>
      <c r="U370" s="64"/>
      <c r="V370" s="45"/>
      <c r="W370" s="64"/>
      <c r="X370" s="64"/>
      <c r="Y370" s="45"/>
      <c r="Z370" s="45"/>
      <c r="AA370" s="105"/>
      <c r="AB370" s="105"/>
      <c r="AC370" s="105"/>
      <c r="AD370" s="64"/>
      <c r="AG370" s="45"/>
      <c r="AH370" s="64"/>
      <c r="AI370" s="45"/>
      <c r="AJ370" s="105"/>
      <c r="AK370" s="105"/>
      <c r="AL370" s="60"/>
      <c r="AM370" s="60"/>
      <c r="AN370" s="60"/>
      <c r="AO370" s="60"/>
      <c r="AP370" s="60"/>
      <c r="AQ370" s="60"/>
      <c r="AR370" s="60"/>
      <c r="AS370" s="60"/>
      <c r="AT370" s="45"/>
      <c r="AU370" s="45"/>
      <c r="AW370" s="45"/>
      <c r="AX370" s="46">
        <f t="shared" si="16"/>
        <v>0</v>
      </c>
      <c r="AY370" s="46">
        <f t="shared" si="17"/>
        <v>0</v>
      </c>
      <c r="AZ370" s="46">
        <f t="shared" si="18"/>
        <v>0</v>
      </c>
    </row>
    <row r="371" spans="2:52" ht="20.100000000000001" customHeight="1">
      <c r="C371" s="102"/>
      <c r="D371" s="3"/>
      <c r="E371" s="12"/>
      <c r="F371" s="3"/>
      <c r="G371" s="3"/>
      <c r="H371" s="3"/>
      <c r="J371" s="3"/>
      <c r="K371" s="3"/>
      <c r="L371" s="4"/>
      <c r="M371" s="3"/>
      <c r="O371" s="58"/>
      <c r="Q371" s="64"/>
      <c r="R371" s="45"/>
      <c r="S371" s="45"/>
      <c r="U371" s="64"/>
      <c r="V371" s="45"/>
      <c r="W371" s="64"/>
      <c r="X371" s="64"/>
      <c r="Y371" s="45"/>
      <c r="Z371" s="45"/>
      <c r="AA371" s="105"/>
      <c r="AB371" s="105"/>
      <c r="AC371" s="105"/>
      <c r="AD371" s="64"/>
      <c r="AG371" s="45"/>
      <c r="AH371" s="64"/>
      <c r="AI371" s="45"/>
      <c r="AJ371" s="105"/>
      <c r="AK371" s="105"/>
      <c r="AL371" s="60"/>
      <c r="AM371" s="60"/>
      <c r="AN371" s="60"/>
      <c r="AO371" s="60"/>
      <c r="AP371" s="60"/>
      <c r="AQ371" s="60"/>
      <c r="AR371" s="60"/>
      <c r="AS371" s="60"/>
      <c r="AT371" s="45"/>
      <c r="AU371" s="45"/>
      <c r="AW371" s="45"/>
      <c r="AX371" s="46">
        <f t="shared" si="16"/>
        <v>0</v>
      </c>
      <c r="AY371" s="46">
        <f t="shared" si="17"/>
        <v>0</v>
      </c>
      <c r="AZ371" s="46">
        <f t="shared" si="18"/>
        <v>0</v>
      </c>
    </row>
    <row r="372" spans="2:52" ht="20.100000000000001" customHeight="1">
      <c r="C372" s="102"/>
      <c r="D372" s="3"/>
      <c r="E372" s="12"/>
      <c r="F372" s="3"/>
      <c r="G372" s="3"/>
      <c r="H372" s="3"/>
      <c r="J372" s="3"/>
      <c r="K372" s="3"/>
      <c r="L372" s="4"/>
      <c r="M372" s="3"/>
      <c r="O372" s="58"/>
      <c r="Q372" s="64"/>
      <c r="R372" s="45"/>
      <c r="S372" s="45"/>
      <c r="U372" s="64"/>
      <c r="V372" s="45"/>
      <c r="W372" s="64"/>
      <c r="X372" s="64"/>
      <c r="Y372" s="45"/>
      <c r="Z372" s="45"/>
      <c r="AA372" s="105"/>
      <c r="AB372" s="105"/>
      <c r="AC372" s="105"/>
      <c r="AD372" s="64"/>
      <c r="AG372" s="45"/>
      <c r="AH372" s="64"/>
      <c r="AI372" s="45"/>
      <c r="AJ372" s="105"/>
      <c r="AK372" s="105"/>
      <c r="AL372" s="60"/>
      <c r="AM372" s="60"/>
      <c r="AN372" s="60"/>
      <c r="AO372" s="60"/>
      <c r="AP372" s="60"/>
      <c r="AQ372" s="60"/>
      <c r="AR372" s="60"/>
      <c r="AS372" s="60"/>
      <c r="AT372" s="45"/>
      <c r="AU372" s="45"/>
      <c r="AW372" s="45"/>
      <c r="AX372" s="46">
        <f t="shared" si="16"/>
        <v>0</v>
      </c>
      <c r="AY372" s="46">
        <f t="shared" si="17"/>
        <v>0</v>
      </c>
      <c r="AZ372" s="46">
        <f t="shared" si="18"/>
        <v>0</v>
      </c>
    </row>
    <row r="373" spans="2:52" ht="20.100000000000001" customHeight="1">
      <c r="C373" s="102"/>
      <c r="D373" s="3"/>
      <c r="E373" s="12"/>
      <c r="F373" s="3"/>
      <c r="G373" s="3"/>
      <c r="H373" s="3"/>
      <c r="J373" s="3"/>
      <c r="K373" s="3"/>
      <c r="L373" s="4"/>
      <c r="M373" s="3"/>
      <c r="O373" s="58"/>
      <c r="Q373" s="64"/>
      <c r="R373" s="45"/>
      <c r="S373" s="45"/>
      <c r="U373" s="64"/>
      <c r="V373" s="45"/>
      <c r="W373" s="64"/>
      <c r="X373" s="64"/>
      <c r="Y373" s="45"/>
      <c r="Z373" s="45"/>
      <c r="AA373" s="105"/>
      <c r="AB373" s="105"/>
      <c r="AC373" s="105"/>
      <c r="AD373" s="64"/>
      <c r="AG373" s="45"/>
      <c r="AH373" s="64"/>
      <c r="AI373" s="45"/>
      <c r="AJ373" s="105"/>
      <c r="AK373" s="105"/>
      <c r="AL373" s="60"/>
      <c r="AM373" s="60"/>
      <c r="AN373" s="60"/>
      <c r="AO373" s="60"/>
      <c r="AP373" s="60"/>
      <c r="AQ373" s="60"/>
      <c r="AR373" s="60"/>
      <c r="AS373" s="60"/>
      <c r="AT373" s="45"/>
      <c r="AU373" s="45"/>
      <c r="AW373" s="45"/>
      <c r="AX373" s="46">
        <f t="shared" si="16"/>
        <v>0</v>
      </c>
      <c r="AY373" s="46">
        <f t="shared" si="17"/>
        <v>0</v>
      </c>
      <c r="AZ373" s="46">
        <f t="shared" si="18"/>
        <v>0</v>
      </c>
    </row>
    <row r="374" spans="2:52" ht="20.100000000000001" customHeight="1">
      <c r="C374" s="102"/>
      <c r="D374" s="3"/>
      <c r="E374" s="12"/>
      <c r="F374" s="3"/>
      <c r="G374" s="3"/>
      <c r="H374" s="3"/>
      <c r="J374" s="3"/>
      <c r="K374" s="3"/>
      <c r="L374" s="4"/>
      <c r="M374" s="3"/>
      <c r="O374" s="58"/>
      <c r="Q374" s="64"/>
      <c r="R374" s="45"/>
      <c r="S374" s="45"/>
      <c r="U374" s="64"/>
      <c r="V374" s="45"/>
      <c r="W374" s="64"/>
      <c r="X374" s="64"/>
      <c r="Y374" s="45"/>
      <c r="Z374" s="45"/>
      <c r="AA374" s="105"/>
      <c r="AB374" s="105"/>
      <c r="AC374" s="105"/>
      <c r="AD374" s="64"/>
      <c r="AG374" s="45"/>
      <c r="AH374" s="64"/>
      <c r="AI374" s="45"/>
      <c r="AJ374" s="105"/>
      <c r="AK374" s="105"/>
      <c r="AL374" s="60"/>
      <c r="AM374" s="60"/>
      <c r="AN374" s="60"/>
      <c r="AO374" s="60"/>
      <c r="AP374" s="60"/>
      <c r="AQ374" s="60"/>
      <c r="AR374" s="60"/>
      <c r="AS374" s="60"/>
      <c r="AT374" s="45"/>
      <c r="AU374" s="45"/>
      <c r="AW374" s="45"/>
      <c r="AX374" s="46">
        <f t="shared" si="16"/>
        <v>0</v>
      </c>
      <c r="AY374" s="46">
        <f t="shared" si="17"/>
        <v>0</v>
      </c>
      <c r="AZ374" s="46">
        <f t="shared" si="18"/>
        <v>0</v>
      </c>
    </row>
    <row r="375" spans="2:52" ht="20.100000000000001" customHeight="1">
      <c r="C375" s="102"/>
      <c r="D375" s="3"/>
      <c r="E375" s="12"/>
      <c r="F375" s="3"/>
      <c r="G375" s="3"/>
      <c r="H375" s="3"/>
      <c r="J375" s="3"/>
      <c r="K375" s="3"/>
      <c r="L375" s="4"/>
      <c r="M375" s="3"/>
      <c r="O375" s="58"/>
      <c r="Q375" s="64"/>
      <c r="R375" s="45"/>
      <c r="S375" s="45"/>
      <c r="U375" s="64"/>
      <c r="V375" s="45"/>
      <c r="W375" s="64"/>
      <c r="X375" s="64"/>
      <c r="Y375" s="45"/>
      <c r="Z375" s="45"/>
      <c r="AA375" s="105"/>
      <c r="AB375" s="105"/>
      <c r="AC375" s="105"/>
      <c r="AD375" s="64"/>
      <c r="AG375" s="45"/>
      <c r="AH375" s="64"/>
      <c r="AI375" s="45"/>
      <c r="AJ375" s="105"/>
      <c r="AK375" s="105"/>
      <c r="AL375" s="60"/>
      <c r="AM375" s="60"/>
      <c r="AN375" s="60"/>
      <c r="AO375" s="60"/>
      <c r="AP375" s="60"/>
      <c r="AQ375" s="60"/>
      <c r="AR375" s="60"/>
      <c r="AS375" s="60"/>
      <c r="AT375" s="45"/>
      <c r="AU375" s="45"/>
      <c r="AW375" s="45"/>
      <c r="AX375" s="46">
        <f t="shared" si="16"/>
        <v>0</v>
      </c>
      <c r="AY375" s="46">
        <f t="shared" si="17"/>
        <v>0</v>
      </c>
      <c r="AZ375" s="46">
        <f t="shared" si="18"/>
        <v>0</v>
      </c>
    </row>
    <row r="376" spans="2:52" ht="20.100000000000001" customHeight="1">
      <c r="B376" s="61"/>
      <c r="C376" s="103"/>
      <c r="D376" s="3"/>
      <c r="E376" s="12"/>
      <c r="F376" s="3"/>
      <c r="G376" s="3"/>
      <c r="H376" s="3"/>
      <c r="J376" s="3"/>
      <c r="K376" s="3"/>
      <c r="L376" s="4"/>
      <c r="M376" s="3"/>
      <c r="O376" s="58"/>
      <c r="Q376" s="64"/>
      <c r="R376" s="45"/>
      <c r="S376" s="45"/>
      <c r="U376" s="64"/>
      <c r="V376" s="45"/>
      <c r="W376" s="64"/>
      <c r="X376" s="64"/>
      <c r="Y376" s="45"/>
      <c r="Z376" s="45"/>
      <c r="AA376" s="105"/>
      <c r="AB376" s="105"/>
      <c r="AC376" s="105"/>
      <c r="AD376" s="64"/>
      <c r="AE376" s="62"/>
      <c r="AG376" s="45"/>
      <c r="AH376" s="64"/>
      <c r="AI376" s="45"/>
      <c r="AJ376" s="105"/>
      <c r="AK376" s="105"/>
      <c r="AL376" s="60"/>
      <c r="AM376" s="60"/>
      <c r="AN376" s="60"/>
      <c r="AO376" s="60"/>
      <c r="AP376" s="60"/>
      <c r="AQ376" s="60"/>
      <c r="AR376" s="60"/>
      <c r="AS376" s="60"/>
      <c r="AT376" s="45"/>
      <c r="AU376" s="45"/>
      <c r="AW376" s="45"/>
      <c r="AX376" s="46">
        <f t="shared" si="16"/>
        <v>0</v>
      </c>
      <c r="AY376" s="46">
        <f t="shared" si="17"/>
        <v>0</v>
      </c>
      <c r="AZ376" s="46">
        <f t="shared" si="18"/>
        <v>0</v>
      </c>
    </row>
    <row r="377" spans="2:52" ht="20.100000000000001" customHeight="1">
      <c r="C377" s="102"/>
      <c r="D377" s="3"/>
      <c r="E377" s="12"/>
      <c r="F377" s="3"/>
      <c r="G377" s="3"/>
      <c r="H377" s="3"/>
      <c r="J377" s="3"/>
      <c r="K377" s="3"/>
      <c r="L377" s="4"/>
      <c r="M377" s="3"/>
      <c r="O377" s="58"/>
      <c r="Q377" s="64"/>
      <c r="R377" s="45"/>
      <c r="S377" s="45"/>
      <c r="U377" s="64"/>
      <c r="V377" s="45"/>
      <c r="W377" s="64"/>
      <c r="X377" s="64"/>
      <c r="Y377" s="45"/>
      <c r="Z377" s="45"/>
      <c r="AA377" s="105"/>
      <c r="AB377" s="105"/>
      <c r="AC377" s="105"/>
      <c r="AD377" s="64"/>
      <c r="AG377" s="45"/>
      <c r="AH377" s="64"/>
      <c r="AI377" s="45"/>
      <c r="AJ377" s="105"/>
      <c r="AK377" s="105"/>
      <c r="AL377" s="60"/>
      <c r="AM377" s="60"/>
      <c r="AN377" s="60"/>
      <c r="AO377" s="60"/>
      <c r="AP377" s="60"/>
      <c r="AQ377" s="60"/>
      <c r="AR377" s="60"/>
      <c r="AS377" s="60"/>
      <c r="AT377" s="45"/>
      <c r="AU377" s="45"/>
      <c r="AW377" s="45"/>
      <c r="AX377" s="46">
        <f t="shared" si="16"/>
        <v>0</v>
      </c>
      <c r="AY377" s="46">
        <f t="shared" si="17"/>
        <v>0</v>
      </c>
      <c r="AZ377" s="46">
        <f t="shared" si="18"/>
        <v>0</v>
      </c>
    </row>
    <row r="378" spans="2:52" ht="20.100000000000001" customHeight="1">
      <c r="C378" s="102"/>
      <c r="D378" s="3"/>
      <c r="E378" s="12"/>
      <c r="F378" s="3"/>
      <c r="G378" s="3"/>
      <c r="H378" s="3"/>
      <c r="J378" s="3"/>
      <c r="K378" s="3"/>
      <c r="L378" s="4"/>
      <c r="M378" s="3"/>
      <c r="O378" s="58"/>
      <c r="Q378" s="64"/>
      <c r="R378" s="45"/>
      <c r="S378" s="45"/>
      <c r="U378" s="64"/>
      <c r="V378" s="45"/>
      <c r="W378" s="64"/>
      <c r="X378" s="64"/>
      <c r="Y378" s="45"/>
      <c r="Z378" s="45"/>
      <c r="AA378" s="105"/>
      <c r="AB378" s="105"/>
      <c r="AC378" s="105"/>
      <c r="AD378" s="64"/>
      <c r="AG378" s="45"/>
      <c r="AH378" s="64"/>
      <c r="AI378" s="45"/>
      <c r="AJ378" s="105"/>
      <c r="AK378" s="105"/>
      <c r="AL378" s="60"/>
      <c r="AM378" s="60"/>
      <c r="AN378" s="60"/>
      <c r="AO378" s="60"/>
      <c r="AP378" s="60"/>
      <c r="AQ378" s="60"/>
      <c r="AR378" s="60"/>
      <c r="AS378" s="60"/>
      <c r="AT378" s="45"/>
      <c r="AU378" s="45"/>
      <c r="AW378" s="45"/>
      <c r="AX378" s="46">
        <f t="shared" si="16"/>
        <v>0</v>
      </c>
      <c r="AY378" s="46">
        <f t="shared" si="17"/>
        <v>0</v>
      </c>
      <c r="AZ378" s="46">
        <f t="shared" si="18"/>
        <v>0</v>
      </c>
    </row>
    <row r="379" spans="2:52" ht="20.100000000000001" customHeight="1">
      <c r="C379" s="102"/>
      <c r="D379" s="3"/>
      <c r="E379" s="12"/>
      <c r="F379" s="3"/>
      <c r="G379" s="3"/>
      <c r="H379" s="3"/>
      <c r="J379" s="3"/>
      <c r="K379" s="3"/>
      <c r="L379" s="4"/>
      <c r="M379" s="3"/>
      <c r="O379" s="58"/>
      <c r="Q379" s="64"/>
      <c r="R379" s="45"/>
      <c r="S379" s="45"/>
      <c r="U379" s="64"/>
      <c r="V379" s="45"/>
      <c r="W379" s="64"/>
      <c r="X379" s="64"/>
      <c r="Y379" s="45"/>
      <c r="Z379" s="45"/>
      <c r="AA379" s="105"/>
      <c r="AB379" s="105"/>
      <c r="AC379" s="105"/>
      <c r="AD379" s="64"/>
      <c r="AG379" s="45"/>
      <c r="AH379" s="64"/>
      <c r="AI379" s="45"/>
      <c r="AJ379" s="105"/>
      <c r="AK379" s="105"/>
      <c r="AL379" s="60"/>
      <c r="AM379" s="60"/>
      <c r="AN379" s="60"/>
      <c r="AO379" s="60"/>
      <c r="AP379" s="60"/>
      <c r="AQ379" s="60"/>
      <c r="AR379" s="60"/>
      <c r="AS379" s="60"/>
      <c r="AT379" s="45"/>
      <c r="AU379" s="45"/>
      <c r="AW379" s="45"/>
      <c r="AX379" s="46">
        <f t="shared" si="16"/>
        <v>0</v>
      </c>
      <c r="AY379" s="46">
        <f t="shared" si="17"/>
        <v>0</v>
      </c>
      <c r="AZ379" s="46">
        <f t="shared" si="18"/>
        <v>0</v>
      </c>
    </row>
    <row r="380" spans="2:52" ht="20.100000000000001" customHeight="1">
      <c r="C380" s="102"/>
      <c r="D380" s="3"/>
      <c r="E380" s="12"/>
      <c r="F380" s="3"/>
      <c r="G380" s="3"/>
      <c r="H380" s="3"/>
      <c r="J380" s="3"/>
      <c r="K380" s="3"/>
      <c r="L380" s="4"/>
      <c r="M380" s="3"/>
      <c r="O380" s="58"/>
      <c r="Q380" s="64"/>
      <c r="R380" s="45"/>
      <c r="S380" s="45"/>
      <c r="U380" s="64"/>
      <c r="V380" s="45"/>
      <c r="W380" s="64"/>
      <c r="X380" s="64"/>
      <c r="Y380" s="45"/>
      <c r="Z380" s="45"/>
      <c r="AA380" s="105"/>
      <c r="AB380" s="105"/>
      <c r="AC380" s="105"/>
      <c r="AD380" s="64"/>
      <c r="AG380" s="45"/>
      <c r="AH380" s="64"/>
      <c r="AI380" s="45"/>
      <c r="AJ380" s="105"/>
      <c r="AK380" s="105"/>
      <c r="AL380" s="60"/>
      <c r="AM380" s="60"/>
      <c r="AN380" s="60"/>
      <c r="AO380" s="60"/>
      <c r="AP380" s="60"/>
      <c r="AQ380" s="60"/>
      <c r="AR380" s="60"/>
      <c r="AS380" s="60"/>
      <c r="AT380" s="45"/>
      <c r="AU380" s="45"/>
      <c r="AW380" s="45"/>
      <c r="AX380" s="46">
        <f t="shared" si="16"/>
        <v>0</v>
      </c>
      <c r="AY380" s="46">
        <f t="shared" si="17"/>
        <v>0</v>
      </c>
      <c r="AZ380" s="46">
        <f t="shared" si="18"/>
        <v>0</v>
      </c>
    </row>
    <row r="381" spans="2:52" ht="20.100000000000001" customHeight="1">
      <c r="C381" s="102"/>
      <c r="D381" s="3"/>
      <c r="E381" s="12"/>
      <c r="F381" s="3"/>
      <c r="G381" s="3"/>
      <c r="H381" s="3"/>
      <c r="J381" s="3"/>
      <c r="K381" s="3"/>
      <c r="L381" s="4"/>
      <c r="M381" s="3"/>
      <c r="O381" s="58"/>
      <c r="Q381" s="64"/>
      <c r="R381" s="45"/>
      <c r="S381" s="45"/>
      <c r="U381" s="64"/>
      <c r="V381" s="45"/>
      <c r="W381" s="64"/>
      <c r="X381" s="64"/>
      <c r="Y381" s="45"/>
      <c r="Z381" s="45"/>
      <c r="AA381" s="105"/>
      <c r="AB381" s="105"/>
      <c r="AC381" s="105"/>
      <c r="AD381" s="64"/>
      <c r="AG381" s="45"/>
      <c r="AH381" s="64"/>
      <c r="AI381" s="45"/>
      <c r="AJ381" s="105"/>
      <c r="AK381" s="105"/>
      <c r="AL381" s="60"/>
      <c r="AM381" s="60"/>
      <c r="AN381" s="60"/>
      <c r="AO381" s="60"/>
      <c r="AP381" s="60"/>
      <c r="AQ381" s="60"/>
      <c r="AR381" s="60"/>
      <c r="AS381" s="60"/>
      <c r="AT381" s="45"/>
      <c r="AU381" s="45"/>
      <c r="AW381" s="45"/>
      <c r="AX381" s="46">
        <f t="shared" si="16"/>
        <v>0</v>
      </c>
      <c r="AY381" s="46">
        <f t="shared" si="17"/>
        <v>0</v>
      </c>
      <c r="AZ381" s="46">
        <f t="shared" si="18"/>
        <v>0</v>
      </c>
    </row>
    <row r="382" spans="2:52" ht="20.100000000000001" customHeight="1">
      <c r="C382" s="102"/>
      <c r="D382" s="3"/>
      <c r="E382" s="12"/>
      <c r="F382" s="3"/>
      <c r="G382" s="3"/>
      <c r="H382" s="3"/>
      <c r="J382" s="3"/>
      <c r="K382" s="3"/>
      <c r="L382" s="4"/>
      <c r="M382" s="3"/>
      <c r="O382" s="58"/>
      <c r="Q382" s="64"/>
      <c r="R382" s="45"/>
      <c r="S382" s="45"/>
      <c r="U382" s="64"/>
      <c r="V382" s="45"/>
      <c r="W382" s="64"/>
      <c r="X382" s="64"/>
      <c r="Y382" s="45"/>
      <c r="Z382" s="45"/>
      <c r="AA382" s="105"/>
      <c r="AB382" s="105"/>
      <c r="AC382" s="105"/>
      <c r="AD382" s="64"/>
      <c r="AG382" s="45"/>
      <c r="AH382" s="64"/>
      <c r="AI382" s="45"/>
      <c r="AJ382" s="105"/>
      <c r="AK382" s="105"/>
      <c r="AL382" s="60"/>
      <c r="AM382" s="60"/>
      <c r="AN382" s="60"/>
      <c r="AO382" s="60"/>
      <c r="AP382" s="60"/>
      <c r="AQ382" s="60"/>
      <c r="AR382" s="60"/>
      <c r="AS382" s="60"/>
      <c r="AT382" s="45"/>
      <c r="AU382" s="45"/>
      <c r="AW382" s="45"/>
      <c r="AX382" s="46">
        <f t="shared" si="16"/>
        <v>0</v>
      </c>
      <c r="AY382" s="46">
        <f t="shared" si="17"/>
        <v>0</v>
      </c>
      <c r="AZ382" s="46">
        <f t="shared" si="18"/>
        <v>0</v>
      </c>
    </row>
    <row r="383" spans="2:52" ht="20.100000000000001" customHeight="1">
      <c r="C383" s="102"/>
      <c r="D383" s="3"/>
      <c r="E383" s="12"/>
      <c r="F383" s="3"/>
      <c r="G383" s="3"/>
      <c r="H383" s="3"/>
      <c r="J383" s="3"/>
      <c r="K383" s="3"/>
      <c r="L383" s="4"/>
      <c r="M383" s="3"/>
      <c r="O383" s="58"/>
      <c r="Q383" s="64"/>
      <c r="R383" s="45"/>
      <c r="S383" s="45"/>
      <c r="U383" s="64"/>
      <c r="V383" s="45"/>
      <c r="W383" s="64"/>
      <c r="X383" s="64"/>
      <c r="Y383" s="45"/>
      <c r="Z383" s="45"/>
      <c r="AA383" s="105"/>
      <c r="AB383" s="105"/>
      <c r="AC383" s="105"/>
      <c r="AD383" s="64"/>
      <c r="AG383" s="45"/>
      <c r="AH383" s="64"/>
      <c r="AI383" s="45"/>
      <c r="AJ383" s="105"/>
      <c r="AK383" s="105"/>
      <c r="AL383" s="60"/>
      <c r="AM383" s="60"/>
      <c r="AN383" s="60"/>
      <c r="AO383" s="60"/>
      <c r="AP383" s="60"/>
      <c r="AQ383" s="60"/>
      <c r="AR383" s="60"/>
      <c r="AS383" s="60"/>
      <c r="AT383" s="45"/>
      <c r="AU383" s="45"/>
      <c r="AW383" s="45"/>
      <c r="AX383" s="46">
        <f t="shared" si="16"/>
        <v>0</v>
      </c>
      <c r="AY383" s="46">
        <f t="shared" si="17"/>
        <v>0</v>
      </c>
      <c r="AZ383" s="46">
        <f t="shared" si="18"/>
        <v>0</v>
      </c>
    </row>
    <row r="384" spans="2:52" ht="20.100000000000001" customHeight="1">
      <c r="C384" s="102"/>
      <c r="D384" s="3"/>
      <c r="E384" s="12"/>
      <c r="F384" s="3"/>
      <c r="G384" s="3"/>
      <c r="H384" s="3"/>
      <c r="J384" s="3"/>
      <c r="K384" s="3"/>
      <c r="L384" s="4"/>
      <c r="M384" s="3"/>
      <c r="O384" s="58"/>
      <c r="Q384" s="64"/>
      <c r="R384" s="45"/>
      <c r="S384" s="45"/>
      <c r="U384" s="64"/>
      <c r="V384" s="45"/>
      <c r="W384" s="64"/>
      <c r="X384" s="64"/>
      <c r="Y384" s="45"/>
      <c r="Z384" s="45"/>
      <c r="AA384" s="105"/>
      <c r="AB384" s="105"/>
      <c r="AC384" s="105"/>
      <c r="AD384" s="64"/>
      <c r="AG384" s="45"/>
      <c r="AH384" s="64"/>
      <c r="AI384" s="45"/>
      <c r="AJ384" s="105"/>
      <c r="AK384" s="105"/>
      <c r="AL384" s="60"/>
      <c r="AM384" s="60"/>
      <c r="AN384" s="60"/>
      <c r="AO384" s="60"/>
      <c r="AP384" s="60"/>
      <c r="AQ384" s="60"/>
      <c r="AR384" s="60"/>
      <c r="AS384" s="60"/>
      <c r="AT384" s="45"/>
      <c r="AU384" s="45"/>
      <c r="AW384" s="45"/>
      <c r="AX384" s="46">
        <f t="shared" si="16"/>
        <v>0</v>
      </c>
      <c r="AY384" s="46">
        <f t="shared" si="17"/>
        <v>0</v>
      </c>
      <c r="AZ384" s="46">
        <f t="shared" si="18"/>
        <v>0</v>
      </c>
    </row>
    <row r="385" spans="2:52" ht="20.100000000000001" customHeight="1">
      <c r="C385" s="102"/>
      <c r="D385" s="3"/>
      <c r="E385" s="12"/>
      <c r="F385" s="3"/>
      <c r="G385" s="3"/>
      <c r="H385" s="3"/>
      <c r="J385" s="3"/>
      <c r="K385" s="3"/>
      <c r="L385" s="4"/>
      <c r="M385" s="3"/>
      <c r="O385" s="58"/>
      <c r="Q385" s="64"/>
      <c r="R385" s="45"/>
      <c r="S385" s="45"/>
      <c r="U385" s="64"/>
      <c r="V385" s="45"/>
      <c r="W385" s="64"/>
      <c r="X385" s="64"/>
      <c r="Y385" s="45"/>
      <c r="Z385" s="45"/>
      <c r="AA385" s="105"/>
      <c r="AB385" s="105"/>
      <c r="AC385" s="105"/>
      <c r="AD385" s="64"/>
      <c r="AG385" s="45"/>
      <c r="AH385" s="64"/>
      <c r="AI385" s="45"/>
      <c r="AJ385" s="105"/>
      <c r="AK385" s="105"/>
      <c r="AL385" s="60"/>
      <c r="AM385" s="60"/>
      <c r="AN385" s="60"/>
      <c r="AO385" s="60"/>
      <c r="AP385" s="60"/>
      <c r="AQ385" s="60"/>
      <c r="AR385" s="60"/>
      <c r="AS385" s="60"/>
      <c r="AT385" s="45"/>
      <c r="AU385" s="45"/>
      <c r="AW385" s="45"/>
      <c r="AX385" s="46">
        <f t="shared" si="16"/>
        <v>0</v>
      </c>
      <c r="AY385" s="46">
        <f t="shared" si="17"/>
        <v>0</v>
      </c>
      <c r="AZ385" s="46">
        <f t="shared" si="18"/>
        <v>0</v>
      </c>
    </row>
    <row r="386" spans="2:52" ht="20.100000000000001" customHeight="1">
      <c r="C386" s="102"/>
      <c r="D386" s="3"/>
      <c r="E386" s="12"/>
      <c r="F386" s="3"/>
      <c r="G386" s="3"/>
      <c r="H386" s="3"/>
      <c r="J386" s="3"/>
      <c r="K386" s="3"/>
      <c r="L386" s="4"/>
      <c r="M386" s="3"/>
      <c r="O386" s="58"/>
      <c r="Q386" s="64"/>
      <c r="R386" s="45"/>
      <c r="S386" s="45"/>
      <c r="U386" s="64"/>
      <c r="V386" s="45"/>
      <c r="W386" s="64"/>
      <c r="X386" s="64"/>
      <c r="Y386" s="45"/>
      <c r="Z386" s="45"/>
      <c r="AA386" s="105"/>
      <c r="AB386" s="105"/>
      <c r="AC386" s="105"/>
      <c r="AD386" s="64"/>
      <c r="AG386" s="45"/>
      <c r="AH386" s="64"/>
      <c r="AI386" s="45"/>
      <c r="AJ386" s="105"/>
      <c r="AK386" s="105"/>
      <c r="AL386" s="60"/>
      <c r="AM386" s="60"/>
      <c r="AN386" s="60"/>
      <c r="AO386" s="60"/>
      <c r="AP386" s="60"/>
      <c r="AQ386" s="60"/>
      <c r="AR386" s="60"/>
      <c r="AS386" s="60"/>
      <c r="AT386" s="45"/>
      <c r="AU386" s="45"/>
      <c r="AW386" s="45"/>
      <c r="AX386" s="46">
        <f t="shared" si="16"/>
        <v>0</v>
      </c>
      <c r="AY386" s="46">
        <f t="shared" si="17"/>
        <v>0</v>
      </c>
      <c r="AZ386" s="46">
        <f t="shared" si="18"/>
        <v>0</v>
      </c>
    </row>
    <row r="387" spans="2:52" ht="20.100000000000001" customHeight="1">
      <c r="C387" s="102"/>
      <c r="D387" s="3"/>
      <c r="E387" s="12"/>
      <c r="F387" s="3"/>
      <c r="G387" s="3"/>
      <c r="H387" s="3"/>
      <c r="J387" s="3"/>
      <c r="K387" s="3"/>
      <c r="L387" s="4"/>
      <c r="M387" s="3"/>
      <c r="O387" s="58"/>
      <c r="Q387" s="64"/>
      <c r="R387" s="45"/>
      <c r="S387" s="45"/>
      <c r="U387" s="64"/>
      <c r="V387" s="45"/>
      <c r="W387" s="64"/>
      <c r="X387" s="64"/>
      <c r="Y387" s="45"/>
      <c r="Z387" s="45"/>
      <c r="AA387" s="105"/>
      <c r="AB387" s="105"/>
      <c r="AC387" s="105"/>
      <c r="AD387" s="64"/>
      <c r="AH387" s="64"/>
      <c r="AI387" s="45"/>
      <c r="AJ387" s="105"/>
      <c r="AK387" s="105"/>
      <c r="AL387" s="60"/>
      <c r="AM387" s="60"/>
      <c r="AN387" s="60"/>
      <c r="AO387" s="60"/>
      <c r="AP387" s="60"/>
      <c r="AQ387" s="60"/>
      <c r="AR387" s="60"/>
      <c r="AS387" s="60"/>
      <c r="AT387" s="45"/>
      <c r="AU387" s="45"/>
      <c r="AW387" s="45"/>
      <c r="AX387" s="46">
        <f t="shared" si="16"/>
        <v>0</v>
      </c>
      <c r="AY387" s="46">
        <f t="shared" si="17"/>
        <v>0</v>
      </c>
      <c r="AZ387" s="46">
        <f t="shared" si="18"/>
        <v>0</v>
      </c>
    </row>
    <row r="388" spans="2:52" ht="20.100000000000001" customHeight="1">
      <c r="C388" s="102"/>
      <c r="D388" s="3"/>
      <c r="E388" s="12"/>
      <c r="F388" s="3"/>
      <c r="G388" s="3"/>
      <c r="H388" s="3"/>
      <c r="J388" s="3"/>
      <c r="K388" s="3"/>
      <c r="L388" s="4"/>
      <c r="M388" s="3"/>
      <c r="O388" s="58"/>
      <c r="Q388" s="64"/>
      <c r="R388" s="45"/>
      <c r="S388" s="45"/>
      <c r="U388" s="64"/>
      <c r="V388" s="45"/>
      <c r="W388" s="64"/>
      <c r="X388" s="64"/>
      <c r="Y388" s="45"/>
      <c r="Z388" s="45"/>
      <c r="AA388" s="105"/>
      <c r="AB388" s="105"/>
      <c r="AC388" s="105"/>
      <c r="AD388" s="64"/>
      <c r="AH388" s="64"/>
      <c r="AI388" s="45"/>
      <c r="AJ388" s="105"/>
      <c r="AK388" s="105"/>
      <c r="AL388" s="60"/>
      <c r="AM388" s="60"/>
      <c r="AN388" s="60"/>
      <c r="AO388" s="60"/>
      <c r="AP388" s="60"/>
      <c r="AQ388" s="60"/>
      <c r="AR388" s="60"/>
      <c r="AS388" s="60"/>
      <c r="AT388" s="45"/>
      <c r="AU388" s="45"/>
      <c r="AW388" s="45"/>
      <c r="AX388" s="46">
        <f t="shared" si="16"/>
        <v>0</v>
      </c>
      <c r="AY388" s="46">
        <f t="shared" si="17"/>
        <v>0</v>
      </c>
      <c r="AZ388" s="46">
        <f t="shared" si="18"/>
        <v>0</v>
      </c>
    </row>
    <row r="389" spans="2:52" ht="20.100000000000001" customHeight="1">
      <c r="C389" s="102"/>
      <c r="D389" s="3"/>
      <c r="E389" s="12"/>
      <c r="F389" s="3"/>
      <c r="G389" s="3"/>
      <c r="H389" s="3"/>
      <c r="J389" s="3"/>
      <c r="K389" s="3"/>
      <c r="L389" s="4"/>
      <c r="M389" s="3"/>
      <c r="O389" s="58"/>
      <c r="Q389" s="64"/>
      <c r="R389" s="45"/>
      <c r="S389" s="45"/>
      <c r="U389" s="64"/>
      <c r="V389" s="45"/>
      <c r="W389" s="64"/>
      <c r="X389" s="64"/>
      <c r="Y389" s="45"/>
      <c r="Z389" s="45"/>
      <c r="AA389" s="105"/>
      <c r="AB389" s="105"/>
      <c r="AC389" s="105"/>
      <c r="AD389" s="64"/>
      <c r="AG389" s="45"/>
      <c r="AH389" s="64"/>
      <c r="AI389" s="45"/>
      <c r="AJ389" s="105"/>
      <c r="AK389" s="105"/>
      <c r="AL389" s="60"/>
      <c r="AM389" s="60"/>
      <c r="AN389" s="60"/>
      <c r="AO389" s="60"/>
      <c r="AP389" s="60"/>
      <c r="AQ389" s="60"/>
      <c r="AR389" s="60"/>
      <c r="AS389" s="60"/>
      <c r="AT389" s="45"/>
      <c r="AU389" s="45"/>
      <c r="AW389" s="45"/>
      <c r="AX389" s="46">
        <f t="shared" si="16"/>
        <v>0</v>
      </c>
      <c r="AY389" s="46">
        <f t="shared" si="17"/>
        <v>0</v>
      </c>
      <c r="AZ389" s="46">
        <f t="shared" si="18"/>
        <v>0</v>
      </c>
    </row>
    <row r="390" spans="2:52" ht="20.100000000000001" customHeight="1">
      <c r="C390" s="102"/>
      <c r="D390" s="3"/>
      <c r="E390" s="12"/>
      <c r="F390" s="3"/>
      <c r="G390" s="3"/>
      <c r="H390" s="3"/>
      <c r="J390" s="3"/>
      <c r="K390" s="3"/>
      <c r="L390" s="4"/>
      <c r="M390" s="3"/>
      <c r="O390" s="58"/>
      <c r="Q390" s="64"/>
      <c r="R390" s="45"/>
      <c r="S390" s="45"/>
      <c r="U390" s="64"/>
      <c r="V390" s="45"/>
      <c r="W390" s="64"/>
      <c r="X390" s="64"/>
      <c r="Y390" s="45"/>
      <c r="Z390" s="45"/>
      <c r="AA390" s="105"/>
      <c r="AB390" s="105"/>
      <c r="AC390" s="105"/>
      <c r="AD390" s="64"/>
      <c r="AH390" s="64"/>
      <c r="AI390" s="45"/>
      <c r="AJ390" s="105"/>
      <c r="AK390" s="105"/>
      <c r="AL390" s="60"/>
      <c r="AM390" s="60"/>
      <c r="AN390" s="60"/>
      <c r="AO390" s="60"/>
      <c r="AP390" s="60"/>
      <c r="AQ390" s="60"/>
      <c r="AR390" s="60"/>
      <c r="AS390" s="60"/>
      <c r="AT390" s="45"/>
      <c r="AU390" s="45"/>
      <c r="AW390" s="45"/>
      <c r="AX390" s="46">
        <f t="shared" si="16"/>
        <v>0</v>
      </c>
      <c r="AY390" s="46">
        <f t="shared" si="17"/>
        <v>0</v>
      </c>
      <c r="AZ390" s="46">
        <f t="shared" si="18"/>
        <v>0</v>
      </c>
    </row>
    <row r="391" spans="2:52" ht="20.100000000000001" customHeight="1">
      <c r="C391" s="102"/>
      <c r="D391" s="3"/>
      <c r="E391" s="12"/>
      <c r="F391" s="3"/>
      <c r="G391" s="3"/>
      <c r="H391" s="3"/>
      <c r="J391" s="3"/>
      <c r="K391" s="3"/>
      <c r="L391" s="4"/>
      <c r="M391" s="3"/>
      <c r="O391" s="58"/>
      <c r="Q391" s="64"/>
      <c r="R391" s="45"/>
      <c r="S391" s="45"/>
      <c r="U391" s="64"/>
      <c r="V391" s="45"/>
      <c r="W391" s="64"/>
      <c r="X391" s="64"/>
      <c r="Y391" s="45"/>
      <c r="Z391" s="45"/>
      <c r="AA391" s="105"/>
      <c r="AB391" s="105"/>
      <c r="AC391" s="105"/>
      <c r="AD391" s="64"/>
      <c r="AG391" s="45"/>
      <c r="AH391" s="64"/>
      <c r="AI391" s="45"/>
      <c r="AJ391" s="105"/>
      <c r="AK391" s="105"/>
      <c r="AL391" s="60"/>
      <c r="AM391" s="60"/>
      <c r="AN391" s="60"/>
      <c r="AO391" s="60"/>
      <c r="AP391" s="60"/>
      <c r="AQ391" s="60"/>
      <c r="AR391" s="60"/>
      <c r="AS391" s="60"/>
      <c r="AT391" s="45"/>
      <c r="AU391" s="45"/>
      <c r="AW391" s="45"/>
      <c r="AX391" s="46">
        <f t="shared" si="16"/>
        <v>0</v>
      </c>
      <c r="AY391" s="46">
        <f t="shared" si="17"/>
        <v>0</v>
      </c>
      <c r="AZ391" s="46">
        <f t="shared" si="18"/>
        <v>0</v>
      </c>
    </row>
    <row r="392" spans="2:52" ht="20.100000000000001" customHeight="1">
      <c r="B392" s="61"/>
      <c r="C392" s="103"/>
      <c r="D392" s="3"/>
      <c r="E392" s="12"/>
      <c r="F392" s="3"/>
      <c r="G392" s="3"/>
      <c r="H392" s="3"/>
      <c r="J392" s="3"/>
      <c r="K392" s="3"/>
      <c r="L392" s="4"/>
      <c r="M392" s="3"/>
      <c r="O392" s="58"/>
      <c r="Q392" s="64"/>
      <c r="R392" s="45"/>
      <c r="S392" s="45"/>
      <c r="U392" s="64"/>
      <c r="V392" s="45"/>
      <c r="W392" s="64"/>
      <c r="X392" s="64"/>
      <c r="Y392" s="45"/>
      <c r="Z392" s="45"/>
      <c r="AA392" s="105"/>
      <c r="AB392" s="105"/>
      <c r="AC392" s="105"/>
      <c r="AD392" s="64"/>
      <c r="AE392" s="62"/>
      <c r="AH392" s="64"/>
      <c r="AI392" s="45"/>
      <c r="AJ392" s="105"/>
      <c r="AK392" s="105"/>
      <c r="AL392" s="60"/>
      <c r="AM392" s="60"/>
      <c r="AN392" s="60"/>
      <c r="AO392" s="60"/>
      <c r="AP392" s="60"/>
      <c r="AQ392" s="60"/>
      <c r="AR392" s="60"/>
      <c r="AS392" s="60"/>
      <c r="AT392" s="45"/>
      <c r="AU392" s="45"/>
      <c r="AW392" s="45"/>
      <c r="AX392" s="46">
        <f t="shared" si="16"/>
        <v>0</v>
      </c>
      <c r="AY392" s="46">
        <f t="shared" si="17"/>
        <v>0</v>
      </c>
      <c r="AZ392" s="46">
        <f t="shared" si="18"/>
        <v>0</v>
      </c>
    </row>
    <row r="393" spans="2:52" ht="20.100000000000001" customHeight="1">
      <c r="C393" s="102"/>
      <c r="D393" s="3"/>
      <c r="E393" s="12"/>
      <c r="F393" s="3"/>
      <c r="G393" s="3"/>
      <c r="H393" s="3"/>
      <c r="J393" s="3"/>
      <c r="K393" s="3"/>
      <c r="L393" s="4"/>
      <c r="M393" s="3"/>
      <c r="O393" s="58"/>
      <c r="Q393" s="64"/>
      <c r="R393" s="45"/>
      <c r="S393" s="45"/>
      <c r="U393" s="64"/>
      <c r="V393" s="45"/>
      <c r="W393" s="64"/>
      <c r="X393" s="64"/>
      <c r="Y393" s="45"/>
      <c r="Z393" s="45"/>
      <c r="AA393" s="105"/>
      <c r="AB393" s="105"/>
      <c r="AC393" s="105"/>
      <c r="AD393" s="64"/>
      <c r="AG393" s="45"/>
      <c r="AH393" s="64"/>
      <c r="AI393" s="45"/>
      <c r="AJ393" s="105"/>
      <c r="AK393" s="105"/>
      <c r="AL393" s="60"/>
      <c r="AM393" s="60"/>
      <c r="AN393" s="60"/>
      <c r="AO393" s="60"/>
      <c r="AP393" s="60"/>
      <c r="AQ393" s="60"/>
      <c r="AR393" s="60"/>
      <c r="AS393" s="60"/>
      <c r="AT393" s="45"/>
      <c r="AU393" s="45"/>
      <c r="AW393" s="45"/>
      <c r="AX393" s="46">
        <f t="shared" si="16"/>
        <v>0</v>
      </c>
      <c r="AY393" s="46">
        <f t="shared" si="17"/>
        <v>0</v>
      </c>
      <c r="AZ393" s="46">
        <f t="shared" si="18"/>
        <v>0</v>
      </c>
    </row>
    <row r="394" spans="2:52" ht="20.100000000000001" customHeight="1">
      <c r="C394" s="102"/>
      <c r="D394" s="3"/>
      <c r="E394" s="12"/>
      <c r="F394" s="3"/>
      <c r="G394" s="3"/>
      <c r="H394" s="3"/>
      <c r="J394" s="3"/>
      <c r="K394" s="3"/>
      <c r="L394" s="4"/>
      <c r="M394" s="3"/>
      <c r="O394" s="58"/>
      <c r="Q394" s="64"/>
      <c r="R394" s="45"/>
      <c r="S394" s="45"/>
      <c r="U394" s="64"/>
      <c r="V394" s="45"/>
      <c r="W394" s="64"/>
      <c r="X394" s="64"/>
      <c r="Y394" s="45"/>
      <c r="Z394" s="45"/>
      <c r="AA394" s="105"/>
      <c r="AB394" s="105"/>
      <c r="AC394" s="105"/>
      <c r="AD394" s="64"/>
      <c r="AG394" s="45"/>
      <c r="AH394" s="64"/>
      <c r="AI394" s="45"/>
      <c r="AJ394" s="105"/>
      <c r="AK394" s="105"/>
      <c r="AL394" s="60"/>
      <c r="AM394" s="60"/>
      <c r="AN394" s="60"/>
      <c r="AO394" s="60"/>
      <c r="AP394" s="60"/>
      <c r="AQ394" s="60"/>
      <c r="AR394" s="60"/>
      <c r="AS394" s="60"/>
      <c r="AT394" s="45"/>
      <c r="AU394" s="45"/>
      <c r="AW394" s="45"/>
      <c r="AX394" s="46">
        <f t="shared" si="16"/>
        <v>0</v>
      </c>
      <c r="AY394" s="46">
        <f t="shared" si="17"/>
        <v>0</v>
      </c>
      <c r="AZ394" s="46">
        <f t="shared" si="18"/>
        <v>0</v>
      </c>
    </row>
    <row r="395" spans="2:52" ht="20.100000000000001" customHeight="1">
      <c r="C395" s="102"/>
      <c r="D395" s="3"/>
      <c r="E395" s="12"/>
      <c r="F395" s="3"/>
      <c r="G395" s="3"/>
      <c r="H395" s="3"/>
      <c r="J395" s="3"/>
      <c r="K395" s="3"/>
      <c r="L395" s="4"/>
      <c r="M395" s="3"/>
      <c r="O395" s="58"/>
      <c r="Q395" s="64"/>
      <c r="R395" s="45"/>
      <c r="S395" s="45"/>
      <c r="U395" s="64"/>
      <c r="V395" s="45"/>
      <c r="W395" s="64"/>
      <c r="X395" s="64"/>
      <c r="Y395" s="45"/>
      <c r="Z395" s="45"/>
      <c r="AA395" s="105"/>
      <c r="AB395" s="105"/>
      <c r="AC395" s="105"/>
      <c r="AD395" s="64"/>
      <c r="AH395" s="64"/>
      <c r="AI395" s="45"/>
      <c r="AJ395" s="105"/>
      <c r="AK395" s="105"/>
      <c r="AL395" s="60"/>
      <c r="AM395" s="60"/>
      <c r="AN395" s="60"/>
      <c r="AO395" s="60"/>
      <c r="AP395" s="60"/>
      <c r="AQ395" s="60"/>
      <c r="AR395" s="60"/>
      <c r="AS395" s="60"/>
      <c r="AT395" s="45"/>
      <c r="AU395" s="45"/>
      <c r="AW395" s="45"/>
      <c r="AX395" s="46">
        <f t="shared" ref="AX395:AX458" si="19">IFERROR(SUM(Q395:AS395)-SUM(AT395:AU395)+AV395,"-")</f>
        <v>0</v>
      </c>
      <c r="AY395" s="46">
        <f t="shared" ref="AY395:AY458" si="20">IFERROR(SUM(Q395:AS395)-SUM(AT395:AT395),"-")</f>
        <v>0</v>
      </c>
      <c r="AZ395" s="46">
        <f t="shared" ref="AZ395:AZ458" si="21">SUM(Q395:AS395)</f>
        <v>0</v>
      </c>
    </row>
    <row r="396" spans="2:52" ht="20.100000000000001" customHeight="1">
      <c r="C396" s="102"/>
      <c r="D396" s="3"/>
      <c r="E396" s="12"/>
      <c r="F396" s="3"/>
      <c r="G396" s="3"/>
      <c r="H396" s="3"/>
      <c r="J396" s="3"/>
      <c r="K396" s="3"/>
      <c r="L396" s="4"/>
      <c r="M396" s="3"/>
      <c r="O396" s="58"/>
      <c r="Q396" s="64"/>
      <c r="R396" s="45"/>
      <c r="S396" s="45"/>
      <c r="U396" s="64"/>
      <c r="V396" s="45"/>
      <c r="W396" s="64"/>
      <c r="X396" s="64"/>
      <c r="Y396" s="45"/>
      <c r="Z396" s="45"/>
      <c r="AA396" s="105"/>
      <c r="AB396" s="105"/>
      <c r="AC396" s="105"/>
      <c r="AD396" s="64"/>
      <c r="AG396" s="45"/>
      <c r="AH396" s="64"/>
      <c r="AI396" s="45"/>
      <c r="AJ396" s="105"/>
      <c r="AK396" s="105"/>
      <c r="AL396" s="60"/>
      <c r="AM396" s="60"/>
      <c r="AN396" s="60"/>
      <c r="AO396" s="60"/>
      <c r="AP396" s="60"/>
      <c r="AQ396" s="60"/>
      <c r="AR396" s="60"/>
      <c r="AS396" s="60"/>
      <c r="AT396" s="45"/>
      <c r="AU396" s="45"/>
      <c r="AW396" s="45"/>
      <c r="AX396" s="46">
        <f t="shared" si="19"/>
        <v>0</v>
      </c>
      <c r="AY396" s="46">
        <f t="shared" si="20"/>
        <v>0</v>
      </c>
      <c r="AZ396" s="46">
        <f t="shared" si="21"/>
        <v>0</v>
      </c>
    </row>
    <row r="397" spans="2:52" ht="20.100000000000001" customHeight="1">
      <c r="C397" s="102"/>
      <c r="D397" s="3"/>
      <c r="E397" s="67"/>
      <c r="F397" s="3"/>
      <c r="G397" s="3"/>
      <c r="H397" s="3"/>
      <c r="J397" s="3"/>
      <c r="K397" s="3"/>
      <c r="L397" s="4"/>
      <c r="M397" s="3"/>
      <c r="O397" s="58"/>
      <c r="Q397" s="64"/>
      <c r="R397" s="45"/>
      <c r="S397" s="45"/>
      <c r="U397" s="64"/>
      <c r="V397" s="45"/>
      <c r="W397" s="64"/>
      <c r="X397" s="64"/>
      <c r="Y397" s="45"/>
      <c r="Z397" s="45"/>
      <c r="AA397" s="105"/>
      <c r="AB397" s="105"/>
      <c r="AC397" s="105"/>
      <c r="AD397" s="64"/>
      <c r="AG397" s="45"/>
      <c r="AH397" s="64"/>
      <c r="AI397" s="45"/>
      <c r="AJ397" s="105"/>
      <c r="AK397" s="105"/>
      <c r="AL397" s="60"/>
      <c r="AM397" s="60"/>
      <c r="AN397" s="60"/>
      <c r="AO397" s="60"/>
      <c r="AP397" s="60"/>
      <c r="AQ397" s="60"/>
      <c r="AR397" s="60"/>
      <c r="AS397" s="60"/>
      <c r="AT397" s="45"/>
      <c r="AU397" s="45"/>
      <c r="AW397" s="45"/>
      <c r="AX397" s="46">
        <f t="shared" si="19"/>
        <v>0</v>
      </c>
      <c r="AY397" s="46">
        <f t="shared" si="20"/>
        <v>0</v>
      </c>
      <c r="AZ397" s="46">
        <f t="shared" si="21"/>
        <v>0</v>
      </c>
    </row>
    <row r="398" spans="2:52" ht="20.100000000000001" customHeight="1">
      <c r="C398" s="102"/>
      <c r="D398" s="3"/>
      <c r="E398" s="12"/>
      <c r="F398" s="3"/>
      <c r="G398" s="3"/>
      <c r="H398" s="3"/>
      <c r="J398" s="3"/>
      <c r="K398" s="3"/>
      <c r="L398" s="4"/>
      <c r="M398" s="3"/>
      <c r="O398" s="58"/>
      <c r="Q398" s="64"/>
      <c r="R398" s="45"/>
      <c r="S398" s="45"/>
      <c r="U398" s="64"/>
      <c r="V398" s="45"/>
      <c r="W398" s="64"/>
      <c r="X398" s="64"/>
      <c r="Y398" s="45"/>
      <c r="Z398" s="45"/>
      <c r="AA398" s="105"/>
      <c r="AB398" s="105"/>
      <c r="AC398" s="105"/>
      <c r="AD398" s="64"/>
      <c r="AH398" s="64"/>
      <c r="AI398" s="45"/>
      <c r="AJ398" s="105"/>
      <c r="AK398" s="105"/>
      <c r="AL398" s="60"/>
      <c r="AM398" s="60"/>
      <c r="AN398" s="60"/>
      <c r="AO398" s="60"/>
      <c r="AP398" s="60"/>
      <c r="AQ398" s="60"/>
      <c r="AR398" s="60"/>
      <c r="AS398" s="60"/>
      <c r="AT398" s="45"/>
      <c r="AU398" s="45"/>
      <c r="AW398" s="45"/>
      <c r="AX398" s="46">
        <f t="shared" si="19"/>
        <v>0</v>
      </c>
      <c r="AY398" s="46">
        <f t="shared" si="20"/>
        <v>0</v>
      </c>
      <c r="AZ398" s="46">
        <f t="shared" si="21"/>
        <v>0</v>
      </c>
    </row>
    <row r="399" spans="2:52" ht="20.100000000000001" customHeight="1">
      <c r="C399" s="102"/>
      <c r="D399" s="3"/>
      <c r="E399" s="12"/>
      <c r="F399" s="3"/>
      <c r="G399" s="3"/>
      <c r="H399" s="3"/>
      <c r="J399" s="3"/>
      <c r="K399" s="3"/>
      <c r="L399" s="4"/>
      <c r="M399" s="3"/>
      <c r="O399" s="58"/>
      <c r="Q399" s="64"/>
      <c r="R399" s="45"/>
      <c r="S399" s="45"/>
      <c r="U399" s="64"/>
      <c r="V399" s="45"/>
      <c r="W399" s="64"/>
      <c r="X399" s="64"/>
      <c r="Y399" s="45"/>
      <c r="Z399" s="45"/>
      <c r="AA399" s="105"/>
      <c r="AB399" s="105"/>
      <c r="AC399" s="105"/>
      <c r="AD399" s="64"/>
      <c r="AG399" s="45"/>
      <c r="AH399" s="64"/>
      <c r="AI399" s="45"/>
      <c r="AJ399" s="105"/>
      <c r="AK399" s="105"/>
      <c r="AL399" s="60"/>
      <c r="AM399" s="60"/>
      <c r="AN399" s="60"/>
      <c r="AO399" s="60"/>
      <c r="AP399" s="60"/>
      <c r="AQ399" s="60"/>
      <c r="AR399" s="60"/>
      <c r="AS399" s="60"/>
      <c r="AT399" s="45"/>
      <c r="AU399" s="45"/>
      <c r="AW399" s="45"/>
      <c r="AX399" s="46">
        <f t="shared" si="19"/>
        <v>0</v>
      </c>
      <c r="AY399" s="46">
        <f t="shared" si="20"/>
        <v>0</v>
      </c>
      <c r="AZ399" s="46">
        <f t="shared" si="21"/>
        <v>0</v>
      </c>
    </row>
    <row r="400" spans="2:52" ht="20.100000000000001" customHeight="1">
      <c r="C400" s="102"/>
      <c r="D400" s="3"/>
      <c r="E400" s="12"/>
      <c r="F400" s="3"/>
      <c r="G400" s="3"/>
      <c r="H400" s="3"/>
      <c r="J400" s="3"/>
      <c r="K400" s="3"/>
      <c r="L400" s="4"/>
      <c r="M400" s="3"/>
      <c r="O400" s="58"/>
      <c r="Q400" s="64"/>
      <c r="R400" s="45"/>
      <c r="S400" s="45"/>
      <c r="U400" s="64"/>
      <c r="V400" s="45"/>
      <c r="W400" s="64"/>
      <c r="X400" s="64"/>
      <c r="Y400" s="45"/>
      <c r="Z400" s="45"/>
      <c r="AA400" s="105"/>
      <c r="AB400" s="105"/>
      <c r="AC400" s="105"/>
      <c r="AD400" s="64"/>
      <c r="AH400" s="64"/>
      <c r="AI400" s="45"/>
      <c r="AJ400" s="105"/>
      <c r="AK400" s="105"/>
      <c r="AL400" s="60"/>
      <c r="AM400" s="60"/>
      <c r="AN400" s="60"/>
      <c r="AO400" s="60"/>
      <c r="AP400" s="60"/>
      <c r="AQ400" s="60"/>
      <c r="AR400" s="60"/>
      <c r="AS400" s="60"/>
      <c r="AT400" s="45"/>
      <c r="AU400" s="45"/>
      <c r="AW400" s="45"/>
      <c r="AX400" s="46">
        <f t="shared" si="19"/>
        <v>0</v>
      </c>
      <c r="AY400" s="46">
        <f t="shared" si="20"/>
        <v>0</v>
      </c>
      <c r="AZ400" s="46">
        <f t="shared" si="21"/>
        <v>0</v>
      </c>
    </row>
    <row r="401" spans="3:52" ht="20.100000000000001" customHeight="1">
      <c r="C401" s="102"/>
      <c r="D401" s="3"/>
      <c r="E401" s="12"/>
      <c r="F401" s="3"/>
      <c r="G401" s="3"/>
      <c r="H401" s="3"/>
      <c r="J401" s="3"/>
      <c r="K401" s="3"/>
      <c r="L401" s="4"/>
      <c r="M401" s="3"/>
      <c r="O401" s="58"/>
      <c r="Q401" s="64"/>
      <c r="R401" s="45"/>
      <c r="S401" s="45"/>
      <c r="U401" s="64"/>
      <c r="V401" s="45"/>
      <c r="W401" s="64"/>
      <c r="X401" s="64"/>
      <c r="Y401" s="45"/>
      <c r="Z401" s="45"/>
      <c r="AA401" s="105"/>
      <c r="AB401" s="105"/>
      <c r="AC401" s="105"/>
      <c r="AD401" s="64"/>
      <c r="AH401" s="64"/>
      <c r="AI401" s="45"/>
      <c r="AJ401" s="105"/>
      <c r="AK401" s="105"/>
      <c r="AL401" s="60"/>
      <c r="AM401" s="60"/>
      <c r="AN401" s="60"/>
      <c r="AO401" s="60"/>
      <c r="AP401" s="60"/>
      <c r="AQ401" s="60"/>
      <c r="AR401" s="60"/>
      <c r="AS401" s="60"/>
      <c r="AT401" s="45"/>
      <c r="AU401" s="45"/>
      <c r="AW401" s="45"/>
      <c r="AX401" s="46">
        <f t="shared" si="19"/>
        <v>0</v>
      </c>
      <c r="AY401" s="46">
        <f t="shared" si="20"/>
        <v>0</v>
      </c>
      <c r="AZ401" s="46">
        <f t="shared" si="21"/>
        <v>0</v>
      </c>
    </row>
    <row r="402" spans="3:52" ht="20.100000000000001" customHeight="1">
      <c r="C402" s="102"/>
      <c r="D402" s="3"/>
      <c r="E402" s="12"/>
      <c r="F402" s="3"/>
      <c r="G402" s="3"/>
      <c r="H402" s="3"/>
      <c r="J402" s="3"/>
      <c r="K402" s="3"/>
      <c r="L402" s="4"/>
      <c r="M402" s="3"/>
      <c r="O402" s="58"/>
      <c r="Q402" s="64"/>
      <c r="R402" s="45"/>
      <c r="S402" s="45"/>
      <c r="U402" s="64"/>
      <c r="V402" s="45"/>
      <c r="W402" s="64"/>
      <c r="X402" s="64"/>
      <c r="Y402" s="45"/>
      <c r="Z402" s="45"/>
      <c r="AA402" s="105"/>
      <c r="AB402" s="105"/>
      <c r="AC402" s="105"/>
      <c r="AD402" s="64"/>
      <c r="AG402" s="45"/>
      <c r="AH402" s="64"/>
      <c r="AI402" s="45"/>
      <c r="AJ402" s="105"/>
      <c r="AK402" s="105"/>
      <c r="AL402" s="60"/>
      <c r="AM402" s="60"/>
      <c r="AN402" s="60"/>
      <c r="AO402" s="60"/>
      <c r="AP402" s="60"/>
      <c r="AQ402" s="60"/>
      <c r="AR402" s="60"/>
      <c r="AS402" s="60"/>
      <c r="AT402" s="45"/>
      <c r="AU402" s="45"/>
      <c r="AW402" s="45"/>
      <c r="AX402" s="46">
        <f t="shared" si="19"/>
        <v>0</v>
      </c>
      <c r="AY402" s="46">
        <f t="shared" si="20"/>
        <v>0</v>
      </c>
      <c r="AZ402" s="46">
        <f t="shared" si="21"/>
        <v>0</v>
      </c>
    </row>
    <row r="403" spans="3:52" ht="20.100000000000001" customHeight="1">
      <c r="C403" s="102"/>
      <c r="D403" s="3"/>
      <c r="E403" s="12"/>
      <c r="F403" s="3"/>
      <c r="G403" s="3"/>
      <c r="H403" s="3"/>
      <c r="J403" s="3"/>
      <c r="K403" s="3"/>
      <c r="L403" s="4"/>
      <c r="M403" s="3"/>
      <c r="O403" s="58"/>
      <c r="Q403" s="64"/>
      <c r="R403" s="45"/>
      <c r="S403" s="45"/>
      <c r="U403" s="64"/>
      <c r="V403" s="45"/>
      <c r="W403" s="64"/>
      <c r="X403" s="64"/>
      <c r="Y403" s="45"/>
      <c r="Z403" s="45"/>
      <c r="AA403" s="105"/>
      <c r="AB403" s="105"/>
      <c r="AC403" s="105"/>
      <c r="AD403" s="64"/>
      <c r="AG403" s="45"/>
      <c r="AH403" s="64"/>
      <c r="AI403" s="45"/>
      <c r="AJ403" s="105"/>
      <c r="AK403" s="105"/>
      <c r="AL403" s="60"/>
      <c r="AM403" s="60"/>
      <c r="AN403" s="60"/>
      <c r="AO403" s="60"/>
      <c r="AP403" s="60"/>
      <c r="AQ403" s="60"/>
      <c r="AR403" s="60"/>
      <c r="AS403" s="60"/>
      <c r="AT403" s="45"/>
      <c r="AU403" s="45"/>
      <c r="AW403" s="45"/>
      <c r="AX403" s="46">
        <f t="shared" si="19"/>
        <v>0</v>
      </c>
      <c r="AY403" s="46">
        <f t="shared" si="20"/>
        <v>0</v>
      </c>
      <c r="AZ403" s="46">
        <f t="shared" si="21"/>
        <v>0</v>
      </c>
    </row>
    <row r="404" spans="3:52" ht="20.100000000000001" customHeight="1">
      <c r="C404" s="102"/>
      <c r="D404" s="3"/>
      <c r="E404" s="12"/>
      <c r="F404" s="3"/>
      <c r="G404" s="3"/>
      <c r="H404" s="3"/>
      <c r="J404" s="3"/>
      <c r="K404" s="3"/>
      <c r="L404" s="4"/>
      <c r="M404" s="3"/>
      <c r="O404" s="58"/>
      <c r="Q404" s="64"/>
      <c r="R404" s="45"/>
      <c r="S404" s="45"/>
      <c r="U404" s="64"/>
      <c r="V404" s="45"/>
      <c r="W404" s="64"/>
      <c r="X404" s="64"/>
      <c r="Y404" s="45"/>
      <c r="Z404" s="45"/>
      <c r="AA404" s="105"/>
      <c r="AB404" s="105"/>
      <c r="AC404" s="105"/>
      <c r="AD404" s="64"/>
      <c r="AG404" s="45"/>
      <c r="AH404" s="64"/>
      <c r="AI404" s="45"/>
      <c r="AJ404" s="105"/>
      <c r="AK404" s="105"/>
      <c r="AL404" s="60"/>
      <c r="AM404" s="60"/>
      <c r="AN404" s="60"/>
      <c r="AO404" s="60"/>
      <c r="AP404" s="60"/>
      <c r="AQ404" s="60"/>
      <c r="AR404" s="60"/>
      <c r="AS404" s="60"/>
      <c r="AT404" s="45"/>
      <c r="AU404" s="45"/>
      <c r="AW404" s="45"/>
      <c r="AX404" s="46">
        <f t="shared" si="19"/>
        <v>0</v>
      </c>
      <c r="AY404" s="46">
        <f t="shared" si="20"/>
        <v>0</v>
      </c>
      <c r="AZ404" s="46">
        <f t="shared" si="21"/>
        <v>0</v>
      </c>
    </row>
    <row r="405" spans="3:52" ht="20.100000000000001" customHeight="1">
      <c r="C405" s="102"/>
      <c r="D405" s="3"/>
      <c r="E405" s="12"/>
      <c r="F405" s="3"/>
      <c r="G405" s="3"/>
      <c r="H405" s="3"/>
      <c r="J405" s="3"/>
      <c r="K405" s="3"/>
      <c r="L405" s="4"/>
      <c r="M405" s="3"/>
      <c r="O405" s="58"/>
      <c r="Q405" s="64"/>
      <c r="R405" s="45"/>
      <c r="S405" s="45"/>
      <c r="U405" s="64"/>
      <c r="V405" s="45"/>
      <c r="W405" s="64"/>
      <c r="X405" s="64"/>
      <c r="Y405" s="45"/>
      <c r="Z405" s="45"/>
      <c r="AA405" s="105"/>
      <c r="AB405" s="105"/>
      <c r="AC405" s="105"/>
      <c r="AD405" s="64"/>
      <c r="AH405" s="64"/>
      <c r="AI405" s="45"/>
      <c r="AJ405" s="105"/>
      <c r="AK405" s="105"/>
      <c r="AL405" s="60"/>
      <c r="AM405" s="60"/>
      <c r="AN405" s="60"/>
      <c r="AO405" s="60"/>
      <c r="AP405" s="60"/>
      <c r="AQ405" s="60"/>
      <c r="AR405" s="60"/>
      <c r="AS405" s="60"/>
      <c r="AT405" s="45"/>
      <c r="AU405" s="45"/>
      <c r="AW405" s="45"/>
      <c r="AX405" s="46">
        <f t="shared" si="19"/>
        <v>0</v>
      </c>
      <c r="AY405" s="46">
        <f t="shared" si="20"/>
        <v>0</v>
      </c>
      <c r="AZ405" s="46">
        <f t="shared" si="21"/>
        <v>0</v>
      </c>
    </row>
    <row r="406" spans="3:52" ht="20.100000000000001" customHeight="1">
      <c r="C406" s="102"/>
      <c r="D406" s="3"/>
      <c r="E406" s="12"/>
      <c r="F406" s="3"/>
      <c r="G406" s="3"/>
      <c r="H406" s="3"/>
      <c r="J406" s="3"/>
      <c r="K406" s="3"/>
      <c r="L406" s="4"/>
      <c r="M406" s="3"/>
      <c r="O406" s="58"/>
      <c r="Q406" s="64"/>
      <c r="R406" s="45"/>
      <c r="S406" s="45"/>
      <c r="U406" s="64"/>
      <c r="V406" s="45"/>
      <c r="W406" s="64"/>
      <c r="X406" s="64"/>
      <c r="Y406" s="45"/>
      <c r="Z406" s="45"/>
      <c r="AA406" s="105"/>
      <c r="AB406" s="105"/>
      <c r="AC406" s="105"/>
      <c r="AD406" s="64"/>
      <c r="AH406" s="64"/>
      <c r="AI406" s="45"/>
      <c r="AJ406" s="105"/>
      <c r="AK406" s="105"/>
      <c r="AL406" s="60"/>
      <c r="AM406" s="60"/>
      <c r="AN406" s="60"/>
      <c r="AO406" s="60"/>
      <c r="AP406" s="60"/>
      <c r="AQ406" s="60"/>
      <c r="AR406" s="60"/>
      <c r="AS406" s="60"/>
      <c r="AT406" s="45"/>
      <c r="AU406" s="45"/>
      <c r="AW406" s="45"/>
      <c r="AX406" s="46">
        <f t="shared" si="19"/>
        <v>0</v>
      </c>
      <c r="AY406" s="46">
        <f t="shared" si="20"/>
        <v>0</v>
      </c>
      <c r="AZ406" s="46">
        <f t="shared" si="21"/>
        <v>0</v>
      </c>
    </row>
    <row r="407" spans="3:52" ht="20.100000000000001" customHeight="1">
      <c r="C407" s="102"/>
      <c r="D407" s="3"/>
      <c r="E407" s="12"/>
      <c r="F407" s="3"/>
      <c r="G407" s="3"/>
      <c r="H407" s="3"/>
      <c r="J407" s="3"/>
      <c r="K407" s="3"/>
      <c r="L407" s="4"/>
      <c r="M407" s="3"/>
      <c r="O407" s="58"/>
      <c r="Q407" s="64"/>
      <c r="R407" s="45"/>
      <c r="S407" s="45"/>
      <c r="U407" s="64"/>
      <c r="V407" s="45"/>
      <c r="W407" s="64"/>
      <c r="X407" s="64"/>
      <c r="Y407" s="45"/>
      <c r="Z407" s="45"/>
      <c r="AA407" s="105"/>
      <c r="AB407" s="105"/>
      <c r="AC407" s="105"/>
      <c r="AD407" s="64"/>
      <c r="AG407" s="45"/>
      <c r="AH407" s="64"/>
      <c r="AI407" s="45"/>
      <c r="AJ407" s="105"/>
      <c r="AK407" s="105"/>
      <c r="AL407" s="60"/>
      <c r="AM407" s="60"/>
      <c r="AN407" s="60"/>
      <c r="AO407" s="60"/>
      <c r="AP407" s="60"/>
      <c r="AQ407" s="60"/>
      <c r="AR407" s="60"/>
      <c r="AS407" s="60"/>
      <c r="AT407" s="45"/>
      <c r="AU407" s="45"/>
      <c r="AW407" s="45"/>
      <c r="AX407" s="46">
        <f t="shared" si="19"/>
        <v>0</v>
      </c>
      <c r="AY407" s="46">
        <f t="shared" si="20"/>
        <v>0</v>
      </c>
      <c r="AZ407" s="46">
        <f t="shared" si="21"/>
        <v>0</v>
      </c>
    </row>
    <row r="408" spans="3:52" ht="20.100000000000001" customHeight="1">
      <c r="C408" s="102"/>
      <c r="D408" s="3"/>
      <c r="E408" s="12"/>
      <c r="F408" s="3"/>
      <c r="G408" s="3"/>
      <c r="H408" s="3"/>
      <c r="J408" s="3"/>
      <c r="K408" s="3"/>
      <c r="L408" s="4"/>
      <c r="M408" s="3"/>
      <c r="O408" s="58"/>
      <c r="Q408" s="64"/>
      <c r="R408" s="45"/>
      <c r="S408" s="45"/>
      <c r="U408" s="64"/>
      <c r="V408" s="45"/>
      <c r="W408" s="64"/>
      <c r="X408" s="64"/>
      <c r="Y408" s="45"/>
      <c r="Z408" s="45"/>
      <c r="AA408" s="105"/>
      <c r="AB408" s="105"/>
      <c r="AC408" s="105"/>
      <c r="AD408" s="64"/>
      <c r="AH408" s="64"/>
      <c r="AI408" s="45"/>
      <c r="AJ408" s="105"/>
      <c r="AK408" s="105"/>
      <c r="AL408" s="60"/>
      <c r="AM408" s="60"/>
      <c r="AN408" s="60"/>
      <c r="AO408" s="60"/>
      <c r="AP408" s="60"/>
      <c r="AQ408" s="60"/>
      <c r="AR408" s="60"/>
      <c r="AS408" s="60"/>
      <c r="AT408" s="45"/>
      <c r="AU408" s="45"/>
      <c r="AW408" s="45"/>
      <c r="AX408" s="46">
        <f t="shared" si="19"/>
        <v>0</v>
      </c>
      <c r="AY408" s="46">
        <f t="shared" si="20"/>
        <v>0</v>
      </c>
      <c r="AZ408" s="46">
        <f t="shared" si="21"/>
        <v>0</v>
      </c>
    </row>
    <row r="409" spans="3:52" ht="20.100000000000001" customHeight="1">
      <c r="C409" s="102"/>
      <c r="D409" s="3"/>
      <c r="E409" s="12"/>
      <c r="F409" s="3"/>
      <c r="G409" s="3"/>
      <c r="H409" s="3"/>
      <c r="J409" s="3"/>
      <c r="K409" s="3"/>
      <c r="L409" s="4"/>
      <c r="M409" s="3"/>
      <c r="O409" s="58"/>
      <c r="Q409" s="64"/>
      <c r="R409" s="45"/>
      <c r="S409" s="45"/>
      <c r="U409" s="64"/>
      <c r="V409" s="45"/>
      <c r="W409" s="64"/>
      <c r="X409" s="64"/>
      <c r="Y409" s="45"/>
      <c r="Z409" s="45"/>
      <c r="AA409" s="105"/>
      <c r="AB409" s="105"/>
      <c r="AC409" s="105"/>
      <c r="AD409" s="64"/>
      <c r="AH409" s="64"/>
      <c r="AI409" s="45"/>
      <c r="AJ409" s="105"/>
      <c r="AK409" s="105"/>
      <c r="AL409" s="60"/>
      <c r="AM409" s="60"/>
      <c r="AN409" s="60"/>
      <c r="AO409" s="60"/>
      <c r="AP409" s="60"/>
      <c r="AQ409" s="60"/>
      <c r="AR409" s="60"/>
      <c r="AS409" s="60"/>
      <c r="AT409" s="45"/>
      <c r="AU409" s="45"/>
      <c r="AW409" s="45"/>
      <c r="AX409" s="46">
        <f t="shared" si="19"/>
        <v>0</v>
      </c>
      <c r="AY409" s="46">
        <f t="shared" si="20"/>
        <v>0</v>
      </c>
      <c r="AZ409" s="46">
        <f t="shared" si="21"/>
        <v>0</v>
      </c>
    </row>
    <row r="410" spans="3:52" ht="20.100000000000001" customHeight="1">
      <c r="C410" s="102"/>
      <c r="D410" s="3"/>
      <c r="E410" s="12"/>
      <c r="F410" s="3"/>
      <c r="G410" s="3"/>
      <c r="H410" s="3"/>
      <c r="J410" s="3"/>
      <c r="K410" s="3"/>
      <c r="L410" s="4"/>
      <c r="M410" s="3"/>
      <c r="O410" s="58"/>
      <c r="Q410" s="64"/>
      <c r="R410" s="45"/>
      <c r="S410" s="45"/>
      <c r="U410" s="64"/>
      <c r="V410" s="45"/>
      <c r="W410" s="64"/>
      <c r="X410" s="64"/>
      <c r="Y410" s="45"/>
      <c r="Z410" s="45"/>
      <c r="AA410" s="105"/>
      <c r="AB410" s="105"/>
      <c r="AC410" s="105"/>
      <c r="AD410" s="64"/>
      <c r="AG410" s="45"/>
      <c r="AH410" s="64"/>
      <c r="AI410" s="45"/>
      <c r="AJ410" s="105"/>
      <c r="AK410" s="105"/>
      <c r="AL410" s="60"/>
      <c r="AM410" s="60"/>
      <c r="AN410" s="60"/>
      <c r="AO410" s="60"/>
      <c r="AP410" s="60"/>
      <c r="AQ410" s="60"/>
      <c r="AR410" s="60"/>
      <c r="AS410" s="60"/>
      <c r="AT410" s="45"/>
      <c r="AU410" s="45"/>
      <c r="AW410" s="45"/>
      <c r="AX410" s="46">
        <f t="shared" si="19"/>
        <v>0</v>
      </c>
      <c r="AY410" s="46">
        <f t="shared" si="20"/>
        <v>0</v>
      </c>
      <c r="AZ410" s="46">
        <f t="shared" si="21"/>
        <v>0</v>
      </c>
    </row>
    <row r="411" spans="3:52" ht="20.100000000000001" customHeight="1">
      <c r="C411" s="102"/>
      <c r="D411" s="3"/>
      <c r="E411" s="12"/>
      <c r="F411" s="3"/>
      <c r="G411" s="3"/>
      <c r="H411" s="3"/>
      <c r="J411" s="3"/>
      <c r="K411" s="3"/>
      <c r="L411" s="4"/>
      <c r="M411" s="3"/>
      <c r="O411" s="58"/>
      <c r="Q411" s="64"/>
      <c r="R411" s="45"/>
      <c r="S411" s="45"/>
      <c r="U411" s="64"/>
      <c r="V411" s="45"/>
      <c r="W411" s="64"/>
      <c r="X411" s="64"/>
      <c r="Y411" s="45"/>
      <c r="Z411" s="45"/>
      <c r="AA411" s="105"/>
      <c r="AB411" s="105"/>
      <c r="AC411" s="105"/>
      <c r="AD411" s="64"/>
      <c r="AG411" s="45"/>
      <c r="AH411" s="64"/>
      <c r="AI411" s="45"/>
      <c r="AJ411" s="105"/>
      <c r="AK411" s="105"/>
      <c r="AL411" s="60"/>
      <c r="AM411" s="60"/>
      <c r="AN411" s="60"/>
      <c r="AO411" s="60"/>
      <c r="AP411" s="60"/>
      <c r="AQ411" s="60"/>
      <c r="AR411" s="60"/>
      <c r="AS411" s="60"/>
      <c r="AT411" s="45"/>
      <c r="AU411" s="45"/>
      <c r="AW411" s="45"/>
      <c r="AX411" s="46">
        <f t="shared" si="19"/>
        <v>0</v>
      </c>
      <c r="AY411" s="46">
        <f t="shared" si="20"/>
        <v>0</v>
      </c>
      <c r="AZ411" s="46">
        <f t="shared" si="21"/>
        <v>0</v>
      </c>
    </row>
    <row r="412" spans="3:52" ht="20.100000000000001" customHeight="1">
      <c r="C412" s="102"/>
      <c r="D412" s="3"/>
      <c r="E412" s="12"/>
      <c r="F412" s="3"/>
      <c r="G412" s="3"/>
      <c r="H412" s="3"/>
      <c r="J412" s="3"/>
      <c r="K412" s="3"/>
      <c r="L412" s="4"/>
      <c r="M412" s="3"/>
      <c r="O412" s="58"/>
      <c r="Q412" s="64"/>
      <c r="R412" s="45"/>
      <c r="S412" s="45"/>
      <c r="U412" s="64"/>
      <c r="V412" s="45"/>
      <c r="W412" s="64"/>
      <c r="X412" s="64"/>
      <c r="Y412" s="45"/>
      <c r="Z412" s="45"/>
      <c r="AA412" s="105"/>
      <c r="AB412" s="105"/>
      <c r="AC412" s="105"/>
      <c r="AD412" s="64"/>
      <c r="AG412" s="45"/>
      <c r="AH412" s="64"/>
      <c r="AI412" s="45"/>
      <c r="AJ412" s="105"/>
      <c r="AK412" s="105"/>
      <c r="AL412" s="60"/>
      <c r="AM412" s="60"/>
      <c r="AN412" s="60"/>
      <c r="AO412" s="60"/>
      <c r="AP412" s="60"/>
      <c r="AQ412" s="60"/>
      <c r="AR412" s="60"/>
      <c r="AS412" s="60"/>
      <c r="AT412" s="45"/>
      <c r="AU412" s="45"/>
      <c r="AW412" s="45"/>
      <c r="AX412" s="46">
        <f t="shared" si="19"/>
        <v>0</v>
      </c>
      <c r="AY412" s="46">
        <f t="shared" si="20"/>
        <v>0</v>
      </c>
      <c r="AZ412" s="46">
        <f t="shared" si="21"/>
        <v>0</v>
      </c>
    </row>
    <row r="413" spans="3:52" ht="20.100000000000001" customHeight="1">
      <c r="C413" s="102"/>
      <c r="D413" s="3"/>
      <c r="E413" s="12"/>
      <c r="F413" s="3"/>
      <c r="G413" s="3"/>
      <c r="H413" s="3"/>
      <c r="J413" s="3"/>
      <c r="K413" s="3"/>
      <c r="L413" s="4"/>
      <c r="M413" s="3"/>
      <c r="O413" s="58"/>
      <c r="Q413" s="64"/>
      <c r="R413" s="45"/>
      <c r="S413" s="45"/>
      <c r="U413" s="64"/>
      <c r="V413" s="45"/>
      <c r="W413" s="64"/>
      <c r="X413" s="64"/>
      <c r="Y413" s="45"/>
      <c r="Z413" s="45"/>
      <c r="AA413" s="105"/>
      <c r="AB413" s="105"/>
      <c r="AC413" s="105"/>
      <c r="AD413" s="64"/>
      <c r="AG413" s="45"/>
      <c r="AH413" s="64"/>
      <c r="AI413" s="45"/>
      <c r="AJ413" s="105"/>
      <c r="AK413" s="105"/>
      <c r="AL413" s="60"/>
      <c r="AM413" s="60"/>
      <c r="AN413" s="60"/>
      <c r="AO413" s="60"/>
      <c r="AP413" s="60"/>
      <c r="AQ413" s="60"/>
      <c r="AR413" s="60"/>
      <c r="AS413" s="60"/>
      <c r="AT413" s="45"/>
      <c r="AU413" s="45"/>
      <c r="AW413" s="45"/>
      <c r="AX413" s="46">
        <f t="shared" si="19"/>
        <v>0</v>
      </c>
      <c r="AY413" s="46">
        <f t="shared" si="20"/>
        <v>0</v>
      </c>
      <c r="AZ413" s="46">
        <f t="shared" si="21"/>
        <v>0</v>
      </c>
    </row>
    <row r="414" spans="3:52" ht="20.100000000000001" customHeight="1">
      <c r="C414" s="102"/>
      <c r="D414" s="3"/>
      <c r="E414" s="12"/>
      <c r="F414" s="3"/>
      <c r="G414" s="3"/>
      <c r="H414" s="3"/>
      <c r="J414" s="3"/>
      <c r="K414" s="3"/>
      <c r="L414" s="4"/>
      <c r="M414" s="3"/>
      <c r="O414" s="58"/>
      <c r="Q414" s="64"/>
      <c r="R414" s="45"/>
      <c r="S414" s="45"/>
      <c r="U414" s="64"/>
      <c r="V414" s="45"/>
      <c r="W414" s="64"/>
      <c r="X414" s="64"/>
      <c r="Y414" s="45"/>
      <c r="Z414" s="45"/>
      <c r="AA414" s="105"/>
      <c r="AB414" s="105"/>
      <c r="AC414" s="105"/>
      <c r="AD414" s="64"/>
      <c r="AG414" s="45"/>
      <c r="AH414" s="64"/>
      <c r="AI414" s="45"/>
      <c r="AJ414" s="105"/>
      <c r="AK414" s="105"/>
      <c r="AL414" s="60"/>
      <c r="AM414" s="60"/>
      <c r="AN414" s="60"/>
      <c r="AO414" s="60"/>
      <c r="AP414" s="60"/>
      <c r="AQ414" s="60"/>
      <c r="AR414" s="60"/>
      <c r="AS414" s="60"/>
      <c r="AT414" s="45"/>
      <c r="AU414" s="45"/>
      <c r="AW414" s="45"/>
      <c r="AX414" s="46">
        <f t="shared" si="19"/>
        <v>0</v>
      </c>
      <c r="AY414" s="46">
        <f t="shared" si="20"/>
        <v>0</v>
      </c>
      <c r="AZ414" s="46">
        <f t="shared" si="21"/>
        <v>0</v>
      </c>
    </row>
    <row r="415" spans="3:52" ht="20.100000000000001" customHeight="1">
      <c r="C415" s="102"/>
      <c r="D415" s="3"/>
      <c r="E415" s="12"/>
      <c r="F415" s="3"/>
      <c r="G415" s="3"/>
      <c r="H415" s="3"/>
      <c r="J415" s="3"/>
      <c r="K415" s="3"/>
      <c r="L415" s="4"/>
      <c r="M415" s="3"/>
      <c r="O415" s="58"/>
      <c r="Q415" s="64"/>
      <c r="R415" s="45"/>
      <c r="S415" s="45"/>
      <c r="U415" s="64"/>
      <c r="V415" s="45"/>
      <c r="W415" s="64"/>
      <c r="X415" s="64"/>
      <c r="Y415" s="45"/>
      <c r="Z415" s="45"/>
      <c r="AA415" s="105"/>
      <c r="AB415" s="105"/>
      <c r="AC415" s="105"/>
      <c r="AD415" s="64"/>
      <c r="AG415" s="45"/>
      <c r="AH415" s="64"/>
      <c r="AI415" s="45"/>
      <c r="AJ415" s="105"/>
      <c r="AK415" s="105"/>
      <c r="AL415" s="60"/>
      <c r="AM415" s="60"/>
      <c r="AN415" s="60"/>
      <c r="AO415" s="60"/>
      <c r="AP415" s="60"/>
      <c r="AQ415" s="60"/>
      <c r="AR415" s="60"/>
      <c r="AS415" s="60"/>
      <c r="AT415" s="45"/>
      <c r="AU415" s="45"/>
      <c r="AW415" s="45"/>
      <c r="AX415" s="46">
        <f t="shared" si="19"/>
        <v>0</v>
      </c>
      <c r="AY415" s="46">
        <f t="shared" si="20"/>
        <v>0</v>
      </c>
      <c r="AZ415" s="46">
        <f t="shared" si="21"/>
        <v>0</v>
      </c>
    </row>
    <row r="416" spans="3:52" ht="20.100000000000001" customHeight="1">
      <c r="C416" s="102"/>
      <c r="D416" s="3"/>
      <c r="E416" s="12"/>
      <c r="F416" s="3"/>
      <c r="G416" s="3"/>
      <c r="H416" s="3"/>
      <c r="J416" s="3"/>
      <c r="K416" s="3"/>
      <c r="L416" s="4"/>
      <c r="M416" s="3"/>
      <c r="O416" s="58"/>
      <c r="Q416" s="64"/>
      <c r="R416" s="45"/>
      <c r="S416" s="45"/>
      <c r="U416" s="64"/>
      <c r="V416" s="45"/>
      <c r="W416" s="64"/>
      <c r="X416" s="64"/>
      <c r="Y416" s="45"/>
      <c r="Z416" s="45"/>
      <c r="AA416" s="105"/>
      <c r="AB416" s="105"/>
      <c r="AC416" s="105"/>
      <c r="AD416" s="64"/>
      <c r="AG416" s="45"/>
      <c r="AH416" s="64"/>
      <c r="AI416" s="45"/>
      <c r="AJ416" s="105"/>
      <c r="AK416" s="105"/>
      <c r="AL416" s="60"/>
      <c r="AM416" s="60"/>
      <c r="AN416" s="60"/>
      <c r="AO416" s="60"/>
      <c r="AP416" s="60"/>
      <c r="AQ416" s="60"/>
      <c r="AR416" s="60"/>
      <c r="AS416" s="60"/>
      <c r="AT416" s="45"/>
      <c r="AU416" s="45"/>
      <c r="AW416" s="45"/>
      <c r="AX416" s="46">
        <f t="shared" si="19"/>
        <v>0</v>
      </c>
      <c r="AY416" s="46">
        <f t="shared" si="20"/>
        <v>0</v>
      </c>
      <c r="AZ416" s="46">
        <f t="shared" si="21"/>
        <v>0</v>
      </c>
    </row>
    <row r="417" spans="2:52" ht="20.100000000000001" customHeight="1">
      <c r="C417" s="102"/>
      <c r="D417" s="3"/>
      <c r="E417" s="12"/>
      <c r="F417" s="3"/>
      <c r="G417" s="3"/>
      <c r="H417" s="3"/>
      <c r="J417" s="3"/>
      <c r="K417" s="3"/>
      <c r="L417" s="4"/>
      <c r="M417" s="3"/>
      <c r="O417" s="58"/>
      <c r="Q417" s="64"/>
      <c r="R417" s="45"/>
      <c r="S417" s="45"/>
      <c r="U417" s="64"/>
      <c r="V417" s="45"/>
      <c r="W417" s="64"/>
      <c r="X417" s="64"/>
      <c r="Y417" s="45"/>
      <c r="Z417" s="45"/>
      <c r="AA417" s="105"/>
      <c r="AB417" s="105"/>
      <c r="AC417" s="105"/>
      <c r="AD417" s="64"/>
      <c r="AG417" s="45"/>
      <c r="AH417" s="64"/>
      <c r="AI417" s="45"/>
      <c r="AJ417" s="105"/>
      <c r="AK417" s="105"/>
      <c r="AL417" s="60"/>
      <c r="AM417" s="60"/>
      <c r="AN417" s="60"/>
      <c r="AO417" s="60"/>
      <c r="AP417" s="60"/>
      <c r="AQ417" s="60"/>
      <c r="AR417" s="60"/>
      <c r="AS417" s="60"/>
      <c r="AT417" s="45"/>
      <c r="AU417" s="45"/>
      <c r="AW417" s="45"/>
      <c r="AX417" s="46">
        <f t="shared" si="19"/>
        <v>0</v>
      </c>
      <c r="AY417" s="46">
        <f t="shared" si="20"/>
        <v>0</v>
      </c>
      <c r="AZ417" s="46">
        <f t="shared" si="21"/>
        <v>0</v>
      </c>
    </row>
    <row r="418" spans="2:52" ht="20.100000000000001" customHeight="1">
      <c r="C418" s="102"/>
      <c r="D418" s="3"/>
      <c r="E418" s="12"/>
      <c r="F418" s="3"/>
      <c r="G418" s="3"/>
      <c r="H418" s="3"/>
      <c r="J418" s="3"/>
      <c r="K418" s="3"/>
      <c r="L418" s="4"/>
      <c r="M418" s="3"/>
      <c r="O418" s="58"/>
      <c r="Q418" s="64"/>
      <c r="R418" s="45"/>
      <c r="S418" s="45"/>
      <c r="U418" s="64"/>
      <c r="V418" s="45"/>
      <c r="W418" s="64"/>
      <c r="X418" s="64"/>
      <c r="Y418" s="45"/>
      <c r="Z418" s="45"/>
      <c r="AA418" s="105"/>
      <c r="AB418" s="105"/>
      <c r="AC418" s="105"/>
      <c r="AD418" s="64"/>
      <c r="AG418" s="45"/>
      <c r="AH418" s="64"/>
      <c r="AI418" s="45"/>
      <c r="AJ418" s="105"/>
      <c r="AK418" s="105"/>
      <c r="AL418" s="60"/>
      <c r="AM418" s="60"/>
      <c r="AN418" s="60"/>
      <c r="AO418" s="60"/>
      <c r="AP418" s="60"/>
      <c r="AQ418" s="60"/>
      <c r="AR418" s="60"/>
      <c r="AS418" s="60"/>
      <c r="AT418" s="45"/>
      <c r="AU418" s="45"/>
      <c r="AW418" s="45"/>
      <c r="AX418" s="46">
        <f t="shared" si="19"/>
        <v>0</v>
      </c>
      <c r="AY418" s="46">
        <f t="shared" si="20"/>
        <v>0</v>
      </c>
      <c r="AZ418" s="46">
        <f t="shared" si="21"/>
        <v>0</v>
      </c>
    </row>
    <row r="419" spans="2:52" ht="20.100000000000001" customHeight="1">
      <c r="C419" s="102"/>
      <c r="D419" s="3"/>
      <c r="E419" s="12"/>
      <c r="F419" s="3"/>
      <c r="G419" s="3"/>
      <c r="H419" s="3"/>
      <c r="J419" s="3"/>
      <c r="K419" s="3"/>
      <c r="L419" s="4"/>
      <c r="M419" s="3"/>
      <c r="O419" s="58"/>
      <c r="Q419" s="64"/>
      <c r="R419" s="45"/>
      <c r="S419" s="45"/>
      <c r="U419" s="64"/>
      <c r="V419" s="45"/>
      <c r="W419" s="64"/>
      <c r="X419" s="64"/>
      <c r="Y419" s="45"/>
      <c r="Z419" s="45"/>
      <c r="AA419" s="105"/>
      <c r="AB419" s="105"/>
      <c r="AC419" s="105"/>
      <c r="AD419" s="64"/>
      <c r="AH419" s="64"/>
      <c r="AI419" s="45"/>
      <c r="AJ419" s="105"/>
      <c r="AK419" s="105"/>
      <c r="AL419" s="60"/>
      <c r="AM419" s="60"/>
      <c r="AN419" s="60"/>
      <c r="AO419" s="60"/>
      <c r="AP419" s="60"/>
      <c r="AQ419" s="60"/>
      <c r="AR419" s="60"/>
      <c r="AS419" s="60"/>
      <c r="AT419" s="45"/>
      <c r="AU419" s="45"/>
      <c r="AW419" s="45"/>
      <c r="AX419" s="46">
        <f t="shared" si="19"/>
        <v>0</v>
      </c>
      <c r="AY419" s="46">
        <f t="shared" si="20"/>
        <v>0</v>
      </c>
      <c r="AZ419" s="46">
        <f t="shared" si="21"/>
        <v>0</v>
      </c>
    </row>
    <row r="420" spans="2:52" ht="20.100000000000001" customHeight="1">
      <c r="C420" s="102"/>
      <c r="D420" s="3"/>
      <c r="E420" s="12"/>
      <c r="F420" s="3"/>
      <c r="G420" s="3"/>
      <c r="H420" s="3"/>
      <c r="J420" s="3"/>
      <c r="K420" s="3"/>
      <c r="L420" s="4"/>
      <c r="M420" s="3"/>
      <c r="O420" s="58"/>
      <c r="Q420" s="64"/>
      <c r="R420" s="45"/>
      <c r="S420" s="45"/>
      <c r="U420" s="64"/>
      <c r="V420" s="45"/>
      <c r="W420" s="64"/>
      <c r="X420" s="64"/>
      <c r="Y420" s="45"/>
      <c r="Z420" s="45"/>
      <c r="AA420" s="105"/>
      <c r="AB420" s="105"/>
      <c r="AC420" s="105"/>
      <c r="AD420" s="64"/>
      <c r="AG420" s="45"/>
      <c r="AH420" s="64"/>
      <c r="AI420" s="45"/>
      <c r="AJ420" s="105"/>
      <c r="AK420" s="105"/>
      <c r="AL420" s="60"/>
      <c r="AM420" s="60"/>
      <c r="AN420" s="60"/>
      <c r="AO420" s="60"/>
      <c r="AP420" s="60"/>
      <c r="AQ420" s="60"/>
      <c r="AR420" s="60"/>
      <c r="AS420" s="60"/>
      <c r="AT420" s="45"/>
      <c r="AU420" s="45"/>
      <c r="AW420" s="45"/>
      <c r="AX420" s="46">
        <f t="shared" si="19"/>
        <v>0</v>
      </c>
      <c r="AY420" s="46">
        <f t="shared" si="20"/>
        <v>0</v>
      </c>
      <c r="AZ420" s="46">
        <f t="shared" si="21"/>
        <v>0</v>
      </c>
    </row>
    <row r="421" spans="2:52" ht="20.100000000000001" customHeight="1">
      <c r="C421" s="102"/>
      <c r="D421" s="3"/>
      <c r="E421" s="12"/>
      <c r="F421" s="3"/>
      <c r="G421" s="3"/>
      <c r="H421" s="3"/>
      <c r="J421" s="3"/>
      <c r="K421" s="3"/>
      <c r="L421" s="4"/>
      <c r="M421" s="3"/>
      <c r="O421" s="58"/>
      <c r="Q421" s="64"/>
      <c r="R421" s="45"/>
      <c r="S421" s="45"/>
      <c r="U421" s="64"/>
      <c r="V421" s="45"/>
      <c r="W421" s="64"/>
      <c r="X421" s="64"/>
      <c r="Y421" s="45"/>
      <c r="Z421" s="45"/>
      <c r="AA421" s="105"/>
      <c r="AB421" s="105"/>
      <c r="AC421" s="105"/>
      <c r="AD421" s="64"/>
      <c r="AG421" s="45"/>
      <c r="AH421" s="64"/>
      <c r="AI421" s="45"/>
      <c r="AJ421" s="105"/>
      <c r="AK421" s="105"/>
      <c r="AL421" s="60"/>
      <c r="AM421" s="60"/>
      <c r="AN421" s="60"/>
      <c r="AO421" s="60"/>
      <c r="AP421" s="60"/>
      <c r="AQ421" s="60"/>
      <c r="AR421" s="60"/>
      <c r="AS421" s="60"/>
      <c r="AT421" s="45"/>
      <c r="AU421" s="45"/>
      <c r="AW421" s="45"/>
      <c r="AX421" s="46">
        <f t="shared" si="19"/>
        <v>0</v>
      </c>
      <c r="AY421" s="46">
        <f t="shared" si="20"/>
        <v>0</v>
      </c>
      <c r="AZ421" s="46">
        <f t="shared" si="21"/>
        <v>0</v>
      </c>
    </row>
    <row r="422" spans="2:52" ht="20.100000000000001" customHeight="1">
      <c r="C422" s="102"/>
      <c r="D422" s="3"/>
      <c r="E422" s="12"/>
      <c r="F422" s="3"/>
      <c r="G422" s="3"/>
      <c r="H422" s="3"/>
      <c r="J422" s="3"/>
      <c r="K422" s="3"/>
      <c r="L422" s="4"/>
      <c r="M422" s="3"/>
      <c r="O422" s="58"/>
      <c r="Q422" s="64"/>
      <c r="R422" s="45"/>
      <c r="S422" s="45"/>
      <c r="U422" s="64"/>
      <c r="V422" s="45"/>
      <c r="W422" s="64"/>
      <c r="X422" s="64"/>
      <c r="Y422" s="45"/>
      <c r="Z422" s="45"/>
      <c r="AA422" s="105"/>
      <c r="AB422" s="105"/>
      <c r="AC422" s="105"/>
      <c r="AD422" s="64"/>
      <c r="AG422" s="45"/>
      <c r="AH422" s="64"/>
      <c r="AI422" s="45"/>
      <c r="AJ422" s="105"/>
      <c r="AK422" s="105"/>
      <c r="AL422" s="60"/>
      <c r="AM422" s="60"/>
      <c r="AN422" s="60"/>
      <c r="AO422" s="60"/>
      <c r="AP422" s="60"/>
      <c r="AQ422" s="60"/>
      <c r="AR422" s="60"/>
      <c r="AS422" s="60"/>
      <c r="AT422" s="45"/>
      <c r="AU422" s="45"/>
      <c r="AW422" s="45"/>
      <c r="AX422" s="46">
        <f t="shared" si="19"/>
        <v>0</v>
      </c>
      <c r="AY422" s="46">
        <f t="shared" si="20"/>
        <v>0</v>
      </c>
      <c r="AZ422" s="46">
        <f t="shared" si="21"/>
        <v>0</v>
      </c>
    </row>
    <row r="423" spans="2:52" ht="20.100000000000001" customHeight="1">
      <c r="C423" s="102"/>
      <c r="D423" s="3"/>
      <c r="E423" s="12"/>
      <c r="F423" s="3"/>
      <c r="G423" s="3"/>
      <c r="H423" s="3"/>
      <c r="J423" s="3"/>
      <c r="K423" s="3"/>
      <c r="L423" s="4"/>
      <c r="M423" s="3"/>
      <c r="O423" s="58"/>
      <c r="Q423" s="64"/>
      <c r="R423" s="45"/>
      <c r="S423" s="45"/>
      <c r="U423" s="64"/>
      <c r="V423" s="45"/>
      <c r="W423" s="64"/>
      <c r="X423" s="64"/>
      <c r="Y423" s="45"/>
      <c r="Z423" s="45"/>
      <c r="AA423" s="105"/>
      <c r="AB423" s="105"/>
      <c r="AC423" s="105"/>
      <c r="AD423" s="64"/>
      <c r="AG423" s="45"/>
      <c r="AH423" s="64"/>
      <c r="AI423" s="45"/>
      <c r="AJ423" s="105"/>
      <c r="AK423" s="105"/>
      <c r="AL423" s="60"/>
      <c r="AM423" s="60"/>
      <c r="AN423" s="60"/>
      <c r="AO423" s="60"/>
      <c r="AP423" s="60"/>
      <c r="AQ423" s="60"/>
      <c r="AR423" s="60"/>
      <c r="AS423" s="60"/>
      <c r="AT423" s="45"/>
      <c r="AU423" s="45"/>
      <c r="AW423" s="45"/>
      <c r="AX423" s="46">
        <f t="shared" si="19"/>
        <v>0</v>
      </c>
      <c r="AY423" s="46">
        <f t="shared" si="20"/>
        <v>0</v>
      </c>
      <c r="AZ423" s="46">
        <f t="shared" si="21"/>
        <v>0</v>
      </c>
    </row>
    <row r="424" spans="2:52" ht="20.100000000000001" customHeight="1">
      <c r="C424" s="102"/>
      <c r="D424" s="3"/>
      <c r="E424" s="12"/>
      <c r="F424" s="3"/>
      <c r="G424" s="3"/>
      <c r="H424" s="3"/>
      <c r="J424" s="3"/>
      <c r="K424" s="3"/>
      <c r="L424" s="4"/>
      <c r="M424" s="3"/>
      <c r="O424" s="58"/>
      <c r="Q424" s="64"/>
      <c r="R424" s="45"/>
      <c r="S424" s="45"/>
      <c r="U424" s="64"/>
      <c r="V424" s="45"/>
      <c r="W424" s="64"/>
      <c r="X424" s="64"/>
      <c r="Y424" s="45"/>
      <c r="Z424" s="45"/>
      <c r="AA424" s="105"/>
      <c r="AB424" s="105"/>
      <c r="AC424" s="105"/>
      <c r="AD424" s="64"/>
      <c r="AG424" s="45"/>
      <c r="AH424" s="64"/>
      <c r="AI424" s="45"/>
      <c r="AJ424" s="105"/>
      <c r="AK424" s="105"/>
      <c r="AL424" s="60"/>
      <c r="AM424" s="60"/>
      <c r="AN424" s="60"/>
      <c r="AO424" s="60"/>
      <c r="AP424" s="60"/>
      <c r="AQ424" s="60"/>
      <c r="AR424" s="60"/>
      <c r="AS424" s="60"/>
      <c r="AT424" s="45"/>
      <c r="AU424" s="45"/>
      <c r="AW424" s="45"/>
      <c r="AX424" s="46">
        <f t="shared" si="19"/>
        <v>0</v>
      </c>
      <c r="AY424" s="46">
        <f t="shared" si="20"/>
        <v>0</v>
      </c>
      <c r="AZ424" s="46">
        <f t="shared" si="21"/>
        <v>0</v>
      </c>
    </row>
    <row r="425" spans="2:52" ht="20.100000000000001" customHeight="1">
      <c r="C425" s="102"/>
      <c r="D425" s="3"/>
      <c r="E425" s="12"/>
      <c r="F425" s="3"/>
      <c r="G425" s="3"/>
      <c r="H425" s="3"/>
      <c r="J425" s="3"/>
      <c r="K425" s="3"/>
      <c r="L425" s="4"/>
      <c r="M425" s="3"/>
      <c r="O425" s="58"/>
      <c r="Q425" s="64"/>
      <c r="R425" s="45"/>
      <c r="S425" s="45"/>
      <c r="U425" s="64"/>
      <c r="V425" s="45"/>
      <c r="W425" s="64"/>
      <c r="X425" s="64"/>
      <c r="Y425" s="45"/>
      <c r="Z425" s="45"/>
      <c r="AA425" s="105"/>
      <c r="AB425" s="105"/>
      <c r="AC425" s="105"/>
      <c r="AD425" s="64"/>
      <c r="AG425" s="45"/>
      <c r="AH425" s="64"/>
      <c r="AI425" s="45"/>
      <c r="AJ425" s="105"/>
      <c r="AK425" s="105"/>
      <c r="AL425" s="60"/>
      <c r="AM425" s="60"/>
      <c r="AN425" s="60"/>
      <c r="AO425" s="60"/>
      <c r="AP425" s="60"/>
      <c r="AQ425" s="60"/>
      <c r="AR425" s="60"/>
      <c r="AS425" s="60"/>
      <c r="AT425" s="45"/>
      <c r="AU425" s="45"/>
      <c r="AW425" s="45"/>
      <c r="AX425" s="46">
        <f t="shared" si="19"/>
        <v>0</v>
      </c>
      <c r="AY425" s="46">
        <f t="shared" si="20"/>
        <v>0</v>
      </c>
      <c r="AZ425" s="46">
        <f t="shared" si="21"/>
        <v>0</v>
      </c>
    </row>
    <row r="426" spans="2:52" ht="20.100000000000001" customHeight="1">
      <c r="C426" s="102"/>
      <c r="D426" s="3"/>
      <c r="E426" s="12"/>
      <c r="F426" s="3"/>
      <c r="G426" s="3"/>
      <c r="H426" s="3"/>
      <c r="J426" s="3"/>
      <c r="K426" s="3"/>
      <c r="L426" s="4"/>
      <c r="M426" s="3"/>
      <c r="O426" s="58"/>
      <c r="Q426" s="64"/>
      <c r="R426" s="45"/>
      <c r="S426" s="45"/>
      <c r="U426" s="64"/>
      <c r="V426" s="45"/>
      <c r="W426" s="64"/>
      <c r="X426" s="64"/>
      <c r="Y426" s="45"/>
      <c r="Z426" s="45"/>
      <c r="AA426" s="105"/>
      <c r="AB426" s="105"/>
      <c r="AC426" s="105"/>
      <c r="AD426" s="64"/>
      <c r="AG426" s="45"/>
      <c r="AH426" s="64"/>
      <c r="AI426" s="45"/>
      <c r="AJ426" s="105"/>
      <c r="AK426" s="105"/>
      <c r="AL426" s="60"/>
      <c r="AM426" s="60"/>
      <c r="AN426" s="60"/>
      <c r="AO426" s="60"/>
      <c r="AP426" s="60"/>
      <c r="AQ426" s="60"/>
      <c r="AR426" s="60"/>
      <c r="AS426" s="60"/>
      <c r="AT426" s="45"/>
      <c r="AU426" s="45"/>
      <c r="AW426" s="45"/>
      <c r="AX426" s="46">
        <f t="shared" si="19"/>
        <v>0</v>
      </c>
      <c r="AY426" s="46">
        <f t="shared" si="20"/>
        <v>0</v>
      </c>
      <c r="AZ426" s="46">
        <f t="shared" si="21"/>
        <v>0</v>
      </c>
    </row>
    <row r="427" spans="2:52" ht="20.100000000000001" customHeight="1">
      <c r="C427" s="102"/>
      <c r="D427" s="3"/>
      <c r="E427" s="12"/>
      <c r="F427" s="3"/>
      <c r="G427" s="3"/>
      <c r="H427" s="3"/>
      <c r="J427" s="3"/>
      <c r="K427" s="3"/>
      <c r="L427" s="4"/>
      <c r="M427" s="3"/>
      <c r="O427" s="58"/>
      <c r="Q427" s="64"/>
      <c r="R427" s="45"/>
      <c r="U427" s="64"/>
      <c r="V427" s="45"/>
      <c r="W427" s="64"/>
      <c r="X427" s="64"/>
      <c r="Y427" s="45"/>
      <c r="Z427" s="45"/>
      <c r="AA427" s="105"/>
      <c r="AB427" s="105"/>
      <c r="AC427" s="105"/>
      <c r="AD427" s="64"/>
      <c r="AG427" s="45"/>
      <c r="AH427" s="64"/>
      <c r="AI427" s="45"/>
      <c r="AJ427" s="105"/>
      <c r="AK427" s="105"/>
      <c r="AL427" s="60"/>
      <c r="AM427" s="60"/>
      <c r="AN427" s="60"/>
      <c r="AO427" s="60"/>
      <c r="AP427" s="60"/>
      <c r="AQ427" s="60"/>
      <c r="AR427" s="60"/>
      <c r="AS427" s="60"/>
      <c r="AT427" s="45"/>
      <c r="AU427" s="45"/>
      <c r="AW427" s="45"/>
      <c r="AX427" s="46">
        <f t="shared" si="19"/>
        <v>0</v>
      </c>
      <c r="AY427" s="46">
        <f t="shared" si="20"/>
        <v>0</v>
      </c>
      <c r="AZ427" s="46">
        <f t="shared" si="21"/>
        <v>0</v>
      </c>
    </row>
    <row r="428" spans="2:52" ht="20.100000000000001" customHeight="1">
      <c r="C428" s="102"/>
      <c r="D428" s="3"/>
      <c r="E428" s="12"/>
      <c r="F428" s="3"/>
      <c r="G428" s="3"/>
      <c r="H428" s="3"/>
      <c r="J428" s="3"/>
      <c r="K428" s="3"/>
      <c r="L428" s="4"/>
      <c r="M428" s="3"/>
      <c r="O428" s="58"/>
      <c r="Q428" s="64"/>
      <c r="R428" s="45"/>
      <c r="S428" s="45"/>
      <c r="U428" s="64"/>
      <c r="V428" s="45"/>
      <c r="W428" s="64"/>
      <c r="X428" s="64"/>
      <c r="Y428" s="45"/>
      <c r="Z428" s="45"/>
      <c r="AA428" s="105"/>
      <c r="AB428" s="105"/>
      <c r="AC428" s="105"/>
      <c r="AD428" s="64"/>
      <c r="AG428" s="45"/>
      <c r="AH428" s="64"/>
      <c r="AI428" s="45"/>
      <c r="AJ428" s="105"/>
      <c r="AK428" s="105"/>
      <c r="AL428" s="60"/>
      <c r="AM428" s="60"/>
      <c r="AN428" s="60"/>
      <c r="AO428" s="60"/>
      <c r="AP428" s="60"/>
      <c r="AQ428" s="60"/>
      <c r="AR428" s="60"/>
      <c r="AS428" s="60"/>
      <c r="AT428" s="45"/>
      <c r="AU428" s="45"/>
      <c r="AW428" s="45"/>
      <c r="AX428" s="46">
        <f t="shared" si="19"/>
        <v>0</v>
      </c>
      <c r="AY428" s="46">
        <f t="shared" si="20"/>
        <v>0</v>
      </c>
      <c r="AZ428" s="46">
        <f t="shared" si="21"/>
        <v>0</v>
      </c>
    </row>
    <row r="429" spans="2:52" ht="20.100000000000001" customHeight="1">
      <c r="C429" s="102"/>
      <c r="D429" s="3"/>
      <c r="E429" s="67"/>
      <c r="F429" s="3"/>
      <c r="G429" s="3"/>
      <c r="H429" s="3"/>
      <c r="J429" s="3"/>
      <c r="K429" s="3"/>
      <c r="L429" s="4"/>
      <c r="M429" s="3"/>
      <c r="O429" s="58"/>
      <c r="Q429" s="64"/>
      <c r="R429" s="45"/>
      <c r="S429" s="45"/>
      <c r="U429" s="64"/>
      <c r="V429" s="45"/>
      <c r="W429" s="64"/>
      <c r="X429" s="64"/>
      <c r="Y429" s="45"/>
      <c r="Z429" s="45"/>
      <c r="AA429" s="105"/>
      <c r="AB429" s="105"/>
      <c r="AC429" s="105"/>
      <c r="AD429" s="64"/>
      <c r="AG429" s="45"/>
      <c r="AH429" s="64"/>
      <c r="AI429" s="45"/>
      <c r="AJ429" s="105"/>
      <c r="AK429" s="105"/>
      <c r="AL429" s="60"/>
      <c r="AM429" s="60"/>
      <c r="AN429" s="60"/>
      <c r="AO429" s="60"/>
      <c r="AP429" s="60"/>
      <c r="AQ429" s="60"/>
      <c r="AR429" s="60"/>
      <c r="AS429" s="60"/>
      <c r="AT429" s="45"/>
      <c r="AU429" s="45"/>
      <c r="AW429" s="45"/>
      <c r="AX429" s="46">
        <f t="shared" si="19"/>
        <v>0</v>
      </c>
      <c r="AY429" s="46">
        <f t="shared" si="20"/>
        <v>0</v>
      </c>
      <c r="AZ429" s="46">
        <f t="shared" si="21"/>
        <v>0</v>
      </c>
    </row>
    <row r="430" spans="2:52" ht="20.100000000000001" customHeight="1">
      <c r="C430" s="102"/>
      <c r="D430" s="3"/>
      <c r="E430" s="12"/>
      <c r="F430" s="3"/>
      <c r="G430" s="3"/>
      <c r="H430" s="3"/>
      <c r="J430" s="3"/>
      <c r="K430" s="3"/>
      <c r="L430" s="4"/>
      <c r="M430" s="3"/>
      <c r="O430" s="58"/>
      <c r="Q430" s="64"/>
      <c r="R430" s="45"/>
      <c r="S430" s="45"/>
      <c r="U430" s="64"/>
      <c r="V430" s="45"/>
      <c r="W430" s="64"/>
      <c r="X430" s="64"/>
      <c r="Y430" s="45"/>
      <c r="Z430" s="45"/>
      <c r="AA430" s="105"/>
      <c r="AB430" s="105"/>
      <c r="AC430" s="105"/>
      <c r="AD430" s="64"/>
      <c r="AG430" s="45"/>
      <c r="AH430" s="64"/>
      <c r="AI430" s="45"/>
      <c r="AJ430" s="105"/>
      <c r="AK430" s="105"/>
      <c r="AL430" s="60"/>
      <c r="AM430" s="60"/>
      <c r="AN430" s="60"/>
      <c r="AO430" s="60"/>
      <c r="AP430" s="60"/>
      <c r="AQ430" s="60"/>
      <c r="AR430" s="60"/>
      <c r="AS430" s="60"/>
      <c r="AT430" s="45"/>
      <c r="AU430" s="45"/>
      <c r="AW430" s="45"/>
      <c r="AX430" s="46">
        <f t="shared" si="19"/>
        <v>0</v>
      </c>
      <c r="AY430" s="46">
        <f t="shared" si="20"/>
        <v>0</v>
      </c>
      <c r="AZ430" s="46">
        <f t="shared" si="21"/>
        <v>0</v>
      </c>
    </row>
    <row r="431" spans="2:52" ht="20.100000000000001" customHeight="1">
      <c r="C431" s="102"/>
      <c r="D431" s="3"/>
      <c r="E431" s="12"/>
      <c r="F431" s="3"/>
      <c r="G431" s="3"/>
      <c r="H431" s="3"/>
      <c r="J431" s="3"/>
      <c r="K431" s="3"/>
      <c r="L431" s="4"/>
      <c r="M431" s="3"/>
      <c r="O431" s="58"/>
      <c r="Q431" s="64"/>
      <c r="R431" s="45"/>
      <c r="S431" s="45"/>
      <c r="U431" s="64"/>
      <c r="V431" s="45"/>
      <c r="W431" s="64"/>
      <c r="X431" s="64"/>
      <c r="Y431" s="45"/>
      <c r="Z431" s="45"/>
      <c r="AA431" s="105"/>
      <c r="AB431" s="105"/>
      <c r="AC431" s="105"/>
      <c r="AD431" s="64"/>
      <c r="AG431" s="45"/>
      <c r="AH431" s="64"/>
      <c r="AI431" s="45"/>
      <c r="AJ431" s="105"/>
      <c r="AK431" s="105"/>
      <c r="AL431" s="60"/>
      <c r="AM431" s="60"/>
      <c r="AN431" s="60"/>
      <c r="AO431" s="60"/>
      <c r="AP431" s="60"/>
      <c r="AQ431" s="60"/>
      <c r="AR431" s="60"/>
      <c r="AS431" s="60"/>
      <c r="AT431" s="45"/>
      <c r="AU431" s="45"/>
      <c r="AW431" s="45"/>
      <c r="AX431" s="46">
        <f t="shared" si="19"/>
        <v>0</v>
      </c>
      <c r="AY431" s="46">
        <f t="shared" si="20"/>
        <v>0</v>
      </c>
      <c r="AZ431" s="46">
        <f t="shared" si="21"/>
        <v>0</v>
      </c>
    </row>
    <row r="432" spans="2:52" ht="20.100000000000001" customHeight="1">
      <c r="B432" s="61"/>
      <c r="C432" s="103"/>
      <c r="D432" s="3"/>
      <c r="E432" s="12"/>
      <c r="F432" s="3"/>
      <c r="G432" s="3"/>
      <c r="H432" s="3"/>
      <c r="J432" s="3"/>
      <c r="K432" s="3"/>
      <c r="L432" s="4"/>
      <c r="M432" s="3"/>
      <c r="O432" s="58"/>
      <c r="Q432" s="64"/>
      <c r="R432" s="45"/>
      <c r="S432" s="45"/>
      <c r="U432" s="64"/>
      <c r="V432" s="45"/>
      <c r="W432" s="64"/>
      <c r="X432" s="64"/>
      <c r="Y432" s="45"/>
      <c r="Z432" s="45"/>
      <c r="AA432" s="105"/>
      <c r="AB432" s="105"/>
      <c r="AC432" s="105"/>
      <c r="AD432" s="64"/>
      <c r="AE432" s="62"/>
      <c r="AG432" s="45"/>
      <c r="AH432" s="64"/>
      <c r="AI432" s="45"/>
      <c r="AJ432" s="105"/>
      <c r="AK432" s="105"/>
      <c r="AL432" s="60"/>
      <c r="AM432" s="60"/>
      <c r="AN432" s="60"/>
      <c r="AO432" s="60"/>
      <c r="AP432" s="60"/>
      <c r="AQ432" s="60"/>
      <c r="AR432" s="60"/>
      <c r="AS432" s="60"/>
      <c r="AT432" s="45"/>
      <c r="AU432" s="45"/>
      <c r="AW432" s="45"/>
      <c r="AX432" s="46">
        <f t="shared" si="19"/>
        <v>0</v>
      </c>
      <c r="AY432" s="46">
        <f t="shared" si="20"/>
        <v>0</v>
      </c>
      <c r="AZ432" s="46">
        <f t="shared" si="21"/>
        <v>0</v>
      </c>
    </row>
    <row r="433" spans="2:52" ht="20.100000000000001" customHeight="1">
      <c r="C433" s="102"/>
      <c r="D433" s="3"/>
      <c r="E433" s="12"/>
      <c r="F433" s="3"/>
      <c r="G433" s="3"/>
      <c r="H433" s="3"/>
      <c r="J433" s="3"/>
      <c r="K433" s="3"/>
      <c r="L433" s="4"/>
      <c r="M433" s="3"/>
      <c r="O433" s="58"/>
      <c r="Q433" s="64"/>
      <c r="R433" s="45"/>
      <c r="S433" s="45"/>
      <c r="U433" s="64"/>
      <c r="V433" s="45"/>
      <c r="W433" s="64"/>
      <c r="X433" s="64"/>
      <c r="Y433" s="45"/>
      <c r="Z433" s="45"/>
      <c r="AA433" s="105"/>
      <c r="AB433" s="105"/>
      <c r="AC433" s="105"/>
      <c r="AD433" s="64"/>
      <c r="AG433" s="45"/>
      <c r="AH433" s="64"/>
      <c r="AI433" s="45"/>
      <c r="AJ433" s="105"/>
      <c r="AK433" s="105"/>
      <c r="AL433" s="60"/>
      <c r="AM433" s="60"/>
      <c r="AN433" s="60"/>
      <c r="AO433" s="60"/>
      <c r="AP433" s="60"/>
      <c r="AQ433" s="60"/>
      <c r="AR433" s="60"/>
      <c r="AS433" s="60"/>
      <c r="AT433" s="45"/>
      <c r="AU433" s="45"/>
      <c r="AW433" s="45"/>
      <c r="AX433" s="46">
        <f t="shared" si="19"/>
        <v>0</v>
      </c>
      <c r="AY433" s="46">
        <f t="shared" si="20"/>
        <v>0</v>
      </c>
      <c r="AZ433" s="46">
        <f t="shared" si="21"/>
        <v>0</v>
      </c>
    </row>
    <row r="434" spans="2:52" ht="20.100000000000001" customHeight="1">
      <c r="C434" s="102"/>
      <c r="D434" s="3"/>
      <c r="E434" s="12"/>
      <c r="F434" s="3"/>
      <c r="G434" s="3"/>
      <c r="H434" s="3"/>
      <c r="J434" s="3"/>
      <c r="K434" s="3"/>
      <c r="L434" s="4"/>
      <c r="M434" s="3"/>
      <c r="O434" s="58"/>
      <c r="Q434" s="64"/>
      <c r="R434" s="45"/>
      <c r="S434" s="45"/>
      <c r="U434" s="64"/>
      <c r="V434" s="45"/>
      <c r="W434" s="64"/>
      <c r="X434" s="64"/>
      <c r="Y434" s="45"/>
      <c r="Z434" s="45"/>
      <c r="AA434" s="105"/>
      <c r="AB434" s="105"/>
      <c r="AC434" s="105"/>
      <c r="AD434" s="64"/>
      <c r="AG434" s="45"/>
      <c r="AH434" s="64"/>
      <c r="AI434" s="45"/>
      <c r="AJ434" s="105"/>
      <c r="AK434" s="105"/>
      <c r="AL434" s="60"/>
      <c r="AM434" s="60"/>
      <c r="AN434" s="60"/>
      <c r="AO434" s="60"/>
      <c r="AP434" s="60"/>
      <c r="AQ434" s="60"/>
      <c r="AR434" s="60"/>
      <c r="AS434" s="60"/>
      <c r="AT434" s="45"/>
      <c r="AU434" s="45"/>
      <c r="AW434" s="45"/>
      <c r="AX434" s="46">
        <f t="shared" si="19"/>
        <v>0</v>
      </c>
      <c r="AY434" s="46">
        <f t="shared" si="20"/>
        <v>0</v>
      </c>
      <c r="AZ434" s="46">
        <f t="shared" si="21"/>
        <v>0</v>
      </c>
    </row>
    <row r="435" spans="2:52" ht="20.100000000000001" customHeight="1">
      <c r="C435" s="102"/>
      <c r="D435" s="3"/>
      <c r="E435" s="12"/>
      <c r="F435" s="3"/>
      <c r="G435" s="3"/>
      <c r="H435" s="3"/>
      <c r="J435" s="3"/>
      <c r="K435" s="3"/>
      <c r="L435" s="4"/>
      <c r="M435" s="3"/>
      <c r="O435" s="58"/>
      <c r="Q435" s="64"/>
      <c r="R435" s="45"/>
      <c r="S435" s="45"/>
      <c r="U435" s="64"/>
      <c r="V435" s="45"/>
      <c r="W435" s="64"/>
      <c r="X435" s="64"/>
      <c r="Y435" s="45"/>
      <c r="Z435" s="45"/>
      <c r="AA435" s="105"/>
      <c r="AB435" s="105"/>
      <c r="AC435" s="105"/>
      <c r="AD435" s="64"/>
      <c r="AG435" s="45"/>
      <c r="AH435" s="64"/>
      <c r="AI435" s="45"/>
      <c r="AJ435" s="105"/>
      <c r="AK435" s="105"/>
      <c r="AL435" s="60"/>
      <c r="AM435" s="60"/>
      <c r="AN435" s="60"/>
      <c r="AO435" s="60"/>
      <c r="AP435" s="60"/>
      <c r="AQ435" s="60"/>
      <c r="AR435" s="60"/>
      <c r="AS435" s="60"/>
      <c r="AT435" s="45"/>
      <c r="AU435" s="45"/>
      <c r="AW435" s="45"/>
      <c r="AX435" s="46">
        <f t="shared" si="19"/>
        <v>0</v>
      </c>
      <c r="AY435" s="46">
        <f t="shared" si="20"/>
        <v>0</v>
      </c>
      <c r="AZ435" s="46">
        <f t="shared" si="21"/>
        <v>0</v>
      </c>
    </row>
    <row r="436" spans="2:52" ht="20.100000000000001" customHeight="1">
      <c r="C436" s="102"/>
      <c r="D436" s="3"/>
      <c r="E436" s="12"/>
      <c r="F436" s="3"/>
      <c r="G436" s="3"/>
      <c r="H436" s="3"/>
      <c r="J436" s="3"/>
      <c r="K436" s="3"/>
      <c r="L436" s="4"/>
      <c r="M436" s="3"/>
      <c r="O436" s="58"/>
      <c r="Q436" s="64"/>
      <c r="R436" s="45"/>
      <c r="S436" s="45"/>
      <c r="U436" s="64"/>
      <c r="V436" s="45"/>
      <c r="W436" s="64"/>
      <c r="X436" s="64"/>
      <c r="Y436" s="45"/>
      <c r="Z436" s="45"/>
      <c r="AA436" s="105"/>
      <c r="AB436" s="105"/>
      <c r="AC436" s="105"/>
      <c r="AD436" s="64"/>
      <c r="AG436" s="45"/>
      <c r="AH436" s="64"/>
      <c r="AI436" s="45"/>
      <c r="AJ436" s="105"/>
      <c r="AK436" s="105"/>
      <c r="AL436" s="60"/>
      <c r="AM436" s="60"/>
      <c r="AN436" s="60"/>
      <c r="AO436" s="60"/>
      <c r="AP436" s="60"/>
      <c r="AQ436" s="60"/>
      <c r="AR436" s="60"/>
      <c r="AS436" s="60"/>
      <c r="AT436" s="45"/>
      <c r="AU436" s="45"/>
      <c r="AW436" s="45"/>
      <c r="AX436" s="46">
        <f t="shared" si="19"/>
        <v>0</v>
      </c>
      <c r="AY436" s="46">
        <f t="shared" si="20"/>
        <v>0</v>
      </c>
      <c r="AZ436" s="46">
        <f t="shared" si="21"/>
        <v>0</v>
      </c>
    </row>
    <row r="437" spans="2:52" ht="20.100000000000001" customHeight="1">
      <c r="C437" s="102"/>
      <c r="D437" s="3"/>
      <c r="E437" s="12"/>
      <c r="F437" s="3"/>
      <c r="G437" s="3"/>
      <c r="H437" s="3"/>
      <c r="J437" s="3"/>
      <c r="K437" s="3"/>
      <c r="L437" s="4"/>
      <c r="M437" s="3"/>
      <c r="O437" s="58"/>
      <c r="Q437" s="64"/>
      <c r="R437" s="45"/>
      <c r="S437" s="45"/>
      <c r="U437" s="64"/>
      <c r="V437" s="45"/>
      <c r="W437" s="64"/>
      <c r="X437" s="64"/>
      <c r="Y437" s="45"/>
      <c r="Z437" s="45"/>
      <c r="AA437" s="105"/>
      <c r="AB437" s="105"/>
      <c r="AC437" s="105"/>
      <c r="AD437" s="64"/>
      <c r="AG437" s="45"/>
      <c r="AH437" s="64"/>
      <c r="AI437" s="45"/>
      <c r="AJ437" s="105"/>
      <c r="AK437" s="105"/>
      <c r="AL437" s="60"/>
      <c r="AM437" s="60"/>
      <c r="AN437" s="60"/>
      <c r="AO437" s="60"/>
      <c r="AP437" s="60"/>
      <c r="AQ437" s="60"/>
      <c r="AR437" s="60"/>
      <c r="AS437" s="60"/>
      <c r="AT437" s="45"/>
      <c r="AU437" s="45"/>
      <c r="AW437" s="45"/>
      <c r="AX437" s="46">
        <f t="shared" si="19"/>
        <v>0</v>
      </c>
      <c r="AY437" s="46">
        <f t="shared" si="20"/>
        <v>0</v>
      </c>
      <c r="AZ437" s="46">
        <f t="shared" si="21"/>
        <v>0</v>
      </c>
    </row>
    <row r="438" spans="2:52" ht="20.100000000000001" customHeight="1">
      <c r="C438" s="102"/>
      <c r="D438" s="3"/>
      <c r="E438" s="67"/>
      <c r="F438" s="3"/>
      <c r="G438" s="3"/>
      <c r="H438" s="3"/>
      <c r="J438" s="3"/>
      <c r="K438" s="3"/>
      <c r="L438" s="4"/>
      <c r="M438" s="3"/>
      <c r="O438" s="58"/>
      <c r="Q438" s="64"/>
      <c r="R438" s="45"/>
      <c r="S438" s="45"/>
      <c r="U438" s="64"/>
      <c r="V438" s="45"/>
      <c r="W438" s="64"/>
      <c r="X438" s="64"/>
      <c r="Y438" s="45"/>
      <c r="Z438" s="45"/>
      <c r="AA438" s="105"/>
      <c r="AB438" s="105"/>
      <c r="AC438" s="105"/>
      <c r="AD438" s="64"/>
      <c r="AG438" s="45"/>
      <c r="AH438" s="64"/>
      <c r="AI438" s="45"/>
      <c r="AJ438" s="105"/>
      <c r="AK438" s="105"/>
      <c r="AL438" s="60"/>
      <c r="AM438" s="60"/>
      <c r="AN438" s="60"/>
      <c r="AO438" s="60"/>
      <c r="AP438" s="60"/>
      <c r="AQ438" s="60"/>
      <c r="AR438" s="60"/>
      <c r="AS438" s="60"/>
      <c r="AT438" s="45"/>
      <c r="AU438" s="45"/>
      <c r="AW438" s="45"/>
      <c r="AX438" s="46">
        <f t="shared" si="19"/>
        <v>0</v>
      </c>
      <c r="AY438" s="46">
        <f t="shared" si="20"/>
        <v>0</v>
      </c>
      <c r="AZ438" s="46">
        <f t="shared" si="21"/>
        <v>0</v>
      </c>
    </row>
    <row r="439" spans="2:52" ht="20.100000000000001" customHeight="1">
      <c r="C439" s="102"/>
      <c r="D439" s="3"/>
      <c r="E439" s="12"/>
      <c r="F439" s="3"/>
      <c r="G439" s="3"/>
      <c r="H439" s="3"/>
      <c r="J439" s="3"/>
      <c r="K439" s="3"/>
      <c r="L439" s="4"/>
      <c r="M439" s="3"/>
      <c r="O439" s="58"/>
      <c r="Q439" s="64"/>
      <c r="R439" s="45"/>
      <c r="S439" s="45"/>
      <c r="U439" s="64"/>
      <c r="V439" s="45"/>
      <c r="W439" s="64"/>
      <c r="X439" s="64"/>
      <c r="Y439" s="45"/>
      <c r="Z439" s="45"/>
      <c r="AA439" s="105"/>
      <c r="AB439" s="105"/>
      <c r="AC439" s="105"/>
      <c r="AD439" s="64"/>
      <c r="AG439" s="45"/>
      <c r="AH439" s="64"/>
      <c r="AI439" s="45"/>
      <c r="AJ439" s="105"/>
      <c r="AK439" s="105"/>
      <c r="AL439" s="60"/>
      <c r="AM439" s="60"/>
      <c r="AN439" s="60"/>
      <c r="AO439" s="60"/>
      <c r="AP439" s="60"/>
      <c r="AQ439" s="60"/>
      <c r="AR439" s="60"/>
      <c r="AS439" s="60"/>
      <c r="AT439" s="45"/>
      <c r="AU439" s="45"/>
      <c r="AW439" s="45"/>
      <c r="AX439" s="46">
        <f t="shared" si="19"/>
        <v>0</v>
      </c>
      <c r="AY439" s="46">
        <f t="shared" si="20"/>
        <v>0</v>
      </c>
      <c r="AZ439" s="46">
        <f t="shared" si="21"/>
        <v>0</v>
      </c>
    </row>
    <row r="440" spans="2:52" ht="20.100000000000001" customHeight="1">
      <c r="C440" s="102"/>
      <c r="D440" s="3"/>
      <c r="E440" s="12"/>
      <c r="F440" s="3"/>
      <c r="G440" s="3"/>
      <c r="H440" s="3"/>
      <c r="J440" s="3"/>
      <c r="K440" s="3"/>
      <c r="L440" s="4"/>
      <c r="M440" s="3"/>
      <c r="O440" s="58"/>
      <c r="Q440" s="64"/>
      <c r="R440" s="45"/>
      <c r="S440" s="45"/>
      <c r="U440" s="64"/>
      <c r="V440" s="45"/>
      <c r="W440" s="64"/>
      <c r="X440" s="64"/>
      <c r="Y440" s="45"/>
      <c r="Z440" s="45"/>
      <c r="AA440" s="105"/>
      <c r="AB440" s="105"/>
      <c r="AC440" s="105"/>
      <c r="AD440" s="64"/>
      <c r="AG440" s="45"/>
      <c r="AH440" s="64"/>
      <c r="AI440" s="45"/>
      <c r="AJ440" s="105"/>
      <c r="AK440" s="105"/>
      <c r="AL440" s="60"/>
      <c r="AM440" s="60"/>
      <c r="AN440" s="60"/>
      <c r="AO440" s="60"/>
      <c r="AP440" s="60"/>
      <c r="AQ440" s="60"/>
      <c r="AR440" s="60"/>
      <c r="AS440" s="60"/>
      <c r="AT440" s="45"/>
      <c r="AU440" s="45"/>
      <c r="AW440" s="45"/>
      <c r="AX440" s="46">
        <f t="shared" si="19"/>
        <v>0</v>
      </c>
      <c r="AY440" s="46">
        <f t="shared" si="20"/>
        <v>0</v>
      </c>
      <c r="AZ440" s="46">
        <f t="shared" si="21"/>
        <v>0</v>
      </c>
    </row>
    <row r="441" spans="2:52" ht="20.100000000000001" customHeight="1">
      <c r="B441" s="61"/>
      <c r="C441" s="103"/>
      <c r="D441" s="3"/>
      <c r="E441" s="12"/>
      <c r="F441" s="3"/>
      <c r="G441" s="3"/>
      <c r="H441" s="3"/>
      <c r="J441" s="3"/>
      <c r="K441" s="3"/>
      <c r="L441" s="4"/>
      <c r="M441" s="3"/>
      <c r="O441" s="58"/>
      <c r="Q441" s="64"/>
      <c r="R441" s="45"/>
      <c r="S441" s="45"/>
      <c r="U441" s="64"/>
      <c r="V441" s="45"/>
      <c r="W441" s="64"/>
      <c r="X441" s="64"/>
      <c r="Y441" s="45"/>
      <c r="Z441" s="45"/>
      <c r="AA441" s="105"/>
      <c r="AB441" s="105"/>
      <c r="AC441" s="105"/>
      <c r="AD441" s="64"/>
      <c r="AE441" s="62"/>
      <c r="AH441" s="64"/>
      <c r="AI441" s="45"/>
      <c r="AJ441" s="105"/>
      <c r="AK441" s="105"/>
      <c r="AL441" s="60"/>
      <c r="AM441" s="60"/>
      <c r="AN441" s="60"/>
      <c r="AO441" s="60"/>
      <c r="AP441" s="60"/>
      <c r="AQ441" s="60"/>
      <c r="AR441" s="60"/>
      <c r="AS441" s="60"/>
      <c r="AT441" s="45"/>
      <c r="AU441" s="45"/>
      <c r="AW441" s="45"/>
      <c r="AX441" s="46">
        <f t="shared" si="19"/>
        <v>0</v>
      </c>
      <c r="AY441" s="46">
        <f t="shared" si="20"/>
        <v>0</v>
      </c>
      <c r="AZ441" s="46">
        <f t="shared" si="21"/>
        <v>0</v>
      </c>
    </row>
    <row r="442" spans="2:52" ht="20.100000000000001" customHeight="1">
      <c r="C442" s="102"/>
      <c r="D442" s="3"/>
      <c r="E442" s="12"/>
      <c r="F442" s="3"/>
      <c r="G442" s="3"/>
      <c r="H442" s="3"/>
      <c r="J442" s="3"/>
      <c r="K442" s="3"/>
      <c r="L442" s="4"/>
      <c r="M442" s="3"/>
      <c r="O442" s="58"/>
      <c r="Q442" s="64"/>
      <c r="R442" s="45"/>
      <c r="S442" s="45"/>
      <c r="U442" s="64"/>
      <c r="V442" s="45"/>
      <c r="W442" s="64"/>
      <c r="X442" s="64"/>
      <c r="Y442" s="45"/>
      <c r="Z442" s="45"/>
      <c r="AA442" s="105"/>
      <c r="AB442" s="105"/>
      <c r="AC442" s="105"/>
      <c r="AD442" s="64"/>
      <c r="AG442" s="45"/>
      <c r="AH442" s="64"/>
      <c r="AI442" s="45"/>
      <c r="AJ442" s="105"/>
      <c r="AK442" s="105"/>
      <c r="AL442" s="60"/>
      <c r="AM442" s="60"/>
      <c r="AN442" s="60"/>
      <c r="AO442" s="60"/>
      <c r="AP442" s="60"/>
      <c r="AQ442" s="60"/>
      <c r="AR442" s="60"/>
      <c r="AS442" s="60"/>
      <c r="AT442" s="45"/>
      <c r="AU442" s="45"/>
      <c r="AW442" s="45"/>
      <c r="AX442" s="46">
        <f t="shared" si="19"/>
        <v>0</v>
      </c>
      <c r="AY442" s="46">
        <f t="shared" si="20"/>
        <v>0</v>
      </c>
      <c r="AZ442" s="46">
        <f t="shared" si="21"/>
        <v>0</v>
      </c>
    </row>
    <row r="443" spans="2:52" ht="20.100000000000001" customHeight="1">
      <c r="C443" s="102"/>
      <c r="D443" s="3"/>
      <c r="E443" s="12"/>
      <c r="F443" s="3"/>
      <c r="G443" s="3"/>
      <c r="H443" s="3"/>
      <c r="J443" s="3"/>
      <c r="K443" s="3"/>
      <c r="L443" s="4"/>
      <c r="M443" s="3"/>
      <c r="O443" s="58"/>
      <c r="Q443" s="64"/>
      <c r="R443" s="45"/>
      <c r="S443" s="45"/>
      <c r="U443" s="64"/>
      <c r="V443" s="45"/>
      <c r="W443" s="64"/>
      <c r="X443" s="64"/>
      <c r="Y443" s="45"/>
      <c r="Z443" s="45"/>
      <c r="AA443" s="105"/>
      <c r="AB443" s="105"/>
      <c r="AC443" s="105"/>
      <c r="AD443" s="64"/>
      <c r="AG443" s="45"/>
      <c r="AH443" s="64"/>
      <c r="AI443" s="45"/>
      <c r="AJ443" s="105"/>
      <c r="AK443" s="105"/>
      <c r="AL443" s="60"/>
      <c r="AM443" s="60"/>
      <c r="AN443" s="60"/>
      <c r="AO443" s="60"/>
      <c r="AP443" s="60"/>
      <c r="AQ443" s="60"/>
      <c r="AR443" s="60"/>
      <c r="AS443" s="60"/>
      <c r="AT443" s="45"/>
      <c r="AU443" s="45"/>
      <c r="AW443" s="45"/>
      <c r="AX443" s="46">
        <f t="shared" si="19"/>
        <v>0</v>
      </c>
      <c r="AY443" s="46">
        <f t="shared" si="20"/>
        <v>0</v>
      </c>
      <c r="AZ443" s="46">
        <f t="shared" si="21"/>
        <v>0</v>
      </c>
    </row>
    <row r="444" spans="2:52" ht="20.100000000000001" customHeight="1">
      <c r="C444" s="102"/>
      <c r="D444" s="3"/>
      <c r="E444" s="12"/>
      <c r="F444" s="3"/>
      <c r="G444" s="3"/>
      <c r="H444" s="3"/>
      <c r="J444" s="3"/>
      <c r="K444" s="3"/>
      <c r="L444" s="4"/>
      <c r="M444" s="3"/>
      <c r="O444" s="58"/>
      <c r="Q444" s="64"/>
      <c r="R444" s="45"/>
      <c r="S444" s="45"/>
      <c r="U444" s="64"/>
      <c r="V444" s="45"/>
      <c r="W444" s="64"/>
      <c r="X444" s="64"/>
      <c r="Y444" s="45"/>
      <c r="Z444" s="45"/>
      <c r="AA444" s="105"/>
      <c r="AB444" s="105"/>
      <c r="AC444" s="105"/>
      <c r="AD444" s="64"/>
      <c r="AG444" s="45"/>
      <c r="AH444" s="64"/>
      <c r="AI444" s="45"/>
      <c r="AJ444" s="105"/>
      <c r="AK444" s="105"/>
      <c r="AL444" s="60"/>
      <c r="AM444" s="60"/>
      <c r="AN444" s="60"/>
      <c r="AO444" s="60"/>
      <c r="AP444" s="60"/>
      <c r="AQ444" s="60"/>
      <c r="AR444" s="60"/>
      <c r="AS444" s="60"/>
      <c r="AT444" s="45"/>
      <c r="AU444" s="45"/>
      <c r="AW444" s="45"/>
      <c r="AX444" s="46">
        <f t="shared" si="19"/>
        <v>0</v>
      </c>
      <c r="AY444" s="46">
        <f t="shared" si="20"/>
        <v>0</v>
      </c>
      <c r="AZ444" s="46">
        <f t="shared" si="21"/>
        <v>0</v>
      </c>
    </row>
    <row r="445" spans="2:52" ht="20.100000000000001" customHeight="1">
      <c r="C445" s="102"/>
      <c r="D445" s="3"/>
      <c r="E445" s="67"/>
      <c r="F445" s="3"/>
      <c r="G445" s="3"/>
      <c r="H445" s="3"/>
      <c r="J445" s="3"/>
      <c r="K445" s="3"/>
      <c r="L445" s="4"/>
      <c r="M445" s="3"/>
      <c r="O445" s="58"/>
      <c r="Q445" s="64"/>
      <c r="R445" s="45"/>
      <c r="S445" s="45"/>
      <c r="U445" s="64"/>
      <c r="V445" s="45"/>
      <c r="W445" s="64"/>
      <c r="X445" s="64"/>
      <c r="Y445" s="45"/>
      <c r="Z445" s="45"/>
      <c r="AA445" s="105"/>
      <c r="AB445" s="105"/>
      <c r="AC445" s="105"/>
      <c r="AD445" s="64"/>
      <c r="AG445" s="45"/>
      <c r="AH445" s="64"/>
      <c r="AI445" s="45"/>
      <c r="AJ445" s="105"/>
      <c r="AK445" s="105"/>
      <c r="AL445" s="60"/>
      <c r="AM445" s="60"/>
      <c r="AN445" s="60"/>
      <c r="AO445" s="60"/>
      <c r="AP445" s="60"/>
      <c r="AQ445" s="60"/>
      <c r="AR445" s="60"/>
      <c r="AS445" s="60"/>
      <c r="AT445" s="45"/>
      <c r="AU445" s="45"/>
      <c r="AW445" s="45"/>
      <c r="AX445" s="46">
        <f t="shared" si="19"/>
        <v>0</v>
      </c>
      <c r="AY445" s="46">
        <f t="shared" si="20"/>
        <v>0</v>
      </c>
      <c r="AZ445" s="46">
        <f t="shared" si="21"/>
        <v>0</v>
      </c>
    </row>
    <row r="446" spans="2:52" ht="20.100000000000001" customHeight="1">
      <c r="C446" s="102"/>
      <c r="D446" s="3"/>
      <c r="E446" s="12"/>
      <c r="F446" s="3"/>
      <c r="G446" s="3"/>
      <c r="H446" s="3"/>
      <c r="J446" s="3"/>
      <c r="K446" s="3"/>
      <c r="L446" s="4"/>
      <c r="M446" s="3"/>
      <c r="O446" s="58"/>
      <c r="Q446" s="64"/>
      <c r="R446" s="45"/>
      <c r="S446" s="45"/>
      <c r="U446" s="64"/>
      <c r="V446" s="45"/>
      <c r="W446" s="64"/>
      <c r="X446" s="64"/>
      <c r="Y446" s="45"/>
      <c r="Z446" s="45"/>
      <c r="AA446" s="105"/>
      <c r="AB446" s="105"/>
      <c r="AC446" s="105"/>
      <c r="AD446" s="64"/>
      <c r="AG446" s="45"/>
      <c r="AH446" s="64"/>
      <c r="AI446" s="45"/>
      <c r="AJ446" s="105"/>
      <c r="AK446" s="105"/>
      <c r="AL446" s="60"/>
      <c r="AM446" s="60"/>
      <c r="AN446" s="60"/>
      <c r="AO446" s="60"/>
      <c r="AP446" s="60"/>
      <c r="AQ446" s="60"/>
      <c r="AR446" s="60"/>
      <c r="AS446" s="60"/>
      <c r="AT446" s="45"/>
      <c r="AU446" s="45"/>
      <c r="AW446" s="45"/>
      <c r="AX446" s="46">
        <f t="shared" si="19"/>
        <v>0</v>
      </c>
      <c r="AY446" s="46">
        <f t="shared" si="20"/>
        <v>0</v>
      </c>
      <c r="AZ446" s="46">
        <f t="shared" si="21"/>
        <v>0</v>
      </c>
    </row>
    <row r="447" spans="2:52" ht="20.100000000000001" customHeight="1">
      <c r="C447" s="102"/>
      <c r="D447" s="3"/>
      <c r="E447" s="12"/>
      <c r="F447" s="3"/>
      <c r="G447" s="3"/>
      <c r="H447" s="3"/>
      <c r="J447" s="3"/>
      <c r="K447" s="3"/>
      <c r="L447" s="4"/>
      <c r="M447" s="3"/>
      <c r="O447" s="58"/>
      <c r="Q447" s="64"/>
      <c r="R447" s="45"/>
      <c r="S447" s="45"/>
      <c r="U447" s="64"/>
      <c r="V447" s="45"/>
      <c r="W447" s="64"/>
      <c r="X447" s="64"/>
      <c r="Y447" s="45"/>
      <c r="Z447" s="45"/>
      <c r="AA447" s="105"/>
      <c r="AB447" s="105"/>
      <c r="AC447" s="105"/>
      <c r="AD447" s="64"/>
      <c r="AH447" s="64"/>
      <c r="AI447" s="45"/>
      <c r="AJ447" s="105"/>
      <c r="AK447" s="105"/>
      <c r="AL447" s="60"/>
      <c r="AM447" s="60"/>
      <c r="AN447" s="60"/>
      <c r="AO447" s="60"/>
      <c r="AP447" s="60"/>
      <c r="AQ447" s="60"/>
      <c r="AR447" s="60"/>
      <c r="AS447" s="60"/>
      <c r="AT447" s="45"/>
      <c r="AU447" s="45"/>
      <c r="AW447" s="45"/>
      <c r="AX447" s="46">
        <f t="shared" si="19"/>
        <v>0</v>
      </c>
      <c r="AY447" s="46">
        <f t="shared" si="20"/>
        <v>0</v>
      </c>
      <c r="AZ447" s="46">
        <f t="shared" si="21"/>
        <v>0</v>
      </c>
    </row>
    <row r="448" spans="2:52" ht="20.100000000000001" customHeight="1">
      <c r="C448" s="102"/>
      <c r="D448" s="3"/>
      <c r="E448" s="12"/>
      <c r="F448" s="3"/>
      <c r="G448" s="3"/>
      <c r="H448" s="3"/>
      <c r="J448" s="3"/>
      <c r="K448" s="3"/>
      <c r="L448" s="4"/>
      <c r="M448" s="3"/>
      <c r="O448" s="58"/>
      <c r="Q448" s="64"/>
      <c r="R448" s="45"/>
      <c r="S448" s="45"/>
      <c r="U448" s="64"/>
      <c r="V448" s="45"/>
      <c r="W448" s="64"/>
      <c r="X448" s="64"/>
      <c r="Y448" s="45"/>
      <c r="Z448" s="45"/>
      <c r="AA448" s="105"/>
      <c r="AB448" s="105"/>
      <c r="AC448" s="105"/>
      <c r="AD448" s="64"/>
      <c r="AG448" s="45"/>
      <c r="AH448" s="64"/>
      <c r="AI448" s="45"/>
      <c r="AJ448" s="105"/>
      <c r="AK448" s="105"/>
      <c r="AL448" s="60"/>
      <c r="AM448" s="60"/>
      <c r="AN448" s="60"/>
      <c r="AO448" s="60"/>
      <c r="AP448" s="60"/>
      <c r="AQ448" s="60"/>
      <c r="AR448" s="60"/>
      <c r="AS448" s="60"/>
      <c r="AT448" s="45"/>
      <c r="AU448" s="45"/>
      <c r="AW448" s="45"/>
      <c r="AX448" s="46">
        <f t="shared" si="19"/>
        <v>0</v>
      </c>
      <c r="AY448" s="46">
        <f t="shared" si="20"/>
        <v>0</v>
      </c>
      <c r="AZ448" s="46">
        <f t="shared" si="21"/>
        <v>0</v>
      </c>
    </row>
    <row r="449" spans="3:52" ht="20.100000000000001" customHeight="1">
      <c r="C449" s="102"/>
      <c r="D449" s="3"/>
      <c r="E449" s="12"/>
      <c r="F449" s="3"/>
      <c r="G449" s="3"/>
      <c r="H449" s="3"/>
      <c r="J449" s="3"/>
      <c r="K449" s="3"/>
      <c r="L449" s="4"/>
      <c r="M449" s="3"/>
      <c r="O449" s="58"/>
      <c r="Q449" s="64"/>
      <c r="R449" s="45"/>
      <c r="S449" s="45"/>
      <c r="U449" s="64"/>
      <c r="V449" s="45"/>
      <c r="W449" s="64"/>
      <c r="X449" s="64"/>
      <c r="Y449" s="45"/>
      <c r="Z449" s="45"/>
      <c r="AA449" s="105"/>
      <c r="AB449" s="105"/>
      <c r="AC449" s="105"/>
      <c r="AD449" s="64"/>
      <c r="AG449" s="45"/>
      <c r="AH449" s="64"/>
      <c r="AI449" s="45"/>
      <c r="AJ449" s="105"/>
      <c r="AK449" s="105"/>
      <c r="AL449" s="60"/>
      <c r="AM449" s="60"/>
      <c r="AN449" s="60"/>
      <c r="AO449" s="60"/>
      <c r="AP449" s="60"/>
      <c r="AQ449" s="60"/>
      <c r="AR449" s="60"/>
      <c r="AS449" s="60"/>
      <c r="AT449" s="45"/>
      <c r="AU449" s="45"/>
      <c r="AW449" s="45"/>
      <c r="AX449" s="46">
        <f t="shared" si="19"/>
        <v>0</v>
      </c>
      <c r="AY449" s="46">
        <f t="shared" si="20"/>
        <v>0</v>
      </c>
      <c r="AZ449" s="46">
        <f t="shared" si="21"/>
        <v>0</v>
      </c>
    </row>
    <row r="450" spans="3:52" ht="20.100000000000001" customHeight="1">
      <c r="C450" s="102"/>
      <c r="D450" s="3"/>
      <c r="E450" s="12"/>
      <c r="F450" s="3"/>
      <c r="G450" s="3"/>
      <c r="H450" s="3"/>
      <c r="J450" s="3"/>
      <c r="K450" s="3"/>
      <c r="L450" s="4"/>
      <c r="M450" s="3"/>
      <c r="O450" s="58"/>
      <c r="Q450" s="64"/>
      <c r="R450" s="45"/>
      <c r="S450" s="45"/>
      <c r="U450" s="64"/>
      <c r="V450" s="45"/>
      <c r="W450" s="64"/>
      <c r="X450" s="64"/>
      <c r="Y450" s="45"/>
      <c r="Z450" s="45"/>
      <c r="AA450" s="105"/>
      <c r="AB450" s="105"/>
      <c r="AC450" s="105"/>
      <c r="AD450" s="64"/>
      <c r="AG450" s="45"/>
      <c r="AH450" s="64"/>
      <c r="AI450" s="45"/>
      <c r="AJ450" s="105"/>
      <c r="AK450" s="105"/>
      <c r="AL450" s="60"/>
      <c r="AM450" s="60"/>
      <c r="AN450" s="60"/>
      <c r="AO450" s="60"/>
      <c r="AP450" s="60"/>
      <c r="AQ450" s="60"/>
      <c r="AR450" s="60"/>
      <c r="AS450" s="60"/>
      <c r="AT450" s="45"/>
      <c r="AU450" s="45"/>
      <c r="AW450" s="45"/>
      <c r="AX450" s="46">
        <f t="shared" si="19"/>
        <v>0</v>
      </c>
      <c r="AY450" s="46">
        <f t="shared" si="20"/>
        <v>0</v>
      </c>
      <c r="AZ450" s="46">
        <f t="shared" si="21"/>
        <v>0</v>
      </c>
    </row>
    <row r="451" spans="3:52" ht="20.100000000000001" customHeight="1">
      <c r="C451" s="102"/>
      <c r="D451" s="3"/>
      <c r="E451" s="12"/>
      <c r="F451" s="3"/>
      <c r="G451" s="3"/>
      <c r="H451" s="3"/>
      <c r="J451" s="3"/>
      <c r="K451" s="3"/>
      <c r="L451" s="4"/>
      <c r="M451" s="3"/>
      <c r="O451" s="58"/>
      <c r="Q451" s="64"/>
      <c r="R451" s="45"/>
      <c r="S451" s="45"/>
      <c r="U451" s="64"/>
      <c r="V451" s="45"/>
      <c r="W451" s="64"/>
      <c r="X451" s="64"/>
      <c r="Y451" s="45"/>
      <c r="Z451" s="45"/>
      <c r="AA451" s="105"/>
      <c r="AB451" s="105"/>
      <c r="AC451" s="105"/>
      <c r="AD451" s="64"/>
      <c r="AG451" s="45"/>
      <c r="AH451" s="64"/>
      <c r="AI451" s="45"/>
      <c r="AJ451" s="105"/>
      <c r="AK451" s="105"/>
      <c r="AL451" s="60"/>
      <c r="AM451" s="60"/>
      <c r="AN451" s="60"/>
      <c r="AO451" s="60"/>
      <c r="AP451" s="60"/>
      <c r="AQ451" s="60"/>
      <c r="AR451" s="60"/>
      <c r="AS451" s="60"/>
      <c r="AT451" s="45"/>
      <c r="AU451" s="45"/>
      <c r="AW451" s="45"/>
      <c r="AX451" s="46">
        <f t="shared" si="19"/>
        <v>0</v>
      </c>
      <c r="AY451" s="46">
        <f t="shared" si="20"/>
        <v>0</v>
      </c>
      <c r="AZ451" s="46">
        <f t="shared" si="21"/>
        <v>0</v>
      </c>
    </row>
    <row r="452" spans="3:52" ht="20.100000000000001" customHeight="1">
      <c r="C452" s="102"/>
      <c r="D452" s="3"/>
      <c r="E452" s="12"/>
      <c r="F452" s="3"/>
      <c r="G452" s="3"/>
      <c r="H452" s="3"/>
      <c r="J452" s="3"/>
      <c r="K452" s="3"/>
      <c r="L452" s="4"/>
      <c r="M452" s="3"/>
      <c r="O452" s="58"/>
      <c r="Q452" s="64"/>
      <c r="R452" s="45"/>
      <c r="S452" s="45"/>
      <c r="U452" s="64"/>
      <c r="V452" s="45"/>
      <c r="W452" s="64"/>
      <c r="X452" s="64"/>
      <c r="Y452" s="45"/>
      <c r="Z452" s="45"/>
      <c r="AA452" s="105"/>
      <c r="AB452" s="105"/>
      <c r="AC452" s="105"/>
      <c r="AD452" s="64"/>
      <c r="AH452" s="64"/>
      <c r="AI452" s="45"/>
      <c r="AJ452" s="105"/>
      <c r="AK452" s="105"/>
      <c r="AL452" s="60"/>
      <c r="AM452" s="60"/>
      <c r="AN452" s="60"/>
      <c r="AO452" s="60"/>
      <c r="AP452" s="60"/>
      <c r="AQ452" s="60"/>
      <c r="AR452" s="60"/>
      <c r="AS452" s="60"/>
      <c r="AT452" s="45"/>
      <c r="AU452" s="45"/>
      <c r="AW452" s="45"/>
      <c r="AX452" s="46">
        <f t="shared" si="19"/>
        <v>0</v>
      </c>
      <c r="AY452" s="46">
        <f t="shared" si="20"/>
        <v>0</v>
      </c>
      <c r="AZ452" s="46">
        <f t="shared" si="21"/>
        <v>0</v>
      </c>
    </row>
    <row r="453" spans="3:52" ht="20.100000000000001" customHeight="1">
      <c r="C453" s="102"/>
      <c r="D453" s="3"/>
      <c r="E453" s="12"/>
      <c r="F453" s="3"/>
      <c r="G453" s="3"/>
      <c r="H453" s="3"/>
      <c r="J453" s="3"/>
      <c r="K453" s="3"/>
      <c r="L453" s="4"/>
      <c r="M453" s="3"/>
      <c r="O453" s="58"/>
      <c r="Q453" s="64"/>
      <c r="R453" s="45"/>
      <c r="S453" s="45"/>
      <c r="U453" s="64"/>
      <c r="V453" s="45"/>
      <c r="W453" s="64"/>
      <c r="X453" s="64"/>
      <c r="Y453" s="45"/>
      <c r="Z453" s="45"/>
      <c r="AA453" s="105"/>
      <c r="AB453" s="105"/>
      <c r="AC453" s="105"/>
      <c r="AD453" s="64"/>
      <c r="AG453" s="45"/>
      <c r="AH453" s="64"/>
      <c r="AI453" s="45"/>
      <c r="AJ453" s="105"/>
      <c r="AK453" s="105"/>
      <c r="AL453" s="60"/>
      <c r="AM453" s="60"/>
      <c r="AN453" s="60"/>
      <c r="AO453" s="60"/>
      <c r="AP453" s="60"/>
      <c r="AQ453" s="60"/>
      <c r="AR453" s="60"/>
      <c r="AS453" s="60"/>
      <c r="AT453" s="45"/>
      <c r="AU453" s="45"/>
      <c r="AW453" s="45"/>
      <c r="AX453" s="46">
        <f t="shared" si="19"/>
        <v>0</v>
      </c>
      <c r="AY453" s="46">
        <f t="shared" si="20"/>
        <v>0</v>
      </c>
      <c r="AZ453" s="46">
        <f t="shared" si="21"/>
        <v>0</v>
      </c>
    </row>
    <row r="454" spans="3:52" ht="20.100000000000001" customHeight="1">
      <c r="C454" s="102"/>
      <c r="D454" s="3"/>
      <c r="E454" s="12"/>
      <c r="F454" s="3"/>
      <c r="G454" s="3"/>
      <c r="H454" s="3"/>
      <c r="J454" s="3"/>
      <c r="K454" s="3"/>
      <c r="L454" s="4"/>
      <c r="M454" s="3"/>
      <c r="O454" s="58"/>
      <c r="Q454" s="64"/>
      <c r="R454" s="45"/>
      <c r="S454" s="45"/>
      <c r="U454" s="64"/>
      <c r="V454" s="45"/>
      <c r="W454" s="64"/>
      <c r="X454" s="64"/>
      <c r="Y454" s="45"/>
      <c r="Z454" s="45"/>
      <c r="AA454" s="105"/>
      <c r="AB454" s="105"/>
      <c r="AC454" s="105"/>
      <c r="AD454" s="64"/>
      <c r="AH454" s="64"/>
      <c r="AI454" s="45"/>
      <c r="AJ454" s="105"/>
      <c r="AK454" s="105"/>
      <c r="AL454" s="60"/>
      <c r="AM454" s="60"/>
      <c r="AN454" s="60"/>
      <c r="AO454" s="60"/>
      <c r="AP454" s="60"/>
      <c r="AQ454" s="60"/>
      <c r="AR454" s="60"/>
      <c r="AS454" s="60"/>
      <c r="AT454" s="45"/>
      <c r="AU454" s="45"/>
      <c r="AW454" s="45"/>
      <c r="AX454" s="46">
        <f t="shared" si="19"/>
        <v>0</v>
      </c>
      <c r="AY454" s="46">
        <f t="shared" si="20"/>
        <v>0</v>
      </c>
      <c r="AZ454" s="46">
        <f t="shared" si="21"/>
        <v>0</v>
      </c>
    </row>
    <row r="455" spans="3:52" ht="20.100000000000001" customHeight="1">
      <c r="C455" s="102"/>
      <c r="D455" s="3"/>
      <c r="E455" s="67"/>
      <c r="F455" s="3"/>
      <c r="G455" s="3"/>
      <c r="H455" s="3"/>
      <c r="J455" s="3"/>
      <c r="K455" s="3"/>
      <c r="L455" s="4"/>
      <c r="M455" s="3"/>
      <c r="O455" s="58"/>
      <c r="Q455" s="64"/>
      <c r="R455" s="45"/>
      <c r="S455" s="45"/>
      <c r="U455" s="64"/>
      <c r="V455" s="45"/>
      <c r="W455" s="64"/>
      <c r="X455" s="64"/>
      <c r="Y455" s="45"/>
      <c r="Z455" s="45"/>
      <c r="AA455" s="105"/>
      <c r="AB455" s="105"/>
      <c r="AC455" s="105"/>
      <c r="AD455" s="64"/>
      <c r="AG455" s="45"/>
      <c r="AH455" s="64"/>
      <c r="AI455" s="45"/>
      <c r="AJ455" s="105"/>
      <c r="AK455" s="105"/>
      <c r="AL455" s="60"/>
      <c r="AM455" s="60"/>
      <c r="AN455" s="60"/>
      <c r="AO455" s="60"/>
      <c r="AP455" s="60"/>
      <c r="AQ455" s="60"/>
      <c r="AR455" s="60"/>
      <c r="AS455" s="60"/>
      <c r="AT455" s="45"/>
      <c r="AU455" s="45"/>
      <c r="AW455" s="45"/>
      <c r="AX455" s="46">
        <f t="shared" si="19"/>
        <v>0</v>
      </c>
      <c r="AY455" s="46">
        <f t="shared" si="20"/>
        <v>0</v>
      </c>
      <c r="AZ455" s="46">
        <f t="shared" si="21"/>
        <v>0</v>
      </c>
    </row>
    <row r="456" spans="3:52" ht="20.100000000000001" customHeight="1">
      <c r="C456" s="102"/>
      <c r="D456" s="3"/>
      <c r="E456" s="12"/>
      <c r="F456" s="3"/>
      <c r="G456" s="3"/>
      <c r="H456" s="3"/>
      <c r="J456" s="3"/>
      <c r="K456" s="3"/>
      <c r="L456" s="4"/>
      <c r="M456" s="3"/>
      <c r="O456" s="58"/>
      <c r="Q456" s="64"/>
      <c r="R456" s="45"/>
      <c r="S456" s="45"/>
      <c r="U456" s="64"/>
      <c r="V456" s="45"/>
      <c r="W456" s="64"/>
      <c r="X456" s="64"/>
      <c r="Y456" s="45"/>
      <c r="Z456" s="45"/>
      <c r="AA456" s="105"/>
      <c r="AB456" s="105"/>
      <c r="AC456" s="105"/>
      <c r="AD456" s="64"/>
      <c r="AG456" s="45"/>
      <c r="AH456" s="64"/>
      <c r="AI456" s="45"/>
      <c r="AJ456" s="105"/>
      <c r="AK456" s="105"/>
      <c r="AL456" s="60"/>
      <c r="AM456" s="60"/>
      <c r="AN456" s="60"/>
      <c r="AO456" s="60"/>
      <c r="AP456" s="60"/>
      <c r="AQ456" s="60"/>
      <c r="AR456" s="60"/>
      <c r="AS456" s="60"/>
      <c r="AT456" s="45"/>
      <c r="AU456" s="45"/>
      <c r="AW456" s="45"/>
      <c r="AX456" s="46">
        <f t="shared" si="19"/>
        <v>0</v>
      </c>
      <c r="AY456" s="46">
        <f t="shared" si="20"/>
        <v>0</v>
      </c>
      <c r="AZ456" s="46">
        <f t="shared" si="21"/>
        <v>0</v>
      </c>
    </row>
    <row r="457" spans="3:52" ht="20.100000000000001" customHeight="1">
      <c r="C457" s="102"/>
      <c r="D457" s="3"/>
      <c r="E457" s="12"/>
      <c r="F457" s="3"/>
      <c r="G457" s="3"/>
      <c r="H457" s="3"/>
      <c r="J457" s="3"/>
      <c r="K457" s="3"/>
      <c r="L457" s="4"/>
      <c r="M457" s="3"/>
      <c r="O457" s="58"/>
      <c r="Q457" s="64"/>
      <c r="R457" s="45"/>
      <c r="S457" s="45"/>
      <c r="U457" s="64"/>
      <c r="V457" s="45"/>
      <c r="W457" s="64"/>
      <c r="X457" s="64"/>
      <c r="Y457" s="45"/>
      <c r="Z457" s="45"/>
      <c r="AA457" s="105"/>
      <c r="AB457" s="105"/>
      <c r="AC457" s="105"/>
      <c r="AD457" s="64"/>
      <c r="AG457" s="45"/>
      <c r="AH457" s="64"/>
      <c r="AI457" s="45"/>
      <c r="AJ457" s="105"/>
      <c r="AK457" s="105"/>
      <c r="AL457" s="60"/>
      <c r="AM457" s="60"/>
      <c r="AN457" s="60"/>
      <c r="AO457" s="60"/>
      <c r="AP457" s="60"/>
      <c r="AQ457" s="60"/>
      <c r="AR457" s="60"/>
      <c r="AS457" s="60"/>
      <c r="AT457" s="45"/>
      <c r="AU457" s="45"/>
      <c r="AW457" s="45"/>
      <c r="AX457" s="46">
        <f t="shared" si="19"/>
        <v>0</v>
      </c>
      <c r="AY457" s="46">
        <f t="shared" si="20"/>
        <v>0</v>
      </c>
      <c r="AZ457" s="46">
        <f t="shared" si="21"/>
        <v>0</v>
      </c>
    </row>
    <row r="458" spans="3:52" ht="20.100000000000001" customHeight="1">
      <c r="C458" s="102"/>
      <c r="D458" s="3"/>
      <c r="E458" s="12"/>
      <c r="F458" s="3"/>
      <c r="G458" s="3"/>
      <c r="H458" s="3"/>
      <c r="J458" s="3"/>
      <c r="K458" s="3"/>
      <c r="L458" s="4"/>
      <c r="M458" s="3"/>
      <c r="O458" s="58"/>
      <c r="Q458" s="64"/>
      <c r="R458" s="45"/>
      <c r="S458" s="45"/>
      <c r="U458" s="64"/>
      <c r="V458" s="45"/>
      <c r="W458" s="64"/>
      <c r="X458" s="64"/>
      <c r="Y458" s="45"/>
      <c r="Z458" s="45"/>
      <c r="AA458" s="105"/>
      <c r="AB458" s="105"/>
      <c r="AC458" s="105"/>
      <c r="AD458" s="64"/>
      <c r="AG458" s="45"/>
      <c r="AH458" s="64"/>
      <c r="AI458" s="45"/>
      <c r="AJ458" s="105"/>
      <c r="AK458" s="105"/>
      <c r="AL458" s="60"/>
      <c r="AM458" s="60"/>
      <c r="AN458" s="60"/>
      <c r="AO458" s="60"/>
      <c r="AP458" s="60"/>
      <c r="AQ458" s="60"/>
      <c r="AR458" s="60"/>
      <c r="AS458" s="60"/>
      <c r="AT458" s="45"/>
      <c r="AU458" s="45"/>
      <c r="AW458" s="45"/>
      <c r="AX458" s="46">
        <f t="shared" si="19"/>
        <v>0</v>
      </c>
      <c r="AY458" s="46">
        <f t="shared" si="20"/>
        <v>0</v>
      </c>
      <c r="AZ458" s="46">
        <f t="shared" si="21"/>
        <v>0</v>
      </c>
    </row>
    <row r="459" spans="3:52" ht="20.100000000000001" customHeight="1">
      <c r="C459" s="102"/>
      <c r="D459" s="3"/>
      <c r="E459" s="12"/>
      <c r="F459" s="3"/>
      <c r="G459" s="3"/>
      <c r="H459" s="3"/>
      <c r="J459" s="3"/>
      <c r="K459" s="3"/>
      <c r="L459" s="4"/>
      <c r="M459" s="3"/>
      <c r="O459" s="58"/>
      <c r="Q459" s="64"/>
      <c r="R459" s="45"/>
      <c r="S459" s="45"/>
      <c r="U459" s="64"/>
      <c r="V459" s="45"/>
      <c r="W459" s="64"/>
      <c r="X459" s="64"/>
      <c r="Y459" s="45"/>
      <c r="Z459" s="45"/>
      <c r="AA459" s="105"/>
      <c r="AB459" s="105"/>
      <c r="AC459" s="105"/>
      <c r="AD459" s="64"/>
      <c r="AG459" s="45"/>
      <c r="AH459" s="64"/>
      <c r="AI459" s="45"/>
      <c r="AJ459" s="105"/>
      <c r="AK459" s="105"/>
      <c r="AL459" s="60"/>
      <c r="AM459" s="60"/>
      <c r="AN459" s="60"/>
      <c r="AO459" s="60"/>
      <c r="AP459" s="60"/>
      <c r="AQ459" s="60"/>
      <c r="AR459" s="60"/>
      <c r="AS459" s="60"/>
      <c r="AT459" s="45"/>
      <c r="AU459" s="45"/>
      <c r="AW459" s="45"/>
      <c r="AX459" s="46">
        <f t="shared" ref="AX459:AX522" si="22">IFERROR(SUM(Q459:AS459)-SUM(AT459:AU459)+AV459,"-")</f>
        <v>0</v>
      </c>
      <c r="AY459" s="46">
        <f t="shared" ref="AY459:AY522" si="23">IFERROR(SUM(Q459:AS459)-SUM(AT459:AT459),"-")</f>
        <v>0</v>
      </c>
      <c r="AZ459" s="46">
        <f t="shared" ref="AZ459:AZ522" si="24">SUM(Q459:AS459)</f>
        <v>0</v>
      </c>
    </row>
    <row r="460" spans="3:52" ht="20.100000000000001" customHeight="1">
      <c r="C460" s="102"/>
      <c r="D460" s="3"/>
      <c r="E460" s="12"/>
      <c r="F460" s="3"/>
      <c r="G460" s="3"/>
      <c r="H460" s="3"/>
      <c r="J460" s="3"/>
      <c r="K460" s="3"/>
      <c r="L460" s="4"/>
      <c r="M460" s="3"/>
      <c r="O460" s="58"/>
      <c r="Q460" s="64"/>
      <c r="R460" s="45"/>
      <c r="S460" s="45"/>
      <c r="U460" s="64"/>
      <c r="V460" s="45"/>
      <c r="W460" s="64"/>
      <c r="X460" s="64"/>
      <c r="Y460" s="45"/>
      <c r="Z460" s="45"/>
      <c r="AA460" s="105"/>
      <c r="AB460" s="105"/>
      <c r="AC460" s="105"/>
      <c r="AD460" s="64"/>
      <c r="AG460" s="45"/>
      <c r="AH460" s="64"/>
      <c r="AI460" s="45"/>
      <c r="AJ460" s="105"/>
      <c r="AK460" s="105"/>
      <c r="AL460" s="60"/>
      <c r="AM460" s="60"/>
      <c r="AN460" s="60"/>
      <c r="AO460" s="60"/>
      <c r="AP460" s="60"/>
      <c r="AQ460" s="60"/>
      <c r="AR460" s="60"/>
      <c r="AS460" s="60"/>
      <c r="AT460" s="45"/>
      <c r="AU460" s="45"/>
      <c r="AW460" s="45"/>
      <c r="AX460" s="46">
        <f t="shared" si="22"/>
        <v>0</v>
      </c>
      <c r="AY460" s="46">
        <f t="shared" si="23"/>
        <v>0</v>
      </c>
      <c r="AZ460" s="46">
        <f t="shared" si="24"/>
        <v>0</v>
      </c>
    </row>
    <row r="461" spans="3:52" ht="20.100000000000001" customHeight="1">
      <c r="C461" s="102"/>
      <c r="D461" s="3"/>
      <c r="E461" s="12"/>
      <c r="F461" s="3"/>
      <c r="G461" s="3"/>
      <c r="H461" s="3"/>
      <c r="J461" s="3"/>
      <c r="K461" s="3"/>
      <c r="L461" s="4"/>
      <c r="M461" s="3"/>
      <c r="O461" s="58"/>
      <c r="Q461" s="64"/>
      <c r="R461" s="45"/>
      <c r="S461" s="45"/>
      <c r="U461" s="64"/>
      <c r="V461" s="45"/>
      <c r="W461" s="64"/>
      <c r="X461" s="64"/>
      <c r="Y461" s="45"/>
      <c r="Z461" s="45"/>
      <c r="AA461" s="105"/>
      <c r="AB461" s="105"/>
      <c r="AC461" s="105"/>
      <c r="AD461" s="64"/>
      <c r="AG461" s="45"/>
      <c r="AH461" s="64"/>
      <c r="AI461" s="45"/>
      <c r="AJ461" s="105"/>
      <c r="AK461" s="105"/>
      <c r="AL461" s="60"/>
      <c r="AM461" s="60"/>
      <c r="AN461" s="60"/>
      <c r="AO461" s="60"/>
      <c r="AP461" s="60"/>
      <c r="AQ461" s="60"/>
      <c r="AR461" s="60"/>
      <c r="AS461" s="60"/>
      <c r="AT461" s="45"/>
      <c r="AU461" s="45"/>
      <c r="AW461" s="45"/>
      <c r="AX461" s="46">
        <f t="shared" si="22"/>
        <v>0</v>
      </c>
      <c r="AY461" s="46">
        <f t="shared" si="23"/>
        <v>0</v>
      </c>
      <c r="AZ461" s="46">
        <f t="shared" si="24"/>
        <v>0</v>
      </c>
    </row>
    <row r="462" spans="3:52" ht="20.100000000000001" customHeight="1">
      <c r="C462" s="102"/>
      <c r="D462" s="3"/>
      <c r="E462" s="12"/>
      <c r="F462" s="3"/>
      <c r="G462" s="3"/>
      <c r="H462" s="3"/>
      <c r="J462" s="3"/>
      <c r="K462" s="3"/>
      <c r="L462" s="4"/>
      <c r="M462" s="3"/>
      <c r="O462" s="58"/>
      <c r="Q462" s="64"/>
      <c r="R462" s="45"/>
      <c r="S462" s="45"/>
      <c r="U462" s="64"/>
      <c r="V462" s="45"/>
      <c r="W462" s="64"/>
      <c r="X462" s="64"/>
      <c r="Y462" s="45"/>
      <c r="Z462" s="45"/>
      <c r="AA462" s="105"/>
      <c r="AB462" s="105"/>
      <c r="AC462" s="105"/>
      <c r="AD462" s="64"/>
      <c r="AG462" s="45"/>
      <c r="AH462" s="64"/>
      <c r="AI462" s="45"/>
      <c r="AJ462" s="105"/>
      <c r="AK462" s="105"/>
      <c r="AL462" s="60"/>
      <c r="AM462" s="60"/>
      <c r="AN462" s="60"/>
      <c r="AO462" s="60"/>
      <c r="AP462" s="60"/>
      <c r="AQ462" s="60"/>
      <c r="AR462" s="60"/>
      <c r="AS462" s="60"/>
      <c r="AT462" s="45"/>
      <c r="AU462" s="45"/>
      <c r="AW462" s="45"/>
      <c r="AX462" s="46">
        <f t="shared" si="22"/>
        <v>0</v>
      </c>
      <c r="AY462" s="46">
        <f t="shared" si="23"/>
        <v>0</v>
      </c>
      <c r="AZ462" s="46">
        <f t="shared" si="24"/>
        <v>0</v>
      </c>
    </row>
    <row r="463" spans="3:52" ht="20.100000000000001" customHeight="1">
      <c r="C463" s="102"/>
      <c r="D463" s="3"/>
      <c r="E463" s="12"/>
      <c r="F463" s="3"/>
      <c r="G463" s="3"/>
      <c r="H463" s="3"/>
      <c r="J463" s="3"/>
      <c r="K463" s="3"/>
      <c r="L463" s="4"/>
      <c r="M463" s="3"/>
      <c r="O463" s="58"/>
      <c r="Q463" s="64"/>
      <c r="R463" s="45"/>
      <c r="S463" s="45"/>
      <c r="U463" s="64"/>
      <c r="V463" s="45"/>
      <c r="W463" s="64"/>
      <c r="X463" s="64"/>
      <c r="Y463" s="45"/>
      <c r="Z463" s="45"/>
      <c r="AA463" s="105"/>
      <c r="AB463" s="105"/>
      <c r="AC463" s="105"/>
      <c r="AD463" s="64"/>
      <c r="AG463" s="45"/>
      <c r="AH463" s="64"/>
      <c r="AI463" s="45"/>
      <c r="AJ463" s="105"/>
      <c r="AK463" s="105"/>
      <c r="AL463" s="60"/>
      <c r="AM463" s="60"/>
      <c r="AN463" s="60"/>
      <c r="AO463" s="60"/>
      <c r="AP463" s="60"/>
      <c r="AQ463" s="60"/>
      <c r="AR463" s="60"/>
      <c r="AS463" s="60"/>
      <c r="AT463" s="45"/>
      <c r="AU463" s="45"/>
      <c r="AW463" s="45"/>
      <c r="AX463" s="46">
        <f t="shared" si="22"/>
        <v>0</v>
      </c>
      <c r="AY463" s="46">
        <f t="shared" si="23"/>
        <v>0</v>
      </c>
      <c r="AZ463" s="46">
        <f t="shared" si="24"/>
        <v>0</v>
      </c>
    </row>
    <row r="464" spans="3:52" ht="20.100000000000001" customHeight="1">
      <c r="C464" s="102"/>
      <c r="D464" s="3"/>
      <c r="E464" s="12"/>
      <c r="F464" s="3"/>
      <c r="G464" s="3"/>
      <c r="H464" s="3"/>
      <c r="J464" s="3"/>
      <c r="K464" s="3"/>
      <c r="L464" s="4"/>
      <c r="M464" s="3"/>
      <c r="O464" s="58"/>
      <c r="Q464" s="64"/>
      <c r="R464" s="45"/>
      <c r="S464" s="45"/>
      <c r="U464" s="64"/>
      <c r="V464" s="45"/>
      <c r="W464" s="64"/>
      <c r="X464" s="64"/>
      <c r="Y464" s="45"/>
      <c r="Z464" s="45"/>
      <c r="AA464" s="105"/>
      <c r="AB464" s="105"/>
      <c r="AC464" s="105"/>
      <c r="AD464" s="64"/>
      <c r="AG464" s="45"/>
      <c r="AH464" s="64"/>
      <c r="AI464" s="45"/>
      <c r="AJ464" s="105"/>
      <c r="AK464" s="105"/>
      <c r="AL464" s="60"/>
      <c r="AM464" s="60"/>
      <c r="AN464" s="60"/>
      <c r="AO464" s="60"/>
      <c r="AP464" s="60"/>
      <c r="AQ464" s="60"/>
      <c r="AR464" s="60"/>
      <c r="AS464" s="60"/>
      <c r="AT464" s="45"/>
      <c r="AU464" s="45"/>
      <c r="AW464" s="45"/>
      <c r="AX464" s="46">
        <f t="shared" si="22"/>
        <v>0</v>
      </c>
      <c r="AY464" s="46">
        <f t="shared" si="23"/>
        <v>0</v>
      </c>
      <c r="AZ464" s="46">
        <f t="shared" si="24"/>
        <v>0</v>
      </c>
    </row>
    <row r="465" spans="3:52" ht="20.100000000000001" customHeight="1">
      <c r="C465" s="102"/>
      <c r="D465" s="3"/>
      <c r="E465" s="12"/>
      <c r="F465" s="3"/>
      <c r="G465" s="3"/>
      <c r="H465" s="3"/>
      <c r="J465" s="3"/>
      <c r="K465" s="3"/>
      <c r="L465" s="4"/>
      <c r="M465" s="3"/>
      <c r="O465" s="58"/>
      <c r="Q465" s="64"/>
      <c r="R465" s="45"/>
      <c r="S465" s="45"/>
      <c r="U465" s="64"/>
      <c r="V465" s="45"/>
      <c r="W465" s="64"/>
      <c r="X465" s="64"/>
      <c r="Y465" s="45"/>
      <c r="Z465" s="45"/>
      <c r="AA465" s="105"/>
      <c r="AB465" s="105"/>
      <c r="AC465" s="105"/>
      <c r="AD465" s="64"/>
      <c r="AH465" s="64"/>
      <c r="AI465" s="45"/>
      <c r="AJ465" s="105"/>
      <c r="AK465" s="105"/>
      <c r="AL465" s="60"/>
      <c r="AM465" s="60"/>
      <c r="AN465" s="60"/>
      <c r="AO465" s="60"/>
      <c r="AP465" s="60"/>
      <c r="AQ465" s="60"/>
      <c r="AR465" s="60"/>
      <c r="AS465" s="60"/>
      <c r="AT465" s="45"/>
      <c r="AU465" s="45"/>
      <c r="AW465" s="45"/>
      <c r="AX465" s="46">
        <f t="shared" si="22"/>
        <v>0</v>
      </c>
      <c r="AY465" s="46">
        <f t="shared" si="23"/>
        <v>0</v>
      </c>
      <c r="AZ465" s="46">
        <f t="shared" si="24"/>
        <v>0</v>
      </c>
    </row>
    <row r="466" spans="3:52" ht="20.100000000000001" customHeight="1">
      <c r="C466" s="102"/>
      <c r="D466" s="3"/>
      <c r="E466" s="12"/>
      <c r="F466" s="3"/>
      <c r="G466" s="3"/>
      <c r="H466" s="3"/>
      <c r="J466" s="3"/>
      <c r="K466" s="3"/>
      <c r="L466" s="4"/>
      <c r="M466" s="3"/>
      <c r="O466" s="58"/>
      <c r="Q466" s="64"/>
      <c r="R466" s="45"/>
      <c r="S466" s="45"/>
      <c r="U466" s="64"/>
      <c r="V466" s="45"/>
      <c r="W466" s="64"/>
      <c r="X466" s="64"/>
      <c r="Y466" s="45"/>
      <c r="Z466" s="45"/>
      <c r="AA466" s="105"/>
      <c r="AB466" s="105"/>
      <c r="AC466" s="105"/>
      <c r="AD466" s="64"/>
      <c r="AG466" s="45"/>
      <c r="AH466" s="64"/>
      <c r="AI466" s="45"/>
      <c r="AJ466" s="105"/>
      <c r="AK466" s="105"/>
      <c r="AL466" s="60"/>
      <c r="AM466" s="60"/>
      <c r="AN466" s="60"/>
      <c r="AO466" s="60"/>
      <c r="AP466" s="60"/>
      <c r="AQ466" s="60"/>
      <c r="AR466" s="60"/>
      <c r="AS466" s="60"/>
      <c r="AT466" s="45"/>
      <c r="AU466" s="45"/>
      <c r="AW466" s="45"/>
      <c r="AX466" s="46">
        <f t="shared" si="22"/>
        <v>0</v>
      </c>
      <c r="AY466" s="46">
        <f t="shared" si="23"/>
        <v>0</v>
      </c>
      <c r="AZ466" s="46">
        <f t="shared" si="24"/>
        <v>0</v>
      </c>
    </row>
    <row r="467" spans="3:52" ht="20.100000000000001" customHeight="1">
      <c r="C467" s="102"/>
      <c r="D467" s="3"/>
      <c r="E467" s="12"/>
      <c r="F467" s="3"/>
      <c r="G467" s="3"/>
      <c r="H467" s="3"/>
      <c r="J467" s="3"/>
      <c r="K467" s="3"/>
      <c r="L467" s="4"/>
      <c r="M467" s="3"/>
      <c r="O467" s="58"/>
      <c r="Q467" s="64"/>
      <c r="R467" s="45"/>
      <c r="S467" s="45"/>
      <c r="U467" s="64"/>
      <c r="V467" s="45"/>
      <c r="W467" s="64"/>
      <c r="X467" s="64"/>
      <c r="Y467" s="45"/>
      <c r="Z467" s="45"/>
      <c r="AA467" s="105"/>
      <c r="AB467" s="105"/>
      <c r="AC467" s="105"/>
      <c r="AD467" s="64"/>
      <c r="AG467" s="45"/>
      <c r="AH467" s="64"/>
      <c r="AI467" s="45"/>
      <c r="AJ467" s="105"/>
      <c r="AK467" s="105"/>
      <c r="AL467" s="60"/>
      <c r="AM467" s="60"/>
      <c r="AN467" s="60"/>
      <c r="AO467" s="60"/>
      <c r="AP467" s="60"/>
      <c r="AQ467" s="60"/>
      <c r="AR467" s="60"/>
      <c r="AS467" s="60"/>
      <c r="AT467" s="45"/>
      <c r="AU467" s="45"/>
      <c r="AW467" s="45"/>
      <c r="AX467" s="46">
        <f t="shared" si="22"/>
        <v>0</v>
      </c>
      <c r="AY467" s="46">
        <f t="shared" si="23"/>
        <v>0</v>
      </c>
      <c r="AZ467" s="46">
        <f t="shared" si="24"/>
        <v>0</v>
      </c>
    </row>
    <row r="468" spans="3:52" ht="20.100000000000001" customHeight="1">
      <c r="C468" s="102"/>
      <c r="D468" s="3"/>
      <c r="E468" s="12"/>
      <c r="F468" s="3"/>
      <c r="G468" s="3"/>
      <c r="H468" s="3"/>
      <c r="J468" s="3"/>
      <c r="K468" s="3"/>
      <c r="L468" s="4"/>
      <c r="M468" s="3"/>
      <c r="O468" s="58"/>
      <c r="Q468" s="64"/>
      <c r="R468" s="45"/>
      <c r="S468" s="45"/>
      <c r="U468" s="64"/>
      <c r="V468" s="45"/>
      <c r="W468" s="64"/>
      <c r="X468" s="64"/>
      <c r="Y468" s="45"/>
      <c r="Z468" s="45"/>
      <c r="AA468" s="105"/>
      <c r="AB468" s="105"/>
      <c r="AC468" s="105"/>
      <c r="AD468" s="64"/>
      <c r="AG468" s="45"/>
      <c r="AH468" s="64"/>
      <c r="AI468" s="45"/>
      <c r="AJ468" s="105"/>
      <c r="AK468" s="105"/>
      <c r="AL468" s="60"/>
      <c r="AM468" s="60"/>
      <c r="AN468" s="60"/>
      <c r="AO468" s="60"/>
      <c r="AP468" s="60"/>
      <c r="AQ468" s="60"/>
      <c r="AR468" s="60"/>
      <c r="AS468" s="60"/>
      <c r="AT468" s="45"/>
      <c r="AU468" s="45"/>
      <c r="AW468" s="45"/>
      <c r="AX468" s="46">
        <f t="shared" si="22"/>
        <v>0</v>
      </c>
      <c r="AY468" s="46">
        <f t="shared" si="23"/>
        <v>0</v>
      </c>
      <c r="AZ468" s="46">
        <f t="shared" si="24"/>
        <v>0</v>
      </c>
    </row>
    <row r="469" spans="3:52" ht="20.100000000000001" customHeight="1">
      <c r="C469" s="102"/>
      <c r="D469" s="3"/>
      <c r="E469" s="12"/>
      <c r="F469" s="3"/>
      <c r="G469" s="3"/>
      <c r="H469" s="3"/>
      <c r="J469" s="3"/>
      <c r="K469" s="3"/>
      <c r="L469" s="4"/>
      <c r="M469" s="3"/>
      <c r="O469" s="58"/>
      <c r="Q469" s="64"/>
      <c r="R469" s="45"/>
      <c r="S469" s="45"/>
      <c r="U469" s="64"/>
      <c r="V469" s="45"/>
      <c r="W469" s="64"/>
      <c r="X469" s="64"/>
      <c r="Y469" s="45"/>
      <c r="Z469" s="45"/>
      <c r="AA469" s="105"/>
      <c r="AB469" s="105"/>
      <c r="AC469" s="105"/>
      <c r="AD469" s="64"/>
      <c r="AH469" s="64"/>
      <c r="AI469" s="45"/>
      <c r="AJ469" s="105"/>
      <c r="AK469" s="105"/>
      <c r="AL469" s="60"/>
      <c r="AM469" s="60"/>
      <c r="AN469" s="60"/>
      <c r="AO469" s="60"/>
      <c r="AP469" s="60"/>
      <c r="AQ469" s="60"/>
      <c r="AR469" s="60"/>
      <c r="AS469" s="60"/>
      <c r="AT469" s="45"/>
      <c r="AU469" s="45"/>
      <c r="AW469" s="45"/>
      <c r="AX469" s="46">
        <f t="shared" si="22"/>
        <v>0</v>
      </c>
      <c r="AY469" s="46">
        <f t="shared" si="23"/>
        <v>0</v>
      </c>
      <c r="AZ469" s="46">
        <f t="shared" si="24"/>
        <v>0</v>
      </c>
    </row>
    <row r="470" spans="3:52" ht="20.100000000000001" customHeight="1">
      <c r="C470" s="102"/>
      <c r="D470" s="3"/>
      <c r="E470" s="12"/>
      <c r="F470" s="3"/>
      <c r="G470" s="3"/>
      <c r="H470" s="3"/>
      <c r="J470" s="3"/>
      <c r="K470" s="3"/>
      <c r="L470" s="4"/>
      <c r="M470" s="3"/>
      <c r="O470" s="58"/>
      <c r="Q470" s="64"/>
      <c r="R470" s="45"/>
      <c r="S470" s="45"/>
      <c r="U470" s="64"/>
      <c r="V470" s="45"/>
      <c r="W470" s="64"/>
      <c r="X470" s="64"/>
      <c r="Y470" s="45"/>
      <c r="Z470" s="45"/>
      <c r="AA470" s="105"/>
      <c r="AB470" s="105"/>
      <c r="AC470" s="105"/>
      <c r="AD470" s="64"/>
      <c r="AH470" s="64"/>
      <c r="AI470" s="45"/>
      <c r="AJ470" s="105"/>
      <c r="AK470" s="105"/>
      <c r="AL470" s="60"/>
      <c r="AM470" s="60"/>
      <c r="AN470" s="60"/>
      <c r="AO470" s="60"/>
      <c r="AP470" s="60"/>
      <c r="AQ470" s="60"/>
      <c r="AR470" s="60"/>
      <c r="AS470" s="60"/>
      <c r="AT470" s="45"/>
      <c r="AU470" s="45"/>
      <c r="AW470" s="45"/>
      <c r="AX470" s="46">
        <f t="shared" si="22"/>
        <v>0</v>
      </c>
      <c r="AY470" s="46">
        <f t="shared" si="23"/>
        <v>0</v>
      </c>
      <c r="AZ470" s="46">
        <f t="shared" si="24"/>
        <v>0</v>
      </c>
    </row>
    <row r="471" spans="3:52" ht="20.100000000000001" customHeight="1">
      <c r="C471" s="102"/>
      <c r="D471" s="3"/>
      <c r="E471" s="12"/>
      <c r="F471" s="3"/>
      <c r="G471" s="3"/>
      <c r="H471" s="3"/>
      <c r="J471" s="3"/>
      <c r="K471" s="3"/>
      <c r="L471" s="4"/>
      <c r="M471" s="3"/>
      <c r="O471" s="58"/>
      <c r="Q471" s="64"/>
      <c r="R471" s="45"/>
      <c r="S471" s="45"/>
      <c r="U471" s="64"/>
      <c r="V471" s="45"/>
      <c r="W471" s="64"/>
      <c r="X471" s="64"/>
      <c r="Y471" s="45"/>
      <c r="Z471" s="45"/>
      <c r="AA471" s="105"/>
      <c r="AB471" s="105"/>
      <c r="AC471" s="105"/>
      <c r="AD471" s="64"/>
      <c r="AH471" s="64"/>
      <c r="AI471" s="45"/>
      <c r="AJ471" s="105"/>
      <c r="AK471" s="105"/>
      <c r="AL471" s="60"/>
      <c r="AM471" s="60"/>
      <c r="AN471" s="60"/>
      <c r="AO471" s="60"/>
      <c r="AP471" s="60"/>
      <c r="AQ471" s="60"/>
      <c r="AR471" s="60"/>
      <c r="AS471" s="60"/>
      <c r="AT471" s="45"/>
      <c r="AU471" s="45"/>
      <c r="AW471" s="45"/>
      <c r="AX471" s="46">
        <f t="shared" si="22"/>
        <v>0</v>
      </c>
      <c r="AY471" s="46">
        <f t="shared" si="23"/>
        <v>0</v>
      </c>
      <c r="AZ471" s="46">
        <f t="shared" si="24"/>
        <v>0</v>
      </c>
    </row>
    <row r="472" spans="3:52" ht="20.100000000000001" customHeight="1">
      <c r="C472" s="102"/>
      <c r="D472" s="3"/>
      <c r="E472" s="12"/>
      <c r="F472" s="3"/>
      <c r="G472" s="3"/>
      <c r="H472" s="3"/>
      <c r="J472" s="3"/>
      <c r="K472" s="3"/>
      <c r="L472" s="4"/>
      <c r="M472" s="3"/>
      <c r="O472" s="58"/>
      <c r="Q472" s="64"/>
      <c r="R472" s="45"/>
      <c r="S472" s="45"/>
      <c r="U472" s="64"/>
      <c r="V472" s="45"/>
      <c r="W472" s="64"/>
      <c r="X472" s="64"/>
      <c r="Y472" s="45"/>
      <c r="Z472" s="45"/>
      <c r="AA472" s="105"/>
      <c r="AB472" s="105"/>
      <c r="AC472" s="105"/>
      <c r="AD472" s="64"/>
      <c r="AG472" s="45"/>
      <c r="AH472" s="64"/>
      <c r="AI472" s="45"/>
      <c r="AJ472" s="105"/>
      <c r="AK472" s="105"/>
      <c r="AL472" s="60"/>
      <c r="AM472" s="60"/>
      <c r="AN472" s="60"/>
      <c r="AO472" s="60"/>
      <c r="AP472" s="60"/>
      <c r="AQ472" s="60"/>
      <c r="AR472" s="60"/>
      <c r="AS472" s="60"/>
      <c r="AT472" s="45"/>
      <c r="AU472" s="45"/>
      <c r="AW472" s="45"/>
      <c r="AX472" s="46">
        <f t="shared" si="22"/>
        <v>0</v>
      </c>
      <c r="AY472" s="46">
        <f t="shared" si="23"/>
        <v>0</v>
      </c>
      <c r="AZ472" s="46">
        <f t="shared" si="24"/>
        <v>0</v>
      </c>
    </row>
    <row r="473" spans="3:52" ht="20.100000000000001" customHeight="1">
      <c r="C473" s="102"/>
      <c r="D473" s="3"/>
      <c r="E473" s="12"/>
      <c r="F473" s="3"/>
      <c r="G473" s="3"/>
      <c r="H473" s="3"/>
      <c r="J473" s="3"/>
      <c r="K473" s="3"/>
      <c r="L473" s="4"/>
      <c r="M473" s="3"/>
      <c r="O473" s="58"/>
      <c r="Q473" s="64"/>
      <c r="R473" s="45"/>
      <c r="S473" s="45"/>
      <c r="U473" s="64"/>
      <c r="V473" s="45"/>
      <c r="W473" s="64"/>
      <c r="X473" s="64"/>
      <c r="Y473" s="45"/>
      <c r="Z473" s="45"/>
      <c r="AA473" s="105"/>
      <c r="AB473" s="105"/>
      <c r="AC473" s="105"/>
      <c r="AD473" s="64"/>
      <c r="AG473" s="45"/>
      <c r="AH473" s="64"/>
      <c r="AI473" s="45"/>
      <c r="AJ473" s="105"/>
      <c r="AK473" s="105"/>
      <c r="AL473" s="60"/>
      <c r="AM473" s="60"/>
      <c r="AN473" s="60"/>
      <c r="AO473" s="60"/>
      <c r="AP473" s="60"/>
      <c r="AQ473" s="60"/>
      <c r="AR473" s="60"/>
      <c r="AS473" s="60"/>
      <c r="AT473" s="45"/>
      <c r="AU473" s="45"/>
      <c r="AW473" s="45"/>
      <c r="AX473" s="46">
        <f t="shared" si="22"/>
        <v>0</v>
      </c>
      <c r="AY473" s="46">
        <f t="shared" si="23"/>
        <v>0</v>
      </c>
      <c r="AZ473" s="46">
        <f t="shared" si="24"/>
        <v>0</v>
      </c>
    </row>
    <row r="474" spans="3:52" ht="20.100000000000001" customHeight="1">
      <c r="C474" s="102"/>
      <c r="D474" s="3"/>
      <c r="E474" s="12"/>
      <c r="F474" s="3"/>
      <c r="G474" s="3"/>
      <c r="H474" s="3"/>
      <c r="J474" s="3"/>
      <c r="K474" s="3"/>
      <c r="L474" s="4"/>
      <c r="M474" s="3"/>
      <c r="O474" s="58"/>
      <c r="Q474" s="64"/>
      <c r="R474" s="45"/>
      <c r="S474" s="45"/>
      <c r="U474" s="64"/>
      <c r="V474" s="45"/>
      <c r="W474" s="64"/>
      <c r="X474" s="64"/>
      <c r="Y474" s="45"/>
      <c r="Z474" s="45"/>
      <c r="AA474" s="105"/>
      <c r="AB474" s="105"/>
      <c r="AC474" s="105"/>
      <c r="AD474" s="64"/>
      <c r="AH474" s="64"/>
      <c r="AI474" s="45"/>
      <c r="AJ474" s="105"/>
      <c r="AK474" s="105"/>
      <c r="AL474" s="60"/>
      <c r="AM474" s="60"/>
      <c r="AN474" s="60"/>
      <c r="AO474" s="60"/>
      <c r="AP474" s="60"/>
      <c r="AQ474" s="60"/>
      <c r="AR474" s="60"/>
      <c r="AS474" s="60"/>
      <c r="AT474" s="45"/>
      <c r="AU474" s="45"/>
      <c r="AW474" s="45"/>
      <c r="AX474" s="46">
        <f t="shared" si="22"/>
        <v>0</v>
      </c>
      <c r="AY474" s="46">
        <f t="shared" si="23"/>
        <v>0</v>
      </c>
      <c r="AZ474" s="46">
        <f t="shared" si="24"/>
        <v>0</v>
      </c>
    </row>
    <row r="475" spans="3:52" ht="20.100000000000001" customHeight="1">
      <c r="C475" s="102"/>
      <c r="D475" s="3"/>
      <c r="E475" s="12"/>
      <c r="F475" s="3"/>
      <c r="G475" s="3"/>
      <c r="H475" s="3"/>
      <c r="J475" s="3"/>
      <c r="K475" s="3"/>
      <c r="L475" s="4"/>
      <c r="M475" s="3"/>
      <c r="O475" s="58"/>
      <c r="Q475" s="64"/>
      <c r="R475" s="45"/>
      <c r="S475" s="45"/>
      <c r="U475" s="64"/>
      <c r="V475" s="45"/>
      <c r="W475" s="64"/>
      <c r="X475" s="64"/>
      <c r="Y475" s="45"/>
      <c r="Z475" s="45"/>
      <c r="AA475" s="105"/>
      <c r="AB475" s="105"/>
      <c r="AC475" s="105"/>
      <c r="AD475" s="64"/>
      <c r="AG475" s="45"/>
      <c r="AH475" s="64"/>
      <c r="AI475" s="45"/>
      <c r="AJ475" s="105"/>
      <c r="AK475" s="105"/>
      <c r="AL475" s="60"/>
      <c r="AM475" s="60"/>
      <c r="AN475" s="60"/>
      <c r="AO475" s="60"/>
      <c r="AP475" s="60"/>
      <c r="AQ475" s="60"/>
      <c r="AR475" s="60"/>
      <c r="AS475" s="60"/>
      <c r="AT475" s="45"/>
      <c r="AU475" s="45"/>
      <c r="AW475" s="45"/>
      <c r="AX475" s="46">
        <f t="shared" si="22"/>
        <v>0</v>
      </c>
      <c r="AY475" s="46">
        <f t="shared" si="23"/>
        <v>0</v>
      </c>
      <c r="AZ475" s="46">
        <f t="shared" si="24"/>
        <v>0</v>
      </c>
    </row>
    <row r="476" spans="3:52" ht="20.100000000000001" customHeight="1">
      <c r="C476" s="102"/>
      <c r="D476" s="3"/>
      <c r="E476" s="12"/>
      <c r="F476" s="3"/>
      <c r="G476" s="3"/>
      <c r="H476" s="3"/>
      <c r="J476" s="3"/>
      <c r="K476" s="3"/>
      <c r="L476" s="4"/>
      <c r="M476" s="3"/>
      <c r="O476" s="58"/>
      <c r="Q476" s="64"/>
      <c r="R476" s="45"/>
      <c r="S476" s="45"/>
      <c r="U476" s="64"/>
      <c r="V476" s="45"/>
      <c r="W476" s="64"/>
      <c r="X476" s="64"/>
      <c r="Y476" s="45"/>
      <c r="Z476" s="45"/>
      <c r="AA476" s="105"/>
      <c r="AB476" s="105"/>
      <c r="AC476" s="105"/>
      <c r="AD476" s="64"/>
      <c r="AG476" s="45"/>
      <c r="AH476" s="64"/>
      <c r="AI476" s="45"/>
      <c r="AJ476" s="105"/>
      <c r="AK476" s="105"/>
      <c r="AL476" s="60"/>
      <c r="AM476" s="60"/>
      <c r="AN476" s="60"/>
      <c r="AO476" s="60"/>
      <c r="AP476" s="60"/>
      <c r="AQ476" s="60"/>
      <c r="AR476" s="60"/>
      <c r="AS476" s="60"/>
      <c r="AT476" s="45"/>
      <c r="AU476" s="45"/>
      <c r="AW476" s="45"/>
      <c r="AX476" s="46">
        <f t="shared" si="22"/>
        <v>0</v>
      </c>
      <c r="AY476" s="46">
        <f t="shared" si="23"/>
        <v>0</v>
      </c>
      <c r="AZ476" s="46">
        <f t="shared" si="24"/>
        <v>0</v>
      </c>
    </row>
    <row r="477" spans="3:52" ht="20.100000000000001" customHeight="1">
      <c r="C477" s="102"/>
      <c r="D477" s="3"/>
      <c r="E477" s="12"/>
      <c r="F477" s="3"/>
      <c r="G477" s="3"/>
      <c r="H477" s="3"/>
      <c r="J477" s="3"/>
      <c r="K477" s="3"/>
      <c r="L477" s="4"/>
      <c r="M477" s="3"/>
      <c r="O477" s="58"/>
      <c r="Q477" s="64"/>
      <c r="R477" s="45"/>
      <c r="S477" s="45"/>
      <c r="U477" s="64"/>
      <c r="V477" s="45"/>
      <c r="W477" s="64"/>
      <c r="X477" s="64"/>
      <c r="Y477" s="45"/>
      <c r="Z477" s="45"/>
      <c r="AA477" s="105"/>
      <c r="AB477" s="105"/>
      <c r="AC477" s="105"/>
      <c r="AD477" s="64"/>
      <c r="AG477" s="45"/>
      <c r="AH477" s="64"/>
      <c r="AI477" s="45"/>
      <c r="AJ477" s="105"/>
      <c r="AK477" s="105"/>
      <c r="AL477" s="60"/>
      <c r="AM477" s="60"/>
      <c r="AN477" s="60"/>
      <c r="AO477" s="60"/>
      <c r="AP477" s="60"/>
      <c r="AQ477" s="60"/>
      <c r="AR477" s="60"/>
      <c r="AS477" s="60"/>
      <c r="AT477" s="45"/>
      <c r="AU477" s="45"/>
      <c r="AW477" s="45"/>
      <c r="AX477" s="46">
        <f t="shared" si="22"/>
        <v>0</v>
      </c>
      <c r="AY477" s="46">
        <f t="shared" si="23"/>
        <v>0</v>
      </c>
      <c r="AZ477" s="46">
        <f t="shared" si="24"/>
        <v>0</v>
      </c>
    </row>
    <row r="478" spans="3:52" ht="20.100000000000001" customHeight="1">
      <c r="C478" s="102"/>
      <c r="D478" s="3"/>
      <c r="E478" s="12"/>
      <c r="F478" s="3"/>
      <c r="G478" s="3"/>
      <c r="H478" s="3"/>
      <c r="J478" s="3"/>
      <c r="K478" s="3"/>
      <c r="L478" s="4"/>
      <c r="M478" s="3"/>
      <c r="O478" s="58"/>
      <c r="Q478" s="64"/>
      <c r="R478" s="45"/>
      <c r="S478" s="45"/>
      <c r="U478" s="64"/>
      <c r="V478" s="45"/>
      <c r="W478" s="64"/>
      <c r="X478" s="64"/>
      <c r="Y478" s="45"/>
      <c r="Z478" s="45"/>
      <c r="AA478" s="105"/>
      <c r="AB478" s="105"/>
      <c r="AC478" s="105"/>
      <c r="AD478" s="64"/>
      <c r="AH478" s="64"/>
      <c r="AI478" s="45"/>
      <c r="AJ478" s="105"/>
      <c r="AK478" s="105"/>
      <c r="AL478" s="60"/>
      <c r="AM478" s="60"/>
      <c r="AN478" s="60"/>
      <c r="AO478" s="60"/>
      <c r="AP478" s="60"/>
      <c r="AQ478" s="60"/>
      <c r="AR478" s="60"/>
      <c r="AS478" s="60"/>
      <c r="AT478" s="45"/>
      <c r="AU478" s="45"/>
      <c r="AW478" s="45"/>
      <c r="AX478" s="46">
        <f t="shared" si="22"/>
        <v>0</v>
      </c>
      <c r="AY478" s="46">
        <f t="shared" si="23"/>
        <v>0</v>
      </c>
      <c r="AZ478" s="46">
        <f t="shared" si="24"/>
        <v>0</v>
      </c>
    </row>
    <row r="479" spans="3:52" ht="20.100000000000001" customHeight="1">
      <c r="C479" s="102"/>
      <c r="D479" s="3"/>
      <c r="E479" s="12"/>
      <c r="F479" s="3"/>
      <c r="G479" s="3"/>
      <c r="H479" s="3"/>
      <c r="J479" s="3"/>
      <c r="K479" s="3"/>
      <c r="L479" s="4"/>
      <c r="M479" s="3"/>
      <c r="O479" s="58"/>
      <c r="Q479" s="64"/>
      <c r="R479" s="45"/>
      <c r="S479" s="45"/>
      <c r="U479" s="64"/>
      <c r="V479" s="45"/>
      <c r="W479" s="64"/>
      <c r="X479" s="64"/>
      <c r="Y479" s="45"/>
      <c r="Z479" s="45"/>
      <c r="AA479" s="105"/>
      <c r="AB479" s="105"/>
      <c r="AC479" s="105"/>
      <c r="AD479" s="64"/>
      <c r="AH479" s="64"/>
      <c r="AI479" s="45"/>
      <c r="AJ479" s="105"/>
      <c r="AK479" s="105"/>
      <c r="AL479" s="60"/>
      <c r="AM479" s="60"/>
      <c r="AN479" s="60"/>
      <c r="AO479" s="60"/>
      <c r="AP479" s="60"/>
      <c r="AQ479" s="60"/>
      <c r="AR479" s="60"/>
      <c r="AS479" s="60"/>
      <c r="AT479" s="45"/>
      <c r="AU479" s="45"/>
      <c r="AW479" s="45"/>
      <c r="AX479" s="46">
        <f t="shared" si="22"/>
        <v>0</v>
      </c>
      <c r="AY479" s="46">
        <f t="shared" si="23"/>
        <v>0</v>
      </c>
      <c r="AZ479" s="46">
        <f t="shared" si="24"/>
        <v>0</v>
      </c>
    </row>
    <row r="480" spans="3:52" ht="20.100000000000001" customHeight="1">
      <c r="C480" s="102"/>
      <c r="D480" s="3"/>
      <c r="E480" s="12"/>
      <c r="F480" s="3"/>
      <c r="G480" s="3"/>
      <c r="H480" s="3"/>
      <c r="J480" s="3"/>
      <c r="K480" s="3"/>
      <c r="L480" s="4"/>
      <c r="M480" s="3"/>
      <c r="O480" s="58"/>
      <c r="Q480" s="64"/>
      <c r="R480" s="45"/>
      <c r="S480" s="45"/>
      <c r="U480" s="64"/>
      <c r="V480" s="45"/>
      <c r="W480" s="64"/>
      <c r="X480" s="64"/>
      <c r="Y480" s="45"/>
      <c r="Z480" s="45"/>
      <c r="AA480" s="105"/>
      <c r="AB480" s="105"/>
      <c r="AC480" s="105"/>
      <c r="AD480" s="64"/>
      <c r="AG480" s="45"/>
      <c r="AH480" s="64"/>
      <c r="AI480" s="45"/>
      <c r="AJ480" s="105"/>
      <c r="AK480" s="105"/>
      <c r="AL480" s="60"/>
      <c r="AM480" s="60"/>
      <c r="AN480" s="60"/>
      <c r="AO480" s="60"/>
      <c r="AP480" s="60"/>
      <c r="AQ480" s="60"/>
      <c r="AR480" s="60"/>
      <c r="AS480" s="60"/>
      <c r="AT480" s="45"/>
      <c r="AU480" s="45"/>
      <c r="AW480" s="45"/>
      <c r="AX480" s="46">
        <f t="shared" si="22"/>
        <v>0</v>
      </c>
      <c r="AY480" s="46">
        <f t="shared" si="23"/>
        <v>0</v>
      </c>
      <c r="AZ480" s="46">
        <f t="shared" si="24"/>
        <v>0</v>
      </c>
    </row>
    <row r="481" spans="2:52" ht="20.100000000000001" customHeight="1">
      <c r="C481" s="102"/>
      <c r="D481" s="3"/>
      <c r="E481" s="12"/>
      <c r="F481" s="3"/>
      <c r="G481" s="3"/>
      <c r="H481" s="3"/>
      <c r="J481" s="3"/>
      <c r="K481" s="3"/>
      <c r="L481" s="4"/>
      <c r="M481" s="3"/>
      <c r="O481" s="58"/>
      <c r="Q481" s="64"/>
      <c r="R481" s="45"/>
      <c r="S481" s="45"/>
      <c r="U481" s="64"/>
      <c r="V481" s="45"/>
      <c r="W481" s="64"/>
      <c r="X481" s="64"/>
      <c r="Y481" s="45"/>
      <c r="Z481" s="45"/>
      <c r="AA481" s="105"/>
      <c r="AB481" s="105"/>
      <c r="AC481" s="105"/>
      <c r="AD481" s="64"/>
      <c r="AH481" s="64"/>
      <c r="AI481" s="45"/>
      <c r="AJ481" s="105"/>
      <c r="AK481" s="105"/>
      <c r="AL481" s="60"/>
      <c r="AM481" s="60"/>
      <c r="AN481" s="60"/>
      <c r="AO481" s="60"/>
      <c r="AP481" s="60"/>
      <c r="AQ481" s="60"/>
      <c r="AR481" s="60"/>
      <c r="AS481" s="60"/>
      <c r="AT481" s="45"/>
      <c r="AU481" s="45"/>
      <c r="AW481" s="45"/>
      <c r="AX481" s="46">
        <f t="shared" si="22"/>
        <v>0</v>
      </c>
      <c r="AY481" s="46">
        <f t="shared" si="23"/>
        <v>0</v>
      </c>
      <c r="AZ481" s="46">
        <f t="shared" si="24"/>
        <v>0</v>
      </c>
    </row>
    <row r="482" spans="2:52" ht="20.100000000000001" customHeight="1">
      <c r="C482" s="102"/>
      <c r="D482" s="3"/>
      <c r="E482" s="12"/>
      <c r="F482" s="3"/>
      <c r="G482" s="3"/>
      <c r="H482" s="3"/>
      <c r="J482" s="3"/>
      <c r="K482" s="3"/>
      <c r="L482" s="4"/>
      <c r="M482" s="3"/>
      <c r="O482" s="58"/>
      <c r="Q482" s="64"/>
      <c r="R482" s="45"/>
      <c r="S482" s="45"/>
      <c r="U482" s="64"/>
      <c r="V482" s="45"/>
      <c r="W482" s="64"/>
      <c r="X482" s="64"/>
      <c r="Y482" s="45"/>
      <c r="Z482" s="45"/>
      <c r="AA482" s="105"/>
      <c r="AB482" s="105"/>
      <c r="AC482" s="105"/>
      <c r="AD482" s="64"/>
      <c r="AH482" s="64"/>
      <c r="AI482" s="45"/>
      <c r="AJ482" s="105"/>
      <c r="AK482" s="105"/>
      <c r="AL482" s="60"/>
      <c r="AM482" s="60"/>
      <c r="AN482" s="60"/>
      <c r="AO482" s="60"/>
      <c r="AP482" s="60"/>
      <c r="AQ482" s="60"/>
      <c r="AR482" s="60"/>
      <c r="AS482" s="60"/>
      <c r="AT482" s="45"/>
      <c r="AU482" s="45"/>
      <c r="AW482" s="45"/>
      <c r="AX482" s="46">
        <f t="shared" si="22"/>
        <v>0</v>
      </c>
      <c r="AY482" s="46">
        <f t="shared" si="23"/>
        <v>0</v>
      </c>
      <c r="AZ482" s="46">
        <f t="shared" si="24"/>
        <v>0</v>
      </c>
    </row>
    <row r="483" spans="2:52" ht="20.100000000000001" customHeight="1">
      <c r="C483" s="102"/>
      <c r="D483" s="3"/>
      <c r="E483" s="12"/>
      <c r="F483" s="3"/>
      <c r="G483" s="3"/>
      <c r="H483" s="3"/>
      <c r="J483" s="3"/>
      <c r="K483" s="3"/>
      <c r="L483" s="4"/>
      <c r="M483" s="3"/>
      <c r="O483" s="58"/>
      <c r="Q483" s="64"/>
      <c r="R483" s="45"/>
      <c r="S483" s="45"/>
      <c r="U483" s="64"/>
      <c r="V483" s="45"/>
      <c r="W483" s="64"/>
      <c r="X483" s="64"/>
      <c r="Y483" s="45"/>
      <c r="Z483" s="45"/>
      <c r="AA483" s="105"/>
      <c r="AB483" s="105"/>
      <c r="AC483" s="105"/>
      <c r="AD483" s="64"/>
      <c r="AG483" s="45"/>
      <c r="AH483" s="64"/>
      <c r="AI483" s="45"/>
      <c r="AJ483" s="105"/>
      <c r="AK483" s="105"/>
      <c r="AL483" s="60"/>
      <c r="AM483" s="60"/>
      <c r="AN483" s="60"/>
      <c r="AO483" s="60"/>
      <c r="AP483" s="60"/>
      <c r="AQ483" s="60"/>
      <c r="AR483" s="60"/>
      <c r="AS483" s="60"/>
      <c r="AT483" s="45"/>
      <c r="AU483" s="45"/>
      <c r="AW483" s="45"/>
      <c r="AX483" s="46">
        <f t="shared" si="22"/>
        <v>0</v>
      </c>
      <c r="AY483" s="46">
        <f t="shared" si="23"/>
        <v>0</v>
      </c>
      <c r="AZ483" s="46">
        <f t="shared" si="24"/>
        <v>0</v>
      </c>
    </row>
    <row r="484" spans="2:52" ht="20.100000000000001" customHeight="1">
      <c r="C484" s="102"/>
      <c r="D484" s="3"/>
      <c r="E484" s="12"/>
      <c r="F484" s="3"/>
      <c r="G484" s="3"/>
      <c r="H484" s="3"/>
      <c r="J484" s="3"/>
      <c r="K484" s="3"/>
      <c r="L484" s="4"/>
      <c r="M484" s="3"/>
      <c r="O484" s="58"/>
      <c r="Q484" s="64"/>
      <c r="R484" s="45"/>
      <c r="S484" s="45"/>
      <c r="U484" s="64"/>
      <c r="V484" s="45"/>
      <c r="W484" s="64"/>
      <c r="X484" s="64"/>
      <c r="Y484" s="45"/>
      <c r="Z484" s="45"/>
      <c r="AA484" s="105"/>
      <c r="AB484" s="105"/>
      <c r="AC484" s="105"/>
      <c r="AD484" s="64"/>
      <c r="AG484" s="45"/>
      <c r="AH484" s="64"/>
      <c r="AI484" s="45"/>
      <c r="AJ484" s="105"/>
      <c r="AK484" s="105"/>
      <c r="AL484" s="60"/>
      <c r="AM484" s="60"/>
      <c r="AN484" s="60"/>
      <c r="AO484" s="60"/>
      <c r="AP484" s="60"/>
      <c r="AQ484" s="60"/>
      <c r="AR484" s="60"/>
      <c r="AS484" s="60"/>
      <c r="AT484" s="45"/>
      <c r="AU484" s="45"/>
      <c r="AW484" s="45"/>
      <c r="AX484" s="46">
        <f t="shared" si="22"/>
        <v>0</v>
      </c>
      <c r="AY484" s="46">
        <f t="shared" si="23"/>
        <v>0</v>
      </c>
      <c r="AZ484" s="46">
        <f t="shared" si="24"/>
        <v>0</v>
      </c>
    </row>
    <row r="485" spans="2:52" ht="20.100000000000001" customHeight="1">
      <c r="C485" s="102"/>
      <c r="D485" s="3"/>
      <c r="E485" s="12"/>
      <c r="F485" s="3"/>
      <c r="G485" s="3"/>
      <c r="H485" s="3"/>
      <c r="J485" s="3"/>
      <c r="K485" s="3"/>
      <c r="L485" s="4"/>
      <c r="M485" s="3"/>
      <c r="O485" s="58"/>
      <c r="Q485" s="64"/>
      <c r="R485" s="45"/>
      <c r="S485" s="45"/>
      <c r="U485" s="64"/>
      <c r="V485" s="45"/>
      <c r="W485" s="64"/>
      <c r="X485" s="64"/>
      <c r="Y485" s="45"/>
      <c r="Z485" s="45"/>
      <c r="AA485" s="105"/>
      <c r="AB485" s="105"/>
      <c r="AC485" s="105"/>
      <c r="AD485" s="64"/>
      <c r="AH485" s="64"/>
      <c r="AI485" s="45"/>
      <c r="AJ485" s="105"/>
      <c r="AK485" s="105"/>
      <c r="AL485" s="60"/>
      <c r="AM485" s="60"/>
      <c r="AN485" s="60"/>
      <c r="AO485" s="60"/>
      <c r="AP485" s="60"/>
      <c r="AQ485" s="60"/>
      <c r="AR485" s="60"/>
      <c r="AS485" s="60"/>
      <c r="AT485" s="45"/>
      <c r="AU485" s="45"/>
      <c r="AW485" s="45"/>
      <c r="AX485" s="46">
        <f t="shared" si="22"/>
        <v>0</v>
      </c>
      <c r="AY485" s="46">
        <f t="shared" si="23"/>
        <v>0</v>
      </c>
      <c r="AZ485" s="46">
        <f t="shared" si="24"/>
        <v>0</v>
      </c>
    </row>
    <row r="486" spans="2:52" ht="20.100000000000001" customHeight="1">
      <c r="C486" s="102"/>
      <c r="D486" s="3"/>
      <c r="E486" s="67"/>
      <c r="F486" s="3"/>
      <c r="G486" s="3"/>
      <c r="H486" s="3"/>
      <c r="J486" s="3"/>
      <c r="K486" s="3"/>
      <c r="L486" s="4"/>
      <c r="M486" s="3"/>
      <c r="O486" s="58"/>
      <c r="Q486" s="64"/>
      <c r="R486" s="45"/>
      <c r="S486" s="45"/>
      <c r="U486" s="64"/>
      <c r="V486" s="45"/>
      <c r="W486" s="64"/>
      <c r="X486" s="64"/>
      <c r="Y486" s="45"/>
      <c r="Z486" s="45"/>
      <c r="AA486" s="105"/>
      <c r="AB486" s="105"/>
      <c r="AC486" s="105"/>
      <c r="AD486" s="64"/>
      <c r="AG486" s="45"/>
      <c r="AH486" s="64"/>
      <c r="AI486" s="45"/>
      <c r="AJ486" s="105"/>
      <c r="AK486" s="105"/>
      <c r="AL486" s="60"/>
      <c r="AM486" s="60"/>
      <c r="AN486" s="60"/>
      <c r="AO486" s="60"/>
      <c r="AP486" s="60"/>
      <c r="AQ486" s="60"/>
      <c r="AR486" s="60"/>
      <c r="AS486" s="60"/>
      <c r="AT486" s="45"/>
      <c r="AU486" s="45"/>
      <c r="AW486" s="45"/>
      <c r="AX486" s="46">
        <f t="shared" si="22"/>
        <v>0</v>
      </c>
      <c r="AY486" s="46">
        <f t="shared" si="23"/>
        <v>0</v>
      </c>
      <c r="AZ486" s="46">
        <f t="shared" si="24"/>
        <v>0</v>
      </c>
    </row>
    <row r="487" spans="2:52" ht="20.100000000000001" customHeight="1">
      <c r="C487" s="102"/>
      <c r="D487" s="3"/>
      <c r="E487" s="12"/>
      <c r="F487" s="3"/>
      <c r="G487" s="3"/>
      <c r="H487" s="3"/>
      <c r="J487" s="3"/>
      <c r="K487" s="3"/>
      <c r="L487" s="4"/>
      <c r="M487" s="3"/>
      <c r="O487" s="58"/>
      <c r="Q487" s="64"/>
      <c r="R487" s="45"/>
      <c r="S487" s="45"/>
      <c r="U487" s="64"/>
      <c r="V487" s="45"/>
      <c r="W487" s="64"/>
      <c r="X487" s="64"/>
      <c r="Y487" s="45"/>
      <c r="Z487" s="45"/>
      <c r="AA487" s="105"/>
      <c r="AB487" s="105"/>
      <c r="AC487" s="105"/>
      <c r="AD487" s="64"/>
      <c r="AG487" s="45"/>
      <c r="AH487" s="64"/>
      <c r="AI487" s="45"/>
      <c r="AJ487" s="105"/>
      <c r="AK487" s="105"/>
      <c r="AL487" s="60"/>
      <c r="AM487" s="60"/>
      <c r="AN487" s="60"/>
      <c r="AO487" s="60"/>
      <c r="AP487" s="60"/>
      <c r="AQ487" s="60"/>
      <c r="AR487" s="60"/>
      <c r="AS487" s="60"/>
      <c r="AT487" s="45"/>
      <c r="AU487" s="45"/>
      <c r="AW487" s="45"/>
      <c r="AX487" s="46">
        <f t="shared" si="22"/>
        <v>0</v>
      </c>
      <c r="AY487" s="46">
        <f t="shared" si="23"/>
        <v>0</v>
      </c>
      <c r="AZ487" s="46">
        <f t="shared" si="24"/>
        <v>0</v>
      </c>
    </row>
    <row r="488" spans="2:52" ht="20.100000000000001" customHeight="1">
      <c r="B488" s="61"/>
      <c r="C488" s="103"/>
      <c r="D488" s="3"/>
      <c r="E488" s="12"/>
      <c r="F488" s="3"/>
      <c r="G488" s="3"/>
      <c r="H488" s="3"/>
      <c r="J488" s="3"/>
      <c r="K488" s="3"/>
      <c r="L488" s="4"/>
      <c r="M488" s="3"/>
      <c r="O488" s="58"/>
      <c r="Q488" s="64"/>
      <c r="R488" s="45"/>
      <c r="S488" s="45"/>
      <c r="U488" s="64"/>
      <c r="V488" s="45"/>
      <c r="W488" s="64"/>
      <c r="X488" s="64"/>
      <c r="Y488" s="45"/>
      <c r="Z488" s="45"/>
      <c r="AA488" s="105"/>
      <c r="AB488" s="105"/>
      <c r="AC488" s="105"/>
      <c r="AD488" s="64"/>
      <c r="AE488" s="62"/>
      <c r="AG488" s="45"/>
      <c r="AH488" s="64"/>
      <c r="AI488" s="45"/>
      <c r="AJ488" s="105"/>
      <c r="AK488" s="105"/>
      <c r="AL488" s="60"/>
      <c r="AM488" s="60"/>
      <c r="AN488" s="60"/>
      <c r="AO488" s="60"/>
      <c r="AP488" s="60"/>
      <c r="AQ488" s="60"/>
      <c r="AR488" s="60"/>
      <c r="AS488" s="60"/>
      <c r="AT488" s="45"/>
      <c r="AU488" s="45"/>
      <c r="AW488" s="45"/>
      <c r="AX488" s="46">
        <f t="shared" si="22"/>
        <v>0</v>
      </c>
      <c r="AY488" s="46">
        <f t="shared" si="23"/>
        <v>0</v>
      </c>
      <c r="AZ488" s="46">
        <f t="shared" si="24"/>
        <v>0</v>
      </c>
    </row>
    <row r="489" spans="2:52" ht="20.100000000000001" customHeight="1">
      <c r="C489" s="102"/>
      <c r="D489" s="3"/>
      <c r="E489" s="12"/>
      <c r="F489" s="3"/>
      <c r="G489" s="3"/>
      <c r="H489" s="3"/>
      <c r="J489" s="3"/>
      <c r="K489" s="3"/>
      <c r="L489" s="4"/>
      <c r="M489" s="3"/>
      <c r="O489" s="58"/>
      <c r="Q489" s="64"/>
      <c r="R489" s="45"/>
      <c r="S489" s="45"/>
      <c r="U489" s="64"/>
      <c r="V489" s="45"/>
      <c r="W489" s="64"/>
      <c r="X489" s="64"/>
      <c r="Y489" s="45"/>
      <c r="Z489" s="45"/>
      <c r="AA489" s="105"/>
      <c r="AB489" s="105"/>
      <c r="AC489" s="105"/>
      <c r="AD489" s="64"/>
      <c r="AH489" s="64"/>
      <c r="AI489" s="45"/>
      <c r="AJ489" s="105"/>
      <c r="AK489" s="105"/>
      <c r="AL489" s="60"/>
      <c r="AM489" s="60"/>
      <c r="AN489" s="60"/>
      <c r="AO489" s="60"/>
      <c r="AP489" s="60"/>
      <c r="AQ489" s="60"/>
      <c r="AR489" s="60"/>
      <c r="AS489" s="60"/>
      <c r="AT489" s="45"/>
      <c r="AU489" s="45"/>
      <c r="AW489" s="45"/>
      <c r="AX489" s="46">
        <f t="shared" si="22"/>
        <v>0</v>
      </c>
      <c r="AY489" s="46">
        <f t="shared" si="23"/>
        <v>0</v>
      </c>
      <c r="AZ489" s="46">
        <f t="shared" si="24"/>
        <v>0</v>
      </c>
    </row>
    <row r="490" spans="2:52" ht="20.100000000000001" customHeight="1">
      <c r="C490" s="102"/>
      <c r="D490" s="3"/>
      <c r="E490" s="12"/>
      <c r="F490" s="3"/>
      <c r="G490" s="3"/>
      <c r="H490" s="3"/>
      <c r="J490" s="3"/>
      <c r="K490" s="3"/>
      <c r="L490" s="4"/>
      <c r="M490" s="3"/>
      <c r="O490" s="58"/>
      <c r="Q490" s="64"/>
      <c r="R490" s="45"/>
      <c r="S490" s="45"/>
      <c r="U490" s="64"/>
      <c r="V490" s="45"/>
      <c r="W490" s="64"/>
      <c r="X490" s="64"/>
      <c r="Y490" s="45"/>
      <c r="Z490" s="45"/>
      <c r="AA490" s="105"/>
      <c r="AB490" s="105"/>
      <c r="AC490" s="105"/>
      <c r="AD490" s="64"/>
      <c r="AG490" s="45"/>
      <c r="AH490" s="64"/>
      <c r="AI490" s="45"/>
      <c r="AJ490" s="105"/>
      <c r="AK490" s="105"/>
      <c r="AL490" s="60"/>
      <c r="AM490" s="60"/>
      <c r="AN490" s="60"/>
      <c r="AO490" s="60"/>
      <c r="AP490" s="60"/>
      <c r="AQ490" s="60"/>
      <c r="AR490" s="60"/>
      <c r="AS490" s="60"/>
      <c r="AT490" s="45"/>
      <c r="AU490" s="45"/>
      <c r="AW490" s="45"/>
      <c r="AX490" s="46">
        <f t="shared" si="22"/>
        <v>0</v>
      </c>
      <c r="AY490" s="46">
        <f t="shared" si="23"/>
        <v>0</v>
      </c>
      <c r="AZ490" s="46">
        <f t="shared" si="24"/>
        <v>0</v>
      </c>
    </row>
    <row r="491" spans="2:52" ht="20.100000000000001" customHeight="1">
      <c r="C491" s="102"/>
      <c r="D491" s="3"/>
      <c r="E491" s="12"/>
      <c r="F491" s="3"/>
      <c r="G491" s="3"/>
      <c r="H491" s="3"/>
      <c r="J491" s="3"/>
      <c r="K491" s="3"/>
      <c r="L491" s="4"/>
      <c r="M491" s="3"/>
      <c r="O491" s="58"/>
      <c r="Q491" s="64"/>
      <c r="R491" s="45"/>
      <c r="S491" s="45"/>
      <c r="U491" s="64"/>
      <c r="V491" s="45"/>
      <c r="W491" s="64"/>
      <c r="X491" s="64"/>
      <c r="Y491" s="45"/>
      <c r="Z491" s="45"/>
      <c r="AA491" s="105"/>
      <c r="AB491" s="105"/>
      <c r="AC491" s="105"/>
      <c r="AD491" s="64"/>
      <c r="AG491" s="45"/>
      <c r="AH491" s="64"/>
      <c r="AI491" s="45"/>
      <c r="AJ491" s="105"/>
      <c r="AK491" s="105"/>
      <c r="AL491" s="60"/>
      <c r="AM491" s="60"/>
      <c r="AN491" s="60"/>
      <c r="AO491" s="60"/>
      <c r="AP491" s="60"/>
      <c r="AQ491" s="60"/>
      <c r="AR491" s="60"/>
      <c r="AS491" s="60"/>
      <c r="AT491" s="45"/>
      <c r="AU491" s="45"/>
      <c r="AW491" s="45"/>
      <c r="AX491" s="46">
        <f t="shared" si="22"/>
        <v>0</v>
      </c>
      <c r="AY491" s="46">
        <f t="shared" si="23"/>
        <v>0</v>
      </c>
      <c r="AZ491" s="46">
        <f t="shared" si="24"/>
        <v>0</v>
      </c>
    </row>
    <row r="492" spans="2:52" ht="20.100000000000001" customHeight="1">
      <c r="C492" s="102"/>
      <c r="D492" s="3"/>
      <c r="E492" s="12"/>
      <c r="F492" s="3"/>
      <c r="G492" s="3"/>
      <c r="H492" s="3"/>
      <c r="J492" s="3"/>
      <c r="K492" s="3"/>
      <c r="L492" s="4"/>
      <c r="M492" s="3"/>
      <c r="O492" s="58"/>
      <c r="Q492" s="64"/>
      <c r="R492" s="45"/>
      <c r="S492" s="45"/>
      <c r="U492" s="64"/>
      <c r="V492" s="45"/>
      <c r="W492" s="64"/>
      <c r="X492" s="64"/>
      <c r="Y492" s="45"/>
      <c r="Z492" s="45"/>
      <c r="AA492" s="105"/>
      <c r="AB492" s="105"/>
      <c r="AC492" s="105"/>
      <c r="AD492" s="64"/>
      <c r="AG492" s="45"/>
      <c r="AH492" s="64"/>
      <c r="AI492" s="45"/>
      <c r="AJ492" s="105"/>
      <c r="AK492" s="105"/>
      <c r="AL492" s="60"/>
      <c r="AM492" s="60"/>
      <c r="AN492" s="60"/>
      <c r="AO492" s="60"/>
      <c r="AP492" s="60"/>
      <c r="AQ492" s="60"/>
      <c r="AR492" s="60"/>
      <c r="AS492" s="60"/>
      <c r="AT492" s="45"/>
      <c r="AU492" s="45"/>
      <c r="AW492" s="45"/>
      <c r="AX492" s="46">
        <f t="shared" si="22"/>
        <v>0</v>
      </c>
      <c r="AY492" s="46">
        <f t="shared" si="23"/>
        <v>0</v>
      </c>
      <c r="AZ492" s="46">
        <f t="shared" si="24"/>
        <v>0</v>
      </c>
    </row>
    <row r="493" spans="2:52" ht="20.100000000000001" customHeight="1">
      <c r="C493" s="102"/>
      <c r="D493" s="3"/>
      <c r="E493" s="67"/>
      <c r="F493" s="3"/>
      <c r="G493" s="3"/>
      <c r="H493" s="3"/>
      <c r="J493" s="3"/>
      <c r="K493" s="3"/>
      <c r="L493" s="4"/>
      <c r="M493" s="3"/>
      <c r="O493" s="58"/>
      <c r="Q493" s="64"/>
      <c r="R493" s="45"/>
      <c r="S493" s="45"/>
      <c r="U493" s="64"/>
      <c r="V493" s="45"/>
      <c r="W493" s="64"/>
      <c r="X493" s="64"/>
      <c r="Y493" s="45"/>
      <c r="Z493" s="45"/>
      <c r="AA493" s="105"/>
      <c r="AB493" s="105"/>
      <c r="AC493" s="105"/>
      <c r="AD493" s="64"/>
      <c r="AG493" s="45"/>
      <c r="AH493" s="64"/>
      <c r="AI493" s="45"/>
      <c r="AJ493" s="105"/>
      <c r="AK493" s="105"/>
      <c r="AL493" s="60"/>
      <c r="AM493" s="60"/>
      <c r="AN493" s="60"/>
      <c r="AO493" s="60"/>
      <c r="AP493" s="60"/>
      <c r="AQ493" s="60"/>
      <c r="AR493" s="60"/>
      <c r="AS493" s="60"/>
      <c r="AT493" s="45"/>
      <c r="AU493" s="45"/>
      <c r="AW493" s="45"/>
      <c r="AX493" s="46">
        <f t="shared" si="22"/>
        <v>0</v>
      </c>
      <c r="AY493" s="46">
        <f t="shared" si="23"/>
        <v>0</v>
      </c>
      <c r="AZ493" s="46">
        <f t="shared" si="24"/>
        <v>0</v>
      </c>
    </row>
    <row r="494" spans="2:52" ht="20.100000000000001" customHeight="1">
      <c r="C494" s="102"/>
      <c r="D494" s="3"/>
      <c r="E494" s="12"/>
      <c r="F494" s="3"/>
      <c r="G494" s="3"/>
      <c r="H494" s="3"/>
      <c r="J494" s="3"/>
      <c r="K494" s="3"/>
      <c r="L494" s="4"/>
      <c r="M494" s="3"/>
      <c r="O494" s="58"/>
      <c r="Q494" s="64"/>
      <c r="R494" s="45"/>
      <c r="S494" s="45"/>
      <c r="U494" s="64"/>
      <c r="V494" s="45"/>
      <c r="W494" s="64"/>
      <c r="X494" s="64"/>
      <c r="Y494" s="45"/>
      <c r="Z494" s="45"/>
      <c r="AA494" s="105"/>
      <c r="AB494" s="105"/>
      <c r="AC494" s="105"/>
      <c r="AD494" s="64"/>
      <c r="AG494" s="45"/>
      <c r="AH494" s="64"/>
      <c r="AI494" s="45"/>
      <c r="AJ494" s="105"/>
      <c r="AK494" s="105"/>
      <c r="AL494" s="60"/>
      <c r="AM494" s="60"/>
      <c r="AN494" s="60"/>
      <c r="AO494" s="60"/>
      <c r="AP494" s="60"/>
      <c r="AQ494" s="60"/>
      <c r="AR494" s="60"/>
      <c r="AS494" s="60"/>
      <c r="AT494" s="45"/>
      <c r="AU494" s="45"/>
      <c r="AW494" s="45"/>
      <c r="AX494" s="46">
        <f t="shared" si="22"/>
        <v>0</v>
      </c>
      <c r="AY494" s="46">
        <f t="shared" si="23"/>
        <v>0</v>
      </c>
      <c r="AZ494" s="46">
        <f t="shared" si="24"/>
        <v>0</v>
      </c>
    </row>
    <row r="495" spans="2:52" ht="20.100000000000001" customHeight="1">
      <c r="C495" s="102"/>
      <c r="D495" s="3"/>
      <c r="E495" s="12"/>
      <c r="F495" s="3"/>
      <c r="G495" s="3"/>
      <c r="H495" s="3"/>
      <c r="J495" s="3"/>
      <c r="K495" s="3"/>
      <c r="L495" s="4"/>
      <c r="M495" s="3"/>
      <c r="O495" s="58"/>
      <c r="Q495" s="64"/>
      <c r="R495" s="45"/>
      <c r="S495" s="45"/>
      <c r="U495" s="64"/>
      <c r="V495" s="45"/>
      <c r="W495" s="64"/>
      <c r="X495" s="64"/>
      <c r="Y495" s="45"/>
      <c r="Z495" s="45"/>
      <c r="AA495" s="105"/>
      <c r="AB495" s="105"/>
      <c r="AC495" s="105"/>
      <c r="AD495" s="64"/>
      <c r="AG495" s="45"/>
      <c r="AH495" s="64"/>
      <c r="AI495" s="45"/>
      <c r="AJ495" s="105"/>
      <c r="AK495" s="105"/>
      <c r="AL495" s="60"/>
      <c r="AM495" s="60"/>
      <c r="AN495" s="60"/>
      <c r="AO495" s="60"/>
      <c r="AP495" s="60"/>
      <c r="AQ495" s="60"/>
      <c r="AR495" s="60"/>
      <c r="AS495" s="60"/>
      <c r="AT495" s="45"/>
      <c r="AU495" s="45"/>
      <c r="AW495" s="45"/>
      <c r="AX495" s="46">
        <f t="shared" si="22"/>
        <v>0</v>
      </c>
      <c r="AY495" s="46">
        <f t="shared" si="23"/>
        <v>0</v>
      </c>
      <c r="AZ495" s="46">
        <f t="shared" si="24"/>
        <v>0</v>
      </c>
    </row>
    <row r="496" spans="2:52" ht="20.100000000000001" customHeight="1">
      <c r="C496" s="102"/>
      <c r="D496" s="3"/>
      <c r="E496" s="12"/>
      <c r="F496" s="3"/>
      <c r="G496" s="3"/>
      <c r="H496" s="3"/>
      <c r="J496" s="3"/>
      <c r="K496" s="3"/>
      <c r="L496" s="4"/>
      <c r="M496" s="3"/>
      <c r="O496" s="58"/>
      <c r="Q496" s="64"/>
      <c r="R496" s="45"/>
      <c r="S496" s="45"/>
      <c r="U496" s="64"/>
      <c r="V496" s="45"/>
      <c r="W496" s="64"/>
      <c r="X496" s="64"/>
      <c r="Y496" s="45"/>
      <c r="Z496" s="45"/>
      <c r="AA496" s="105"/>
      <c r="AB496" s="105"/>
      <c r="AC496" s="105"/>
      <c r="AD496" s="64"/>
      <c r="AG496" s="45"/>
      <c r="AH496" s="64"/>
      <c r="AI496" s="45"/>
      <c r="AJ496" s="105"/>
      <c r="AK496" s="105"/>
      <c r="AL496" s="60"/>
      <c r="AM496" s="60"/>
      <c r="AN496" s="60"/>
      <c r="AO496" s="60"/>
      <c r="AP496" s="60"/>
      <c r="AQ496" s="60"/>
      <c r="AR496" s="60"/>
      <c r="AS496" s="60"/>
      <c r="AT496" s="45"/>
      <c r="AU496" s="45"/>
      <c r="AW496" s="45"/>
      <c r="AX496" s="46">
        <f t="shared" si="22"/>
        <v>0</v>
      </c>
      <c r="AY496" s="46">
        <f t="shared" si="23"/>
        <v>0</v>
      </c>
      <c r="AZ496" s="46">
        <f t="shared" si="24"/>
        <v>0</v>
      </c>
    </row>
    <row r="497" spans="2:52" ht="20.100000000000001" customHeight="1">
      <c r="C497" s="102"/>
      <c r="D497" s="3"/>
      <c r="E497" s="12"/>
      <c r="F497" s="3"/>
      <c r="G497" s="3"/>
      <c r="H497" s="3"/>
      <c r="J497" s="3"/>
      <c r="K497" s="3"/>
      <c r="L497" s="4"/>
      <c r="M497" s="3"/>
      <c r="O497" s="58"/>
      <c r="Q497" s="64"/>
      <c r="R497" s="45"/>
      <c r="S497" s="45"/>
      <c r="U497" s="64"/>
      <c r="V497" s="45"/>
      <c r="W497" s="64"/>
      <c r="X497" s="64"/>
      <c r="Y497" s="45"/>
      <c r="Z497" s="45"/>
      <c r="AA497" s="105"/>
      <c r="AB497" s="105"/>
      <c r="AC497" s="105"/>
      <c r="AD497" s="64"/>
      <c r="AG497" s="45"/>
      <c r="AH497" s="64"/>
      <c r="AI497" s="45"/>
      <c r="AJ497" s="105"/>
      <c r="AK497" s="105"/>
      <c r="AL497" s="60"/>
      <c r="AM497" s="60"/>
      <c r="AN497" s="60"/>
      <c r="AO497" s="60"/>
      <c r="AP497" s="60"/>
      <c r="AQ497" s="60"/>
      <c r="AR497" s="60"/>
      <c r="AS497" s="60"/>
      <c r="AT497" s="45"/>
      <c r="AU497" s="45"/>
      <c r="AW497" s="45"/>
      <c r="AX497" s="46">
        <f t="shared" si="22"/>
        <v>0</v>
      </c>
      <c r="AY497" s="46">
        <f t="shared" si="23"/>
        <v>0</v>
      </c>
      <c r="AZ497" s="46">
        <f t="shared" si="24"/>
        <v>0</v>
      </c>
    </row>
    <row r="498" spans="2:52" ht="20.100000000000001" customHeight="1">
      <c r="C498" s="102"/>
      <c r="D498" s="3"/>
      <c r="E498" s="12"/>
      <c r="F498" s="3"/>
      <c r="G498" s="3"/>
      <c r="H498" s="3"/>
      <c r="J498" s="3"/>
      <c r="K498" s="3"/>
      <c r="L498" s="4"/>
      <c r="M498" s="3"/>
      <c r="O498" s="58"/>
      <c r="Q498" s="64"/>
      <c r="R498" s="45"/>
      <c r="S498" s="45"/>
      <c r="U498" s="64"/>
      <c r="V498" s="45"/>
      <c r="W498" s="64"/>
      <c r="X498" s="64"/>
      <c r="Y498" s="45"/>
      <c r="Z498" s="45"/>
      <c r="AA498" s="105"/>
      <c r="AB498" s="105"/>
      <c r="AC498" s="105"/>
      <c r="AD498" s="64"/>
      <c r="AG498" s="45"/>
      <c r="AH498" s="64"/>
      <c r="AI498" s="45"/>
      <c r="AJ498" s="105"/>
      <c r="AK498" s="105"/>
      <c r="AL498" s="60"/>
      <c r="AM498" s="60"/>
      <c r="AN498" s="60"/>
      <c r="AO498" s="60"/>
      <c r="AP498" s="60"/>
      <c r="AQ498" s="60"/>
      <c r="AR498" s="60"/>
      <c r="AS498" s="60"/>
      <c r="AT498" s="45"/>
      <c r="AU498" s="45"/>
      <c r="AW498" s="45"/>
      <c r="AX498" s="46">
        <f t="shared" si="22"/>
        <v>0</v>
      </c>
      <c r="AY498" s="46">
        <f t="shared" si="23"/>
        <v>0</v>
      </c>
      <c r="AZ498" s="46">
        <f t="shared" si="24"/>
        <v>0</v>
      </c>
    </row>
    <row r="499" spans="2:52" ht="20.100000000000001" customHeight="1">
      <c r="C499" s="102"/>
      <c r="D499" s="3"/>
      <c r="E499" s="12"/>
      <c r="F499" s="3"/>
      <c r="G499" s="3"/>
      <c r="H499" s="3"/>
      <c r="J499" s="3"/>
      <c r="K499" s="3"/>
      <c r="L499" s="4"/>
      <c r="M499" s="3"/>
      <c r="O499" s="58"/>
      <c r="Q499" s="64"/>
      <c r="R499" s="45"/>
      <c r="S499" s="45"/>
      <c r="U499" s="64"/>
      <c r="V499" s="45"/>
      <c r="W499" s="64"/>
      <c r="X499" s="64"/>
      <c r="Y499" s="45"/>
      <c r="Z499" s="45"/>
      <c r="AA499" s="105"/>
      <c r="AB499" s="105"/>
      <c r="AC499" s="105"/>
      <c r="AD499" s="64"/>
      <c r="AG499" s="45"/>
      <c r="AH499" s="64"/>
      <c r="AI499" s="45"/>
      <c r="AJ499" s="105"/>
      <c r="AK499" s="105"/>
      <c r="AL499" s="60"/>
      <c r="AM499" s="60"/>
      <c r="AN499" s="60"/>
      <c r="AO499" s="60"/>
      <c r="AP499" s="60"/>
      <c r="AQ499" s="60"/>
      <c r="AR499" s="60"/>
      <c r="AS499" s="60"/>
      <c r="AT499" s="45"/>
      <c r="AU499" s="45"/>
      <c r="AW499" s="45"/>
      <c r="AX499" s="46">
        <f t="shared" si="22"/>
        <v>0</v>
      </c>
      <c r="AY499" s="46">
        <f t="shared" si="23"/>
        <v>0</v>
      </c>
      <c r="AZ499" s="46">
        <f t="shared" si="24"/>
        <v>0</v>
      </c>
    </row>
    <row r="500" spans="2:52" ht="20.100000000000001" customHeight="1">
      <c r="C500" s="102"/>
      <c r="D500" s="3"/>
      <c r="E500" s="12"/>
      <c r="F500" s="3"/>
      <c r="G500" s="3"/>
      <c r="H500" s="3"/>
      <c r="J500" s="3"/>
      <c r="K500" s="3"/>
      <c r="L500" s="4"/>
      <c r="M500" s="3"/>
      <c r="O500" s="58"/>
      <c r="Q500" s="64"/>
      <c r="R500" s="45"/>
      <c r="S500" s="45"/>
      <c r="U500" s="64"/>
      <c r="V500" s="45"/>
      <c r="W500" s="64"/>
      <c r="X500" s="64"/>
      <c r="Y500" s="45"/>
      <c r="Z500" s="45"/>
      <c r="AA500" s="105"/>
      <c r="AB500" s="105"/>
      <c r="AC500" s="105"/>
      <c r="AD500" s="64"/>
      <c r="AG500" s="45"/>
      <c r="AH500" s="64"/>
      <c r="AI500" s="45"/>
      <c r="AJ500" s="105"/>
      <c r="AK500" s="105"/>
      <c r="AL500" s="60"/>
      <c r="AM500" s="60"/>
      <c r="AN500" s="60"/>
      <c r="AO500" s="60"/>
      <c r="AP500" s="60"/>
      <c r="AQ500" s="60"/>
      <c r="AR500" s="60"/>
      <c r="AS500" s="60"/>
      <c r="AT500" s="45"/>
      <c r="AU500" s="45"/>
      <c r="AW500" s="45"/>
      <c r="AX500" s="46">
        <f t="shared" si="22"/>
        <v>0</v>
      </c>
      <c r="AY500" s="46">
        <f t="shared" si="23"/>
        <v>0</v>
      </c>
      <c r="AZ500" s="46">
        <f t="shared" si="24"/>
        <v>0</v>
      </c>
    </row>
    <row r="501" spans="2:52" ht="20.100000000000001" customHeight="1">
      <c r="C501" s="102"/>
      <c r="D501" s="3"/>
      <c r="E501" s="12"/>
      <c r="F501" s="3"/>
      <c r="G501" s="3"/>
      <c r="H501" s="3"/>
      <c r="J501" s="3"/>
      <c r="K501" s="3"/>
      <c r="L501" s="4"/>
      <c r="M501" s="3"/>
      <c r="O501" s="58"/>
      <c r="Q501" s="64"/>
      <c r="R501" s="45"/>
      <c r="S501" s="45"/>
      <c r="U501" s="64"/>
      <c r="V501" s="45"/>
      <c r="W501" s="64"/>
      <c r="X501" s="64"/>
      <c r="Y501" s="45"/>
      <c r="Z501" s="45"/>
      <c r="AA501" s="105"/>
      <c r="AB501" s="105"/>
      <c r="AC501" s="105"/>
      <c r="AD501" s="64"/>
      <c r="AG501" s="45"/>
      <c r="AH501" s="64"/>
      <c r="AI501" s="45"/>
      <c r="AJ501" s="105"/>
      <c r="AK501" s="105"/>
      <c r="AL501" s="60"/>
      <c r="AM501" s="60"/>
      <c r="AN501" s="60"/>
      <c r="AO501" s="60"/>
      <c r="AP501" s="60"/>
      <c r="AQ501" s="60"/>
      <c r="AR501" s="60"/>
      <c r="AS501" s="60"/>
      <c r="AT501" s="45"/>
      <c r="AU501" s="45"/>
      <c r="AW501" s="45"/>
      <c r="AX501" s="46">
        <f t="shared" si="22"/>
        <v>0</v>
      </c>
      <c r="AY501" s="46">
        <f t="shared" si="23"/>
        <v>0</v>
      </c>
      <c r="AZ501" s="46">
        <f t="shared" si="24"/>
        <v>0</v>
      </c>
    </row>
    <row r="502" spans="2:52" ht="20.100000000000001" customHeight="1">
      <c r="C502" s="102"/>
      <c r="D502" s="3"/>
      <c r="E502" s="12"/>
      <c r="F502" s="3"/>
      <c r="G502" s="3"/>
      <c r="H502" s="3"/>
      <c r="J502" s="3"/>
      <c r="K502" s="3"/>
      <c r="L502" s="4"/>
      <c r="M502" s="3"/>
      <c r="O502" s="58"/>
      <c r="Q502" s="64"/>
      <c r="R502" s="45"/>
      <c r="S502" s="45"/>
      <c r="U502" s="64"/>
      <c r="V502" s="45"/>
      <c r="W502" s="64"/>
      <c r="X502" s="64"/>
      <c r="Y502" s="45"/>
      <c r="Z502" s="45"/>
      <c r="AA502" s="105"/>
      <c r="AB502" s="105"/>
      <c r="AC502" s="105"/>
      <c r="AD502" s="64"/>
      <c r="AG502" s="45"/>
      <c r="AH502" s="64"/>
      <c r="AI502" s="45"/>
      <c r="AJ502" s="105"/>
      <c r="AK502" s="105"/>
      <c r="AL502" s="60"/>
      <c r="AM502" s="60"/>
      <c r="AN502" s="60"/>
      <c r="AO502" s="60"/>
      <c r="AP502" s="60"/>
      <c r="AQ502" s="60"/>
      <c r="AR502" s="60"/>
      <c r="AS502" s="60"/>
      <c r="AT502" s="45"/>
      <c r="AU502" s="45"/>
      <c r="AW502" s="45"/>
      <c r="AX502" s="46">
        <f t="shared" si="22"/>
        <v>0</v>
      </c>
      <c r="AY502" s="46">
        <f t="shared" si="23"/>
        <v>0</v>
      </c>
      <c r="AZ502" s="46">
        <f t="shared" si="24"/>
        <v>0</v>
      </c>
    </row>
    <row r="503" spans="2:52" ht="20.100000000000001" customHeight="1">
      <c r="C503" s="102"/>
      <c r="D503" s="3"/>
      <c r="E503" s="12"/>
      <c r="F503" s="3"/>
      <c r="G503" s="3"/>
      <c r="H503" s="3"/>
      <c r="J503" s="3"/>
      <c r="K503" s="3"/>
      <c r="L503" s="4"/>
      <c r="M503" s="3"/>
      <c r="O503" s="58"/>
      <c r="Q503" s="64"/>
      <c r="R503" s="45"/>
      <c r="S503" s="45"/>
      <c r="U503" s="64"/>
      <c r="V503" s="45"/>
      <c r="W503" s="64"/>
      <c r="X503" s="64"/>
      <c r="Y503" s="45"/>
      <c r="Z503" s="45"/>
      <c r="AA503" s="105"/>
      <c r="AB503" s="105"/>
      <c r="AC503" s="105"/>
      <c r="AD503" s="64"/>
      <c r="AG503" s="45"/>
      <c r="AH503" s="64"/>
      <c r="AI503" s="45"/>
      <c r="AJ503" s="105"/>
      <c r="AK503" s="105"/>
      <c r="AL503" s="60"/>
      <c r="AM503" s="60"/>
      <c r="AN503" s="60"/>
      <c r="AO503" s="60"/>
      <c r="AP503" s="60"/>
      <c r="AQ503" s="60"/>
      <c r="AR503" s="60"/>
      <c r="AS503" s="60"/>
      <c r="AT503" s="45"/>
      <c r="AU503" s="45"/>
      <c r="AW503" s="45"/>
      <c r="AX503" s="46">
        <f t="shared" si="22"/>
        <v>0</v>
      </c>
      <c r="AY503" s="46">
        <f t="shared" si="23"/>
        <v>0</v>
      </c>
      <c r="AZ503" s="46">
        <f t="shared" si="24"/>
        <v>0</v>
      </c>
    </row>
    <row r="504" spans="2:52" ht="20.100000000000001" customHeight="1">
      <c r="C504" s="102"/>
      <c r="D504" s="3"/>
      <c r="E504" s="12"/>
      <c r="F504" s="3"/>
      <c r="G504" s="3"/>
      <c r="H504" s="3"/>
      <c r="J504" s="3"/>
      <c r="K504" s="3"/>
      <c r="L504" s="4"/>
      <c r="M504" s="3"/>
      <c r="O504" s="58"/>
      <c r="Q504" s="64"/>
      <c r="R504" s="45"/>
      <c r="S504" s="45"/>
      <c r="U504" s="64"/>
      <c r="V504" s="45"/>
      <c r="W504" s="64"/>
      <c r="X504" s="64"/>
      <c r="Y504" s="45"/>
      <c r="Z504" s="45"/>
      <c r="AA504" s="105"/>
      <c r="AB504" s="105"/>
      <c r="AC504" s="105"/>
      <c r="AD504" s="64"/>
      <c r="AG504" s="45"/>
      <c r="AH504" s="64"/>
      <c r="AI504" s="45"/>
      <c r="AJ504" s="105"/>
      <c r="AK504" s="105"/>
      <c r="AL504" s="60"/>
      <c r="AM504" s="60"/>
      <c r="AN504" s="60"/>
      <c r="AO504" s="60"/>
      <c r="AP504" s="60"/>
      <c r="AQ504" s="60"/>
      <c r="AR504" s="60"/>
      <c r="AS504" s="60"/>
      <c r="AT504" s="45"/>
      <c r="AU504" s="45"/>
      <c r="AW504" s="45"/>
      <c r="AX504" s="46">
        <f t="shared" si="22"/>
        <v>0</v>
      </c>
      <c r="AY504" s="46">
        <f t="shared" si="23"/>
        <v>0</v>
      </c>
      <c r="AZ504" s="46">
        <f t="shared" si="24"/>
        <v>0</v>
      </c>
    </row>
    <row r="505" spans="2:52" ht="20.100000000000001" customHeight="1">
      <c r="C505" s="102"/>
      <c r="D505" s="3"/>
      <c r="E505" s="12"/>
      <c r="F505" s="3"/>
      <c r="G505" s="3"/>
      <c r="H505" s="3"/>
      <c r="J505" s="3"/>
      <c r="K505" s="3"/>
      <c r="L505" s="4"/>
      <c r="M505" s="3"/>
      <c r="O505" s="58"/>
      <c r="Q505" s="64"/>
      <c r="R505" s="45"/>
      <c r="S505" s="45"/>
      <c r="U505" s="64"/>
      <c r="V505" s="45"/>
      <c r="W505" s="64"/>
      <c r="X505" s="64"/>
      <c r="Y505" s="45"/>
      <c r="Z505" s="45"/>
      <c r="AA505" s="105"/>
      <c r="AB505" s="105"/>
      <c r="AC505" s="105"/>
      <c r="AD505" s="64"/>
      <c r="AG505" s="45"/>
      <c r="AH505" s="64"/>
      <c r="AI505" s="45"/>
      <c r="AJ505" s="105"/>
      <c r="AK505" s="105"/>
      <c r="AL505" s="60"/>
      <c r="AM505" s="60"/>
      <c r="AN505" s="60"/>
      <c r="AO505" s="60"/>
      <c r="AP505" s="60"/>
      <c r="AQ505" s="60"/>
      <c r="AR505" s="60"/>
      <c r="AS505" s="60"/>
      <c r="AT505" s="45"/>
      <c r="AU505" s="45"/>
      <c r="AW505" s="45"/>
      <c r="AX505" s="46">
        <f t="shared" si="22"/>
        <v>0</v>
      </c>
      <c r="AY505" s="46">
        <f t="shared" si="23"/>
        <v>0</v>
      </c>
      <c r="AZ505" s="46">
        <f t="shared" si="24"/>
        <v>0</v>
      </c>
    </row>
    <row r="506" spans="2:52" ht="20.100000000000001" customHeight="1">
      <c r="C506" s="102"/>
      <c r="D506" s="3"/>
      <c r="E506" s="12"/>
      <c r="F506" s="3"/>
      <c r="G506" s="3"/>
      <c r="H506" s="3"/>
      <c r="J506" s="3"/>
      <c r="K506" s="3"/>
      <c r="L506" s="4"/>
      <c r="M506" s="3"/>
      <c r="O506" s="58"/>
      <c r="Q506" s="64"/>
      <c r="R506" s="45"/>
      <c r="S506" s="45"/>
      <c r="U506" s="64"/>
      <c r="V506" s="45"/>
      <c r="W506" s="64"/>
      <c r="X506" s="64"/>
      <c r="Y506" s="45"/>
      <c r="Z506" s="45"/>
      <c r="AA506" s="105"/>
      <c r="AB506" s="105"/>
      <c r="AC506" s="105"/>
      <c r="AD506" s="64"/>
      <c r="AH506" s="64"/>
      <c r="AI506" s="45"/>
      <c r="AJ506" s="105"/>
      <c r="AK506" s="105"/>
      <c r="AL506" s="60"/>
      <c r="AM506" s="60"/>
      <c r="AN506" s="60"/>
      <c r="AO506" s="60"/>
      <c r="AP506" s="60"/>
      <c r="AQ506" s="60"/>
      <c r="AR506" s="60"/>
      <c r="AS506" s="60"/>
      <c r="AT506" s="45"/>
      <c r="AU506" s="45"/>
      <c r="AW506" s="45"/>
      <c r="AX506" s="46">
        <f t="shared" si="22"/>
        <v>0</v>
      </c>
      <c r="AY506" s="46">
        <f t="shared" si="23"/>
        <v>0</v>
      </c>
      <c r="AZ506" s="46">
        <f t="shared" si="24"/>
        <v>0</v>
      </c>
    </row>
    <row r="507" spans="2:52" ht="20.100000000000001" customHeight="1">
      <c r="C507" s="102"/>
      <c r="D507" s="3"/>
      <c r="E507" s="12"/>
      <c r="F507" s="3"/>
      <c r="G507" s="3"/>
      <c r="H507" s="3"/>
      <c r="J507" s="3"/>
      <c r="K507" s="3"/>
      <c r="L507" s="4"/>
      <c r="M507" s="3"/>
      <c r="O507" s="58"/>
      <c r="Q507" s="64"/>
      <c r="R507" s="45"/>
      <c r="S507" s="45"/>
      <c r="U507" s="64"/>
      <c r="V507" s="45"/>
      <c r="W507" s="64"/>
      <c r="X507" s="64"/>
      <c r="Y507" s="45"/>
      <c r="Z507" s="45"/>
      <c r="AA507" s="105"/>
      <c r="AB507" s="105"/>
      <c r="AC507" s="105"/>
      <c r="AD507" s="64"/>
      <c r="AG507" s="45"/>
      <c r="AH507" s="64"/>
      <c r="AI507" s="45"/>
      <c r="AJ507" s="105"/>
      <c r="AK507" s="105"/>
      <c r="AL507" s="60"/>
      <c r="AM507" s="60"/>
      <c r="AN507" s="60"/>
      <c r="AO507" s="60"/>
      <c r="AP507" s="60"/>
      <c r="AQ507" s="60"/>
      <c r="AR507" s="60"/>
      <c r="AS507" s="60"/>
      <c r="AT507" s="45"/>
      <c r="AU507" s="45"/>
      <c r="AW507" s="45"/>
      <c r="AX507" s="46">
        <f t="shared" si="22"/>
        <v>0</v>
      </c>
      <c r="AY507" s="46">
        <f t="shared" si="23"/>
        <v>0</v>
      </c>
      <c r="AZ507" s="46">
        <f t="shared" si="24"/>
        <v>0</v>
      </c>
    </row>
    <row r="508" spans="2:52" ht="20.100000000000001" customHeight="1">
      <c r="C508" s="102"/>
      <c r="D508" s="3"/>
      <c r="E508" s="12"/>
      <c r="F508" s="3"/>
      <c r="G508" s="3"/>
      <c r="H508" s="3"/>
      <c r="J508" s="3"/>
      <c r="K508" s="3"/>
      <c r="L508" s="4"/>
      <c r="M508" s="3"/>
      <c r="O508" s="58"/>
      <c r="Q508" s="64"/>
      <c r="R508" s="45"/>
      <c r="S508" s="45"/>
      <c r="U508" s="64"/>
      <c r="V508" s="45"/>
      <c r="W508" s="64"/>
      <c r="X508" s="64"/>
      <c r="Y508" s="45"/>
      <c r="Z508" s="45"/>
      <c r="AA508" s="105"/>
      <c r="AB508" s="105"/>
      <c r="AC508" s="105"/>
      <c r="AD508" s="64"/>
      <c r="AG508" s="45"/>
      <c r="AH508" s="64"/>
      <c r="AI508" s="45"/>
      <c r="AJ508" s="105"/>
      <c r="AK508" s="105"/>
      <c r="AL508" s="60"/>
      <c r="AM508" s="60"/>
      <c r="AN508" s="60"/>
      <c r="AO508" s="60"/>
      <c r="AP508" s="60"/>
      <c r="AQ508" s="60"/>
      <c r="AR508" s="60"/>
      <c r="AS508" s="60"/>
      <c r="AT508" s="45"/>
      <c r="AU508" s="45"/>
      <c r="AW508" s="45"/>
      <c r="AX508" s="46">
        <f t="shared" si="22"/>
        <v>0</v>
      </c>
      <c r="AY508" s="46">
        <f t="shared" si="23"/>
        <v>0</v>
      </c>
      <c r="AZ508" s="46">
        <f t="shared" si="24"/>
        <v>0</v>
      </c>
    </row>
    <row r="509" spans="2:52" ht="20.100000000000001" customHeight="1">
      <c r="B509" s="61"/>
      <c r="C509" s="103"/>
      <c r="D509" s="3"/>
      <c r="E509" s="12"/>
      <c r="F509" s="3"/>
      <c r="G509" s="3"/>
      <c r="H509" s="3"/>
      <c r="J509" s="3"/>
      <c r="K509" s="3"/>
      <c r="L509" s="4"/>
      <c r="M509" s="3"/>
      <c r="O509" s="58"/>
      <c r="Q509" s="64"/>
      <c r="R509" s="45"/>
      <c r="S509" s="45"/>
      <c r="U509" s="64"/>
      <c r="V509" s="45"/>
      <c r="W509" s="64"/>
      <c r="X509" s="64"/>
      <c r="Y509" s="45"/>
      <c r="Z509" s="45"/>
      <c r="AA509" s="105"/>
      <c r="AB509" s="105"/>
      <c r="AC509" s="105"/>
      <c r="AD509" s="64"/>
      <c r="AE509" s="62"/>
      <c r="AG509" s="45"/>
      <c r="AH509" s="64"/>
      <c r="AI509" s="45"/>
      <c r="AJ509" s="105"/>
      <c r="AK509" s="105"/>
      <c r="AL509" s="60"/>
      <c r="AM509" s="60"/>
      <c r="AN509" s="60"/>
      <c r="AO509" s="60"/>
      <c r="AP509" s="60"/>
      <c r="AQ509" s="60"/>
      <c r="AR509" s="60"/>
      <c r="AS509" s="60"/>
      <c r="AT509" s="45"/>
      <c r="AU509" s="45"/>
      <c r="AW509" s="45"/>
      <c r="AX509" s="46">
        <f t="shared" si="22"/>
        <v>0</v>
      </c>
      <c r="AY509" s="46">
        <f t="shared" si="23"/>
        <v>0</v>
      </c>
      <c r="AZ509" s="46">
        <f t="shared" si="24"/>
        <v>0</v>
      </c>
    </row>
    <row r="510" spans="2:52" ht="20.100000000000001" customHeight="1">
      <c r="C510" s="102"/>
      <c r="D510" s="3"/>
      <c r="E510" s="12"/>
      <c r="F510" s="3"/>
      <c r="G510" s="3"/>
      <c r="H510" s="3"/>
      <c r="J510" s="3"/>
      <c r="K510" s="3"/>
      <c r="L510" s="4"/>
      <c r="M510" s="3"/>
      <c r="O510" s="58"/>
      <c r="Q510" s="64"/>
      <c r="R510" s="45"/>
      <c r="S510" s="45"/>
      <c r="U510" s="64"/>
      <c r="V510" s="45"/>
      <c r="W510" s="64"/>
      <c r="X510" s="64"/>
      <c r="Y510" s="45"/>
      <c r="Z510" s="45"/>
      <c r="AA510" s="105"/>
      <c r="AB510" s="105"/>
      <c r="AC510" s="105"/>
      <c r="AD510" s="64"/>
      <c r="AG510" s="45"/>
      <c r="AH510" s="64"/>
      <c r="AI510" s="45"/>
      <c r="AJ510" s="105"/>
      <c r="AK510" s="105"/>
      <c r="AL510" s="60"/>
      <c r="AM510" s="60"/>
      <c r="AN510" s="60"/>
      <c r="AO510" s="60"/>
      <c r="AP510" s="60"/>
      <c r="AQ510" s="60"/>
      <c r="AR510" s="60"/>
      <c r="AS510" s="60"/>
      <c r="AT510" s="45"/>
      <c r="AU510" s="45"/>
      <c r="AW510" s="45"/>
      <c r="AX510" s="46">
        <f t="shared" si="22"/>
        <v>0</v>
      </c>
      <c r="AY510" s="46">
        <f t="shared" si="23"/>
        <v>0</v>
      </c>
      <c r="AZ510" s="46">
        <f t="shared" si="24"/>
        <v>0</v>
      </c>
    </row>
    <row r="511" spans="2:52" ht="20.100000000000001" customHeight="1">
      <c r="C511" s="102"/>
      <c r="D511" s="3"/>
      <c r="E511" s="12"/>
      <c r="F511" s="3"/>
      <c r="G511" s="3"/>
      <c r="H511" s="3"/>
      <c r="J511" s="3"/>
      <c r="K511" s="3"/>
      <c r="L511" s="4"/>
      <c r="M511" s="3"/>
      <c r="O511" s="58"/>
      <c r="Q511" s="64"/>
      <c r="R511" s="45"/>
      <c r="S511" s="45"/>
      <c r="U511" s="64"/>
      <c r="V511" s="45"/>
      <c r="W511" s="64"/>
      <c r="X511" s="64"/>
      <c r="Y511" s="45"/>
      <c r="Z511" s="45"/>
      <c r="AA511" s="105"/>
      <c r="AB511" s="105"/>
      <c r="AC511" s="105"/>
      <c r="AD511" s="64"/>
      <c r="AG511" s="45"/>
      <c r="AH511" s="64"/>
      <c r="AI511" s="45"/>
      <c r="AJ511" s="105"/>
      <c r="AK511" s="105"/>
      <c r="AL511" s="60"/>
      <c r="AM511" s="60"/>
      <c r="AN511" s="60"/>
      <c r="AO511" s="60"/>
      <c r="AP511" s="60"/>
      <c r="AQ511" s="60"/>
      <c r="AR511" s="60"/>
      <c r="AS511" s="60"/>
      <c r="AT511" s="45"/>
      <c r="AU511" s="45"/>
      <c r="AW511" s="45"/>
      <c r="AX511" s="46">
        <f t="shared" si="22"/>
        <v>0</v>
      </c>
      <c r="AY511" s="46">
        <f t="shared" si="23"/>
        <v>0</v>
      </c>
      <c r="AZ511" s="46">
        <f t="shared" si="24"/>
        <v>0</v>
      </c>
    </row>
    <row r="512" spans="2:52" ht="20.100000000000001" customHeight="1">
      <c r="C512" s="102"/>
      <c r="D512" s="3"/>
      <c r="E512" s="12"/>
      <c r="F512" s="3"/>
      <c r="G512" s="3"/>
      <c r="H512" s="3"/>
      <c r="J512" s="3"/>
      <c r="K512" s="3"/>
      <c r="L512" s="4"/>
      <c r="M512" s="3"/>
      <c r="O512" s="58"/>
      <c r="Q512" s="64"/>
      <c r="R512" s="45"/>
      <c r="S512" s="45"/>
      <c r="U512" s="64"/>
      <c r="V512" s="45"/>
      <c r="W512" s="64"/>
      <c r="X512" s="64"/>
      <c r="Y512" s="45"/>
      <c r="Z512" s="45"/>
      <c r="AA512" s="105"/>
      <c r="AB512" s="105"/>
      <c r="AC512" s="105"/>
      <c r="AD512" s="64"/>
      <c r="AG512" s="45"/>
      <c r="AH512" s="64"/>
      <c r="AI512" s="45"/>
      <c r="AJ512" s="105"/>
      <c r="AK512" s="105"/>
      <c r="AL512" s="60"/>
      <c r="AM512" s="60"/>
      <c r="AN512" s="60"/>
      <c r="AO512" s="60"/>
      <c r="AP512" s="60"/>
      <c r="AQ512" s="60"/>
      <c r="AR512" s="60"/>
      <c r="AS512" s="60"/>
      <c r="AT512" s="45"/>
      <c r="AU512" s="45"/>
      <c r="AW512" s="45"/>
      <c r="AX512" s="46">
        <f t="shared" si="22"/>
        <v>0</v>
      </c>
      <c r="AY512" s="46">
        <f t="shared" si="23"/>
        <v>0</v>
      </c>
      <c r="AZ512" s="46">
        <f t="shared" si="24"/>
        <v>0</v>
      </c>
    </row>
    <row r="513" spans="3:52" ht="20.100000000000001" customHeight="1">
      <c r="C513" s="102"/>
      <c r="D513" s="3"/>
      <c r="E513" s="12"/>
      <c r="F513" s="3"/>
      <c r="G513" s="3"/>
      <c r="H513" s="3"/>
      <c r="J513" s="3"/>
      <c r="K513" s="3"/>
      <c r="L513" s="4"/>
      <c r="M513" s="3"/>
      <c r="O513" s="58"/>
      <c r="Q513" s="64"/>
      <c r="R513" s="45"/>
      <c r="S513" s="45"/>
      <c r="U513" s="64"/>
      <c r="V513" s="45"/>
      <c r="W513" s="64"/>
      <c r="X513" s="64"/>
      <c r="Y513" s="45"/>
      <c r="Z513" s="45"/>
      <c r="AA513" s="105"/>
      <c r="AB513" s="105"/>
      <c r="AC513" s="105"/>
      <c r="AD513" s="64"/>
      <c r="AG513" s="45"/>
      <c r="AH513" s="64"/>
      <c r="AI513" s="45"/>
      <c r="AJ513" s="105"/>
      <c r="AK513" s="105"/>
      <c r="AL513" s="60"/>
      <c r="AM513" s="60"/>
      <c r="AN513" s="60"/>
      <c r="AO513" s="60"/>
      <c r="AP513" s="60"/>
      <c r="AQ513" s="60"/>
      <c r="AR513" s="60"/>
      <c r="AS513" s="60"/>
      <c r="AT513" s="45"/>
      <c r="AU513" s="45"/>
      <c r="AW513" s="45"/>
      <c r="AX513" s="46">
        <f t="shared" si="22"/>
        <v>0</v>
      </c>
      <c r="AY513" s="46">
        <f t="shared" si="23"/>
        <v>0</v>
      </c>
      <c r="AZ513" s="46">
        <f t="shared" si="24"/>
        <v>0</v>
      </c>
    </row>
    <row r="514" spans="3:52" ht="20.100000000000001" customHeight="1">
      <c r="C514" s="102"/>
      <c r="D514" s="3"/>
      <c r="E514" s="12"/>
      <c r="F514" s="3"/>
      <c r="G514" s="3"/>
      <c r="H514" s="3"/>
      <c r="J514" s="3"/>
      <c r="K514" s="3"/>
      <c r="L514" s="4"/>
      <c r="M514" s="3"/>
      <c r="O514" s="58"/>
      <c r="Q514" s="64"/>
      <c r="R514" s="45"/>
      <c r="S514" s="45"/>
      <c r="U514" s="64"/>
      <c r="V514" s="45"/>
      <c r="W514" s="64"/>
      <c r="X514" s="64"/>
      <c r="Y514" s="45"/>
      <c r="Z514" s="45"/>
      <c r="AA514" s="105"/>
      <c r="AB514" s="105"/>
      <c r="AC514" s="105"/>
      <c r="AD514" s="64"/>
      <c r="AG514" s="45"/>
      <c r="AH514" s="64"/>
      <c r="AI514" s="45"/>
      <c r="AJ514" s="105"/>
      <c r="AK514" s="105"/>
      <c r="AL514" s="60"/>
      <c r="AM514" s="60"/>
      <c r="AN514" s="60"/>
      <c r="AO514" s="60"/>
      <c r="AP514" s="60"/>
      <c r="AQ514" s="60"/>
      <c r="AR514" s="60"/>
      <c r="AS514" s="60"/>
      <c r="AT514" s="45"/>
      <c r="AU514" s="45"/>
      <c r="AW514" s="45"/>
      <c r="AX514" s="46">
        <f t="shared" si="22"/>
        <v>0</v>
      </c>
      <c r="AY514" s="46">
        <f t="shared" si="23"/>
        <v>0</v>
      </c>
      <c r="AZ514" s="46">
        <f t="shared" si="24"/>
        <v>0</v>
      </c>
    </row>
    <row r="515" spans="3:52" ht="20.100000000000001" customHeight="1">
      <c r="C515" s="102"/>
      <c r="D515" s="3"/>
      <c r="E515" s="67"/>
      <c r="F515" s="3"/>
      <c r="G515" s="3"/>
      <c r="H515" s="3"/>
      <c r="J515" s="3"/>
      <c r="K515" s="3"/>
      <c r="L515" s="4"/>
      <c r="M515" s="3"/>
      <c r="O515" s="58"/>
      <c r="Q515" s="64"/>
      <c r="R515" s="45"/>
      <c r="S515" s="45"/>
      <c r="U515" s="64"/>
      <c r="V515" s="45"/>
      <c r="W515" s="64"/>
      <c r="X515" s="64"/>
      <c r="Y515" s="45"/>
      <c r="Z515" s="45"/>
      <c r="AA515" s="105"/>
      <c r="AB515" s="105"/>
      <c r="AC515" s="105"/>
      <c r="AD515" s="64"/>
      <c r="AG515" s="45"/>
      <c r="AH515" s="64"/>
      <c r="AI515" s="45"/>
      <c r="AJ515" s="105"/>
      <c r="AK515" s="105"/>
      <c r="AL515" s="60"/>
      <c r="AM515" s="60"/>
      <c r="AN515" s="60"/>
      <c r="AO515" s="60"/>
      <c r="AP515" s="60"/>
      <c r="AQ515" s="60"/>
      <c r="AR515" s="60"/>
      <c r="AS515" s="60"/>
      <c r="AT515" s="45"/>
      <c r="AU515" s="45"/>
      <c r="AW515" s="45"/>
      <c r="AX515" s="46">
        <f t="shared" si="22"/>
        <v>0</v>
      </c>
      <c r="AY515" s="46">
        <f t="shared" si="23"/>
        <v>0</v>
      </c>
      <c r="AZ515" s="46">
        <f t="shared" si="24"/>
        <v>0</v>
      </c>
    </row>
    <row r="516" spans="3:52" ht="20.100000000000001" customHeight="1">
      <c r="C516" s="102"/>
      <c r="D516" s="3"/>
      <c r="E516" s="12"/>
      <c r="F516" s="3"/>
      <c r="G516" s="3"/>
      <c r="H516" s="3"/>
      <c r="J516" s="3"/>
      <c r="K516" s="3"/>
      <c r="L516" s="4"/>
      <c r="M516" s="3"/>
      <c r="O516" s="58"/>
      <c r="Q516" s="64"/>
      <c r="R516" s="45"/>
      <c r="S516" s="45"/>
      <c r="U516" s="64"/>
      <c r="V516" s="45"/>
      <c r="W516" s="64"/>
      <c r="X516" s="64"/>
      <c r="Y516" s="45"/>
      <c r="Z516" s="45"/>
      <c r="AA516" s="105"/>
      <c r="AB516" s="105"/>
      <c r="AC516" s="105"/>
      <c r="AD516" s="64"/>
      <c r="AG516" s="45"/>
      <c r="AH516" s="64"/>
      <c r="AI516" s="45"/>
      <c r="AJ516" s="105"/>
      <c r="AK516" s="105"/>
      <c r="AL516" s="60"/>
      <c r="AM516" s="60"/>
      <c r="AN516" s="60"/>
      <c r="AO516" s="60"/>
      <c r="AP516" s="60"/>
      <c r="AQ516" s="60"/>
      <c r="AR516" s="60"/>
      <c r="AS516" s="60"/>
      <c r="AT516" s="45"/>
      <c r="AU516" s="45"/>
      <c r="AW516" s="45"/>
      <c r="AX516" s="46">
        <f t="shared" si="22"/>
        <v>0</v>
      </c>
      <c r="AY516" s="46">
        <f t="shared" si="23"/>
        <v>0</v>
      </c>
      <c r="AZ516" s="46">
        <f t="shared" si="24"/>
        <v>0</v>
      </c>
    </row>
    <row r="517" spans="3:52" ht="20.100000000000001" customHeight="1">
      <c r="C517" s="102"/>
      <c r="D517" s="3"/>
      <c r="E517" s="67"/>
      <c r="F517" s="3"/>
      <c r="G517" s="3"/>
      <c r="H517" s="3"/>
      <c r="J517" s="3"/>
      <c r="K517" s="3"/>
      <c r="L517" s="4"/>
      <c r="M517" s="3"/>
      <c r="O517" s="58"/>
      <c r="Q517" s="64"/>
      <c r="R517" s="45"/>
      <c r="S517" s="45"/>
      <c r="U517" s="64"/>
      <c r="V517" s="45"/>
      <c r="W517" s="64"/>
      <c r="X517" s="64"/>
      <c r="Y517" s="45"/>
      <c r="Z517" s="45"/>
      <c r="AA517" s="105"/>
      <c r="AB517" s="105"/>
      <c r="AC517" s="105"/>
      <c r="AD517" s="64"/>
      <c r="AG517" s="45"/>
      <c r="AH517" s="64"/>
      <c r="AI517" s="45"/>
      <c r="AJ517" s="105"/>
      <c r="AK517" s="105"/>
      <c r="AL517" s="60"/>
      <c r="AM517" s="60"/>
      <c r="AN517" s="60"/>
      <c r="AO517" s="60"/>
      <c r="AP517" s="60"/>
      <c r="AQ517" s="60"/>
      <c r="AR517" s="60"/>
      <c r="AS517" s="60"/>
      <c r="AT517" s="45"/>
      <c r="AU517" s="45"/>
      <c r="AW517" s="45"/>
      <c r="AX517" s="46">
        <f t="shared" si="22"/>
        <v>0</v>
      </c>
      <c r="AY517" s="46">
        <f t="shared" si="23"/>
        <v>0</v>
      </c>
      <c r="AZ517" s="46">
        <f t="shared" si="24"/>
        <v>0</v>
      </c>
    </row>
    <row r="518" spans="3:52" ht="20.100000000000001" customHeight="1">
      <c r="C518" s="102"/>
      <c r="D518" s="3"/>
      <c r="E518" s="12"/>
      <c r="F518" s="3"/>
      <c r="G518" s="3"/>
      <c r="H518" s="3"/>
      <c r="J518" s="3"/>
      <c r="K518" s="3"/>
      <c r="L518" s="4"/>
      <c r="M518" s="3"/>
      <c r="O518" s="58"/>
      <c r="Q518" s="64"/>
      <c r="R518" s="45"/>
      <c r="S518" s="45"/>
      <c r="U518" s="64"/>
      <c r="V518" s="45"/>
      <c r="W518" s="64"/>
      <c r="X518" s="64"/>
      <c r="Y518" s="45"/>
      <c r="Z518" s="45"/>
      <c r="AA518" s="105"/>
      <c r="AB518" s="105"/>
      <c r="AC518" s="105"/>
      <c r="AD518" s="64"/>
      <c r="AG518" s="45"/>
      <c r="AH518" s="64"/>
      <c r="AI518" s="45"/>
      <c r="AJ518" s="105"/>
      <c r="AK518" s="105"/>
      <c r="AL518" s="60"/>
      <c r="AM518" s="60"/>
      <c r="AN518" s="60"/>
      <c r="AO518" s="60"/>
      <c r="AP518" s="60"/>
      <c r="AQ518" s="60"/>
      <c r="AR518" s="60"/>
      <c r="AS518" s="60"/>
      <c r="AT518" s="45"/>
      <c r="AU518" s="45"/>
      <c r="AW518" s="45"/>
      <c r="AX518" s="46">
        <f t="shared" si="22"/>
        <v>0</v>
      </c>
      <c r="AY518" s="46">
        <f t="shared" si="23"/>
        <v>0</v>
      </c>
      <c r="AZ518" s="46">
        <f t="shared" si="24"/>
        <v>0</v>
      </c>
    </row>
    <row r="519" spans="3:52" ht="20.100000000000001" customHeight="1">
      <c r="C519" s="102"/>
      <c r="D519" s="3"/>
      <c r="E519" s="12"/>
      <c r="F519" s="3"/>
      <c r="G519" s="3"/>
      <c r="H519" s="3"/>
      <c r="J519" s="3"/>
      <c r="K519" s="3"/>
      <c r="L519" s="4"/>
      <c r="M519" s="3"/>
      <c r="O519" s="58"/>
      <c r="Q519" s="64"/>
      <c r="R519" s="45"/>
      <c r="S519" s="45"/>
      <c r="U519" s="64"/>
      <c r="V519" s="45"/>
      <c r="W519" s="64"/>
      <c r="X519" s="64"/>
      <c r="Y519" s="45"/>
      <c r="Z519" s="45"/>
      <c r="AA519" s="105"/>
      <c r="AB519" s="105"/>
      <c r="AC519" s="105"/>
      <c r="AD519" s="64"/>
      <c r="AG519" s="45"/>
      <c r="AH519" s="64"/>
      <c r="AI519" s="45"/>
      <c r="AJ519" s="105"/>
      <c r="AK519" s="105"/>
      <c r="AL519" s="60"/>
      <c r="AM519" s="60"/>
      <c r="AN519" s="60"/>
      <c r="AO519" s="60"/>
      <c r="AP519" s="60"/>
      <c r="AQ519" s="60"/>
      <c r="AR519" s="60"/>
      <c r="AS519" s="60"/>
      <c r="AT519" s="45"/>
      <c r="AU519" s="45"/>
      <c r="AW519" s="45"/>
      <c r="AX519" s="46">
        <f t="shared" si="22"/>
        <v>0</v>
      </c>
      <c r="AY519" s="46">
        <f t="shared" si="23"/>
        <v>0</v>
      </c>
      <c r="AZ519" s="46">
        <f t="shared" si="24"/>
        <v>0</v>
      </c>
    </row>
    <row r="520" spans="3:52" ht="20.100000000000001" customHeight="1">
      <c r="C520" s="102"/>
      <c r="D520" s="3"/>
      <c r="E520" s="12"/>
      <c r="F520" s="3"/>
      <c r="G520" s="3"/>
      <c r="H520" s="3"/>
      <c r="J520" s="3"/>
      <c r="K520" s="3"/>
      <c r="L520" s="4"/>
      <c r="M520" s="3"/>
      <c r="O520" s="58"/>
      <c r="Q520" s="64"/>
      <c r="R520" s="45"/>
      <c r="S520" s="45"/>
      <c r="U520" s="64"/>
      <c r="V520" s="45"/>
      <c r="W520" s="64"/>
      <c r="X520" s="64"/>
      <c r="Y520" s="45"/>
      <c r="Z520" s="45"/>
      <c r="AA520" s="105"/>
      <c r="AB520" s="105"/>
      <c r="AC520" s="105"/>
      <c r="AD520" s="64"/>
      <c r="AG520" s="45"/>
      <c r="AH520" s="64"/>
      <c r="AI520" s="45"/>
      <c r="AJ520" s="105"/>
      <c r="AK520" s="105"/>
      <c r="AL520" s="60"/>
      <c r="AM520" s="60"/>
      <c r="AN520" s="60"/>
      <c r="AO520" s="60"/>
      <c r="AP520" s="60"/>
      <c r="AQ520" s="60"/>
      <c r="AR520" s="60"/>
      <c r="AS520" s="60"/>
      <c r="AT520" s="45"/>
      <c r="AU520" s="45"/>
      <c r="AW520" s="45"/>
      <c r="AX520" s="46">
        <f t="shared" si="22"/>
        <v>0</v>
      </c>
      <c r="AY520" s="46">
        <f t="shared" si="23"/>
        <v>0</v>
      </c>
      <c r="AZ520" s="46">
        <f t="shared" si="24"/>
        <v>0</v>
      </c>
    </row>
    <row r="521" spans="3:52" ht="20.100000000000001" customHeight="1">
      <c r="C521" s="102"/>
      <c r="D521" s="3"/>
      <c r="E521" s="12"/>
      <c r="F521" s="3"/>
      <c r="G521" s="3"/>
      <c r="H521" s="3"/>
      <c r="J521" s="3"/>
      <c r="K521" s="3"/>
      <c r="L521" s="4"/>
      <c r="M521" s="3"/>
      <c r="O521" s="58"/>
      <c r="Q521" s="64"/>
      <c r="R521" s="45"/>
      <c r="S521" s="45"/>
      <c r="U521" s="64"/>
      <c r="V521" s="45"/>
      <c r="W521" s="64"/>
      <c r="X521" s="64"/>
      <c r="Y521" s="45"/>
      <c r="Z521" s="45"/>
      <c r="AA521" s="105"/>
      <c r="AB521" s="105"/>
      <c r="AC521" s="105"/>
      <c r="AD521" s="64"/>
      <c r="AG521" s="45"/>
      <c r="AH521" s="64"/>
      <c r="AI521" s="45"/>
      <c r="AJ521" s="105"/>
      <c r="AK521" s="105"/>
      <c r="AL521" s="60"/>
      <c r="AM521" s="60"/>
      <c r="AN521" s="60"/>
      <c r="AO521" s="60"/>
      <c r="AP521" s="60"/>
      <c r="AQ521" s="60"/>
      <c r="AR521" s="60"/>
      <c r="AS521" s="60"/>
      <c r="AT521" s="45"/>
      <c r="AU521" s="45"/>
      <c r="AW521" s="45"/>
      <c r="AX521" s="46">
        <f t="shared" si="22"/>
        <v>0</v>
      </c>
      <c r="AY521" s="46">
        <f t="shared" si="23"/>
        <v>0</v>
      </c>
      <c r="AZ521" s="46">
        <f t="shared" si="24"/>
        <v>0</v>
      </c>
    </row>
    <row r="522" spans="3:52" ht="20.100000000000001" customHeight="1">
      <c r="C522" s="102"/>
      <c r="D522" s="3"/>
      <c r="E522" s="12"/>
      <c r="F522" s="3"/>
      <c r="G522" s="3"/>
      <c r="H522" s="3"/>
      <c r="J522" s="3"/>
      <c r="K522" s="3"/>
      <c r="L522" s="4"/>
      <c r="M522" s="3"/>
      <c r="O522" s="58"/>
      <c r="Q522" s="64"/>
      <c r="R522" s="45"/>
      <c r="S522" s="45"/>
      <c r="U522" s="64"/>
      <c r="V522" s="45"/>
      <c r="W522" s="64"/>
      <c r="X522" s="64"/>
      <c r="Y522" s="45"/>
      <c r="Z522" s="45"/>
      <c r="AA522" s="105"/>
      <c r="AB522" s="105"/>
      <c r="AC522" s="105"/>
      <c r="AD522" s="64"/>
      <c r="AG522" s="45"/>
      <c r="AH522" s="64"/>
      <c r="AI522" s="45"/>
      <c r="AJ522" s="105"/>
      <c r="AK522" s="105"/>
      <c r="AL522" s="60"/>
      <c r="AM522" s="60"/>
      <c r="AN522" s="60"/>
      <c r="AO522" s="60"/>
      <c r="AP522" s="60"/>
      <c r="AQ522" s="60"/>
      <c r="AR522" s="60"/>
      <c r="AS522" s="60"/>
      <c r="AT522" s="45"/>
      <c r="AU522" s="45"/>
      <c r="AW522" s="45"/>
      <c r="AX522" s="46">
        <f t="shared" si="22"/>
        <v>0</v>
      </c>
      <c r="AY522" s="46">
        <f t="shared" si="23"/>
        <v>0</v>
      </c>
      <c r="AZ522" s="46">
        <f t="shared" si="24"/>
        <v>0</v>
      </c>
    </row>
    <row r="523" spans="3:52" ht="20.100000000000001" customHeight="1">
      <c r="C523" s="102"/>
      <c r="D523" s="3"/>
      <c r="E523" s="12"/>
      <c r="F523" s="3"/>
      <c r="G523" s="3"/>
      <c r="H523" s="3"/>
      <c r="J523" s="3"/>
      <c r="K523" s="3"/>
      <c r="L523" s="4"/>
      <c r="M523" s="3"/>
      <c r="O523" s="58"/>
      <c r="Q523" s="64"/>
      <c r="R523" s="45"/>
      <c r="S523" s="45"/>
      <c r="U523" s="64"/>
      <c r="V523" s="45"/>
      <c r="W523" s="64"/>
      <c r="X523" s="64"/>
      <c r="Y523" s="45"/>
      <c r="Z523" s="45"/>
      <c r="AA523" s="105"/>
      <c r="AB523" s="105"/>
      <c r="AC523" s="105"/>
      <c r="AD523" s="64"/>
      <c r="AG523" s="45"/>
      <c r="AH523" s="64"/>
      <c r="AI523" s="45"/>
      <c r="AJ523" s="105"/>
      <c r="AK523" s="105"/>
      <c r="AL523" s="60"/>
      <c r="AM523" s="60"/>
      <c r="AN523" s="60"/>
      <c r="AO523" s="60"/>
      <c r="AP523" s="60"/>
      <c r="AQ523" s="60"/>
      <c r="AR523" s="60"/>
      <c r="AS523" s="60"/>
      <c r="AT523" s="45"/>
      <c r="AU523" s="45"/>
      <c r="AW523" s="45"/>
      <c r="AX523" s="46">
        <f t="shared" ref="AX523:AX586" si="25">IFERROR(SUM(Q523:AS523)-SUM(AT523:AU523)+AV523,"-")</f>
        <v>0</v>
      </c>
      <c r="AY523" s="46">
        <f t="shared" ref="AY523:AY586" si="26">IFERROR(SUM(Q523:AS523)-SUM(AT523:AT523),"-")</f>
        <v>0</v>
      </c>
      <c r="AZ523" s="46">
        <f t="shared" ref="AZ523:AZ586" si="27">SUM(Q523:AS523)</f>
        <v>0</v>
      </c>
    </row>
    <row r="524" spans="3:52" ht="20.100000000000001" customHeight="1">
      <c r="C524" s="102"/>
      <c r="D524" s="3"/>
      <c r="E524" s="67"/>
      <c r="F524" s="3"/>
      <c r="G524" s="3"/>
      <c r="H524" s="3"/>
      <c r="J524" s="3"/>
      <c r="K524" s="3"/>
      <c r="L524" s="4"/>
      <c r="M524" s="3"/>
      <c r="O524" s="58"/>
      <c r="Q524" s="64"/>
      <c r="R524" s="45"/>
      <c r="S524" s="45"/>
      <c r="U524" s="64"/>
      <c r="V524" s="45"/>
      <c r="W524" s="64"/>
      <c r="X524" s="64"/>
      <c r="Y524" s="45"/>
      <c r="Z524" s="45"/>
      <c r="AA524" s="105"/>
      <c r="AB524" s="105"/>
      <c r="AC524" s="105"/>
      <c r="AD524" s="64"/>
      <c r="AG524" s="45"/>
      <c r="AH524" s="64"/>
      <c r="AI524" s="45"/>
      <c r="AJ524" s="105"/>
      <c r="AK524" s="105"/>
      <c r="AL524" s="60"/>
      <c r="AM524" s="60"/>
      <c r="AN524" s="60"/>
      <c r="AO524" s="60"/>
      <c r="AP524" s="60"/>
      <c r="AQ524" s="60"/>
      <c r="AR524" s="60"/>
      <c r="AS524" s="60"/>
      <c r="AT524" s="45"/>
      <c r="AU524" s="45"/>
      <c r="AW524" s="45"/>
      <c r="AX524" s="46">
        <f t="shared" si="25"/>
        <v>0</v>
      </c>
      <c r="AY524" s="46">
        <f t="shared" si="26"/>
        <v>0</v>
      </c>
      <c r="AZ524" s="46">
        <f t="shared" si="27"/>
        <v>0</v>
      </c>
    </row>
    <row r="525" spans="3:52" ht="20.100000000000001" customHeight="1">
      <c r="C525" s="102"/>
      <c r="D525" s="3"/>
      <c r="E525" s="12"/>
      <c r="F525" s="3"/>
      <c r="G525" s="3"/>
      <c r="H525" s="3"/>
      <c r="J525" s="3"/>
      <c r="K525" s="3"/>
      <c r="L525" s="4"/>
      <c r="M525" s="3"/>
      <c r="O525" s="58"/>
      <c r="Q525" s="64"/>
      <c r="R525" s="45"/>
      <c r="S525" s="45"/>
      <c r="U525" s="64"/>
      <c r="V525" s="45"/>
      <c r="W525" s="64"/>
      <c r="X525" s="64"/>
      <c r="Y525" s="45"/>
      <c r="Z525" s="45"/>
      <c r="AA525" s="105"/>
      <c r="AB525" s="105"/>
      <c r="AC525" s="105"/>
      <c r="AD525" s="64"/>
      <c r="AG525" s="45"/>
      <c r="AH525" s="64"/>
      <c r="AI525" s="45"/>
      <c r="AJ525" s="105"/>
      <c r="AK525" s="105"/>
      <c r="AL525" s="60"/>
      <c r="AM525" s="60"/>
      <c r="AN525" s="60"/>
      <c r="AO525" s="60"/>
      <c r="AP525" s="60"/>
      <c r="AQ525" s="60"/>
      <c r="AR525" s="60"/>
      <c r="AS525" s="60"/>
      <c r="AT525" s="45"/>
      <c r="AU525" s="45"/>
      <c r="AW525" s="45"/>
      <c r="AX525" s="46">
        <f t="shared" si="25"/>
        <v>0</v>
      </c>
      <c r="AY525" s="46">
        <f t="shared" si="26"/>
        <v>0</v>
      </c>
      <c r="AZ525" s="46">
        <f t="shared" si="27"/>
        <v>0</v>
      </c>
    </row>
    <row r="526" spans="3:52" ht="20.100000000000001" customHeight="1">
      <c r="C526" s="102"/>
      <c r="D526" s="3"/>
      <c r="E526" s="12"/>
      <c r="F526" s="3"/>
      <c r="G526" s="3"/>
      <c r="H526" s="3"/>
      <c r="J526" s="3"/>
      <c r="K526" s="3"/>
      <c r="L526" s="4"/>
      <c r="M526" s="3"/>
      <c r="O526" s="58"/>
      <c r="Q526" s="64"/>
      <c r="R526" s="45"/>
      <c r="S526" s="45"/>
      <c r="U526" s="64"/>
      <c r="V526" s="45"/>
      <c r="W526" s="64"/>
      <c r="X526" s="64"/>
      <c r="Y526" s="45"/>
      <c r="Z526" s="45"/>
      <c r="AA526" s="105"/>
      <c r="AB526" s="105"/>
      <c r="AC526" s="105"/>
      <c r="AD526" s="64"/>
      <c r="AH526" s="64"/>
      <c r="AI526" s="45"/>
      <c r="AJ526" s="105"/>
      <c r="AK526" s="105"/>
      <c r="AL526" s="60"/>
      <c r="AM526" s="60"/>
      <c r="AN526" s="60"/>
      <c r="AO526" s="60"/>
      <c r="AP526" s="60"/>
      <c r="AQ526" s="60"/>
      <c r="AR526" s="60"/>
      <c r="AS526" s="60"/>
      <c r="AT526" s="45"/>
      <c r="AU526" s="45"/>
      <c r="AW526" s="45"/>
      <c r="AX526" s="46">
        <f t="shared" si="25"/>
        <v>0</v>
      </c>
      <c r="AY526" s="46">
        <f t="shared" si="26"/>
        <v>0</v>
      </c>
      <c r="AZ526" s="46">
        <f t="shared" si="27"/>
        <v>0</v>
      </c>
    </row>
    <row r="527" spans="3:52" ht="20.100000000000001" customHeight="1">
      <c r="C527" s="102"/>
      <c r="D527" s="3"/>
      <c r="E527" s="12"/>
      <c r="F527" s="3"/>
      <c r="G527" s="3"/>
      <c r="H527" s="3"/>
      <c r="J527" s="3"/>
      <c r="K527" s="3"/>
      <c r="L527" s="4"/>
      <c r="M527" s="3"/>
      <c r="O527" s="58"/>
      <c r="Q527" s="64"/>
      <c r="R527" s="45"/>
      <c r="S527" s="45"/>
      <c r="U527" s="64"/>
      <c r="V527" s="45"/>
      <c r="W527" s="64"/>
      <c r="X527" s="64"/>
      <c r="Y527" s="45"/>
      <c r="Z527" s="45"/>
      <c r="AA527" s="105"/>
      <c r="AB527" s="105"/>
      <c r="AC527" s="105"/>
      <c r="AD527" s="64"/>
      <c r="AG527" s="45"/>
      <c r="AH527" s="64"/>
      <c r="AI527" s="45"/>
      <c r="AJ527" s="105"/>
      <c r="AK527" s="105"/>
      <c r="AL527" s="60"/>
      <c r="AM527" s="60"/>
      <c r="AN527" s="60"/>
      <c r="AO527" s="60"/>
      <c r="AP527" s="60"/>
      <c r="AQ527" s="60"/>
      <c r="AR527" s="60"/>
      <c r="AS527" s="60"/>
      <c r="AT527" s="45"/>
      <c r="AU527" s="45"/>
      <c r="AW527" s="45"/>
      <c r="AX527" s="46">
        <f t="shared" si="25"/>
        <v>0</v>
      </c>
      <c r="AY527" s="46">
        <f t="shared" si="26"/>
        <v>0</v>
      </c>
      <c r="AZ527" s="46">
        <f t="shared" si="27"/>
        <v>0</v>
      </c>
    </row>
    <row r="528" spans="3:52" ht="20.100000000000001" customHeight="1">
      <c r="C528" s="102"/>
      <c r="D528" s="3"/>
      <c r="E528" s="12"/>
      <c r="F528" s="3"/>
      <c r="G528" s="3"/>
      <c r="H528" s="3"/>
      <c r="J528" s="3"/>
      <c r="K528" s="3"/>
      <c r="L528" s="4"/>
      <c r="M528" s="3"/>
      <c r="O528" s="58"/>
      <c r="Q528" s="64"/>
      <c r="R528" s="45"/>
      <c r="S528" s="45"/>
      <c r="U528" s="64"/>
      <c r="V528" s="45"/>
      <c r="W528" s="64"/>
      <c r="X528" s="64"/>
      <c r="Y528" s="45"/>
      <c r="Z528" s="45"/>
      <c r="AA528" s="105"/>
      <c r="AB528" s="105"/>
      <c r="AC528" s="105"/>
      <c r="AD528" s="64"/>
      <c r="AG528" s="45"/>
      <c r="AH528" s="64"/>
      <c r="AI528" s="45"/>
      <c r="AJ528" s="105"/>
      <c r="AK528" s="105"/>
      <c r="AL528" s="60"/>
      <c r="AM528" s="60"/>
      <c r="AN528" s="60"/>
      <c r="AO528" s="60"/>
      <c r="AP528" s="60"/>
      <c r="AQ528" s="60"/>
      <c r="AR528" s="60"/>
      <c r="AS528" s="60"/>
      <c r="AT528" s="45"/>
      <c r="AU528" s="45"/>
      <c r="AW528" s="45"/>
      <c r="AX528" s="46">
        <f t="shared" si="25"/>
        <v>0</v>
      </c>
      <c r="AY528" s="46">
        <f t="shared" si="26"/>
        <v>0</v>
      </c>
      <c r="AZ528" s="46">
        <f t="shared" si="27"/>
        <v>0</v>
      </c>
    </row>
    <row r="529" spans="2:52" ht="20.100000000000001" customHeight="1">
      <c r="C529" s="102"/>
      <c r="D529" s="3"/>
      <c r="E529" s="12"/>
      <c r="F529" s="3"/>
      <c r="G529" s="3"/>
      <c r="H529" s="3"/>
      <c r="J529" s="3"/>
      <c r="K529" s="3"/>
      <c r="L529" s="4"/>
      <c r="M529" s="3"/>
      <c r="O529" s="58"/>
      <c r="Q529" s="64"/>
      <c r="R529" s="45"/>
      <c r="S529" s="45"/>
      <c r="U529" s="64"/>
      <c r="V529" s="45"/>
      <c r="W529" s="64"/>
      <c r="X529" s="64"/>
      <c r="Y529" s="45"/>
      <c r="Z529" s="45"/>
      <c r="AA529" s="105"/>
      <c r="AB529" s="105"/>
      <c r="AC529" s="105"/>
      <c r="AD529" s="64"/>
      <c r="AG529" s="45"/>
      <c r="AH529" s="64"/>
      <c r="AI529" s="45"/>
      <c r="AJ529" s="105"/>
      <c r="AK529" s="105"/>
      <c r="AL529" s="60"/>
      <c r="AM529" s="60"/>
      <c r="AN529" s="60"/>
      <c r="AO529" s="60"/>
      <c r="AP529" s="60"/>
      <c r="AQ529" s="60"/>
      <c r="AR529" s="60"/>
      <c r="AS529" s="60"/>
      <c r="AT529" s="45"/>
      <c r="AU529" s="45"/>
      <c r="AW529" s="45"/>
      <c r="AX529" s="46">
        <f t="shared" si="25"/>
        <v>0</v>
      </c>
      <c r="AY529" s="46">
        <f t="shared" si="26"/>
        <v>0</v>
      </c>
      <c r="AZ529" s="46">
        <f t="shared" si="27"/>
        <v>0</v>
      </c>
    </row>
    <row r="530" spans="2:52" ht="20.100000000000001" customHeight="1">
      <c r="B530" s="61"/>
      <c r="C530" s="103"/>
      <c r="D530" s="3"/>
      <c r="E530" s="12"/>
      <c r="F530" s="3"/>
      <c r="G530" s="3"/>
      <c r="H530" s="3"/>
      <c r="J530" s="3"/>
      <c r="K530" s="3"/>
      <c r="L530" s="4"/>
      <c r="M530" s="3"/>
      <c r="O530" s="58"/>
      <c r="Q530" s="64"/>
      <c r="R530" s="45"/>
      <c r="S530" s="45"/>
      <c r="U530" s="64"/>
      <c r="V530" s="45"/>
      <c r="W530" s="64"/>
      <c r="X530" s="64"/>
      <c r="Y530" s="45"/>
      <c r="Z530" s="45"/>
      <c r="AA530" s="105"/>
      <c r="AB530" s="105"/>
      <c r="AC530" s="105"/>
      <c r="AD530" s="64"/>
      <c r="AE530" s="62"/>
      <c r="AG530" s="45"/>
      <c r="AH530" s="64"/>
      <c r="AI530" s="45"/>
      <c r="AJ530" s="105"/>
      <c r="AK530" s="105"/>
      <c r="AL530" s="60"/>
      <c r="AM530" s="60"/>
      <c r="AN530" s="60"/>
      <c r="AO530" s="60"/>
      <c r="AP530" s="60"/>
      <c r="AQ530" s="60"/>
      <c r="AR530" s="60"/>
      <c r="AS530" s="60"/>
      <c r="AT530" s="45"/>
      <c r="AU530" s="45"/>
      <c r="AW530" s="45"/>
      <c r="AX530" s="46">
        <f t="shared" si="25"/>
        <v>0</v>
      </c>
      <c r="AY530" s="46">
        <f t="shared" si="26"/>
        <v>0</v>
      </c>
      <c r="AZ530" s="46">
        <f t="shared" si="27"/>
        <v>0</v>
      </c>
    </row>
    <row r="531" spans="2:52" ht="20.100000000000001" customHeight="1">
      <c r="C531" s="102"/>
      <c r="D531" s="3"/>
      <c r="E531" s="12"/>
      <c r="F531" s="3"/>
      <c r="G531" s="3"/>
      <c r="H531" s="3"/>
      <c r="J531" s="3"/>
      <c r="K531" s="3"/>
      <c r="L531" s="4"/>
      <c r="M531" s="3"/>
      <c r="O531" s="58"/>
      <c r="Q531" s="64"/>
      <c r="R531" s="45"/>
      <c r="S531" s="45"/>
      <c r="U531" s="64"/>
      <c r="V531" s="45"/>
      <c r="W531" s="64"/>
      <c r="X531" s="64"/>
      <c r="Y531" s="45"/>
      <c r="Z531" s="45"/>
      <c r="AA531" s="105"/>
      <c r="AB531" s="105"/>
      <c r="AC531" s="105"/>
      <c r="AD531" s="64"/>
      <c r="AG531" s="45"/>
      <c r="AH531" s="64"/>
      <c r="AI531" s="45"/>
      <c r="AJ531" s="105"/>
      <c r="AK531" s="105"/>
      <c r="AL531" s="60"/>
      <c r="AM531" s="60"/>
      <c r="AN531" s="60"/>
      <c r="AO531" s="60"/>
      <c r="AP531" s="60"/>
      <c r="AQ531" s="60"/>
      <c r="AR531" s="60"/>
      <c r="AS531" s="60"/>
      <c r="AT531" s="45"/>
      <c r="AU531" s="45"/>
      <c r="AW531" s="45"/>
      <c r="AX531" s="46">
        <f t="shared" si="25"/>
        <v>0</v>
      </c>
      <c r="AY531" s="46">
        <f t="shared" si="26"/>
        <v>0</v>
      </c>
      <c r="AZ531" s="46">
        <f t="shared" si="27"/>
        <v>0</v>
      </c>
    </row>
    <row r="532" spans="2:52" ht="20.100000000000001" customHeight="1">
      <c r="C532" s="102"/>
      <c r="D532" s="3"/>
      <c r="E532" s="12"/>
      <c r="F532" s="3"/>
      <c r="G532" s="3"/>
      <c r="H532" s="3"/>
      <c r="J532" s="3"/>
      <c r="K532" s="3"/>
      <c r="L532" s="4"/>
      <c r="M532" s="3"/>
      <c r="O532" s="58"/>
      <c r="Q532" s="64"/>
      <c r="R532" s="45"/>
      <c r="S532" s="45"/>
      <c r="U532" s="64"/>
      <c r="V532" s="45"/>
      <c r="W532" s="64"/>
      <c r="X532" s="64"/>
      <c r="Y532" s="45"/>
      <c r="Z532" s="45"/>
      <c r="AA532" s="105"/>
      <c r="AB532" s="105"/>
      <c r="AC532" s="105"/>
      <c r="AD532" s="64"/>
      <c r="AH532" s="64"/>
      <c r="AI532" s="45"/>
      <c r="AJ532" s="105"/>
      <c r="AK532" s="105"/>
      <c r="AL532" s="60"/>
      <c r="AM532" s="60"/>
      <c r="AN532" s="60"/>
      <c r="AO532" s="60"/>
      <c r="AP532" s="60"/>
      <c r="AQ532" s="60"/>
      <c r="AR532" s="60"/>
      <c r="AS532" s="60"/>
      <c r="AT532" s="45"/>
      <c r="AU532" s="45"/>
      <c r="AW532" s="45"/>
      <c r="AX532" s="46">
        <f t="shared" si="25"/>
        <v>0</v>
      </c>
      <c r="AY532" s="46">
        <f t="shared" si="26"/>
        <v>0</v>
      </c>
      <c r="AZ532" s="46">
        <f t="shared" si="27"/>
        <v>0</v>
      </c>
    </row>
    <row r="533" spans="2:52" ht="20.100000000000001" customHeight="1">
      <c r="C533" s="102"/>
      <c r="D533" s="3"/>
      <c r="E533" s="12"/>
      <c r="F533" s="3"/>
      <c r="G533" s="3"/>
      <c r="H533" s="3"/>
      <c r="J533" s="3"/>
      <c r="K533" s="3"/>
      <c r="L533" s="4"/>
      <c r="M533" s="3"/>
      <c r="O533" s="58"/>
      <c r="Q533" s="64"/>
      <c r="R533" s="45"/>
      <c r="S533" s="45"/>
      <c r="U533" s="64"/>
      <c r="V533" s="45"/>
      <c r="W533" s="64"/>
      <c r="X533" s="64"/>
      <c r="Y533" s="45"/>
      <c r="Z533" s="45"/>
      <c r="AA533" s="105"/>
      <c r="AB533" s="105"/>
      <c r="AC533" s="105"/>
      <c r="AD533" s="64"/>
      <c r="AG533" s="45"/>
      <c r="AH533" s="64"/>
      <c r="AI533" s="45"/>
      <c r="AJ533" s="105"/>
      <c r="AK533" s="105"/>
      <c r="AL533" s="60"/>
      <c r="AM533" s="60"/>
      <c r="AN533" s="60"/>
      <c r="AO533" s="60"/>
      <c r="AP533" s="60"/>
      <c r="AQ533" s="60"/>
      <c r="AR533" s="60"/>
      <c r="AS533" s="60"/>
      <c r="AT533" s="45"/>
      <c r="AU533" s="45"/>
      <c r="AW533" s="45"/>
      <c r="AX533" s="46">
        <f t="shared" si="25"/>
        <v>0</v>
      </c>
      <c r="AY533" s="46">
        <f t="shared" si="26"/>
        <v>0</v>
      </c>
      <c r="AZ533" s="46">
        <f t="shared" si="27"/>
        <v>0</v>
      </c>
    </row>
    <row r="534" spans="2:52" ht="20.100000000000001" customHeight="1">
      <c r="C534" s="102"/>
      <c r="D534" s="3"/>
      <c r="E534" s="12"/>
      <c r="F534" s="3"/>
      <c r="G534" s="3"/>
      <c r="H534" s="3"/>
      <c r="J534" s="3"/>
      <c r="K534" s="3"/>
      <c r="L534" s="4"/>
      <c r="M534" s="3"/>
      <c r="O534" s="58"/>
      <c r="Q534" s="64"/>
      <c r="R534" s="45"/>
      <c r="S534" s="45"/>
      <c r="U534" s="64"/>
      <c r="V534" s="45"/>
      <c r="W534" s="64"/>
      <c r="X534" s="64"/>
      <c r="Y534" s="45"/>
      <c r="Z534" s="45"/>
      <c r="AA534" s="105"/>
      <c r="AB534" s="105"/>
      <c r="AC534" s="105"/>
      <c r="AD534" s="64"/>
      <c r="AG534" s="45"/>
      <c r="AH534" s="64"/>
      <c r="AI534" s="45"/>
      <c r="AJ534" s="105"/>
      <c r="AK534" s="105"/>
      <c r="AL534" s="60"/>
      <c r="AM534" s="60"/>
      <c r="AN534" s="60"/>
      <c r="AO534" s="60"/>
      <c r="AP534" s="60"/>
      <c r="AQ534" s="60"/>
      <c r="AR534" s="60"/>
      <c r="AS534" s="60"/>
      <c r="AT534" s="45"/>
      <c r="AU534" s="45"/>
      <c r="AW534" s="45"/>
      <c r="AX534" s="46">
        <f t="shared" si="25"/>
        <v>0</v>
      </c>
      <c r="AY534" s="46">
        <f t="shared" si="26"/>
        <v>0</v>
      </c>
      <c r="AZ534" s="46">
        <f t="shared" si="27"/>
        <v>0</v>
      </c>
    </row>
    <row r="535" spans="2:52" ht="20.100000000000001" customHeight="1">
      <c r="C535" s="102"/>
      <c r="D535" s="3"/>
      <c r="E535" s="12"/>
      <c r="F535" s="3"/>
      <c r="G535" s="3"/>
      <c r="H535" s="3"/>
      <c r="J535" s="3"/>
      <c r="K535" s="3"/>
      <c r="L535" s="4"/>
      <c r="M535" s="3"/>
      <c r="O535" s="58"/>
      <c r="Q535" s="64"/>
      <c r="R535" s="45"/>
      <c r="S535" s="45"/>
      <c r="U535" s="64"/>
      <c r="V535" s="45"/>
      <c r="W535" s="64"/>
      <c r="X535" s="64"/>
      <c r="Y535" s="45"/>
      <c r="Z535" s="45"/>
      <c r="AA535" s="105"/>
      <c r="AB535" s="105"/>
      <c r="AC535" s="105"/>
      <c r="AD535" s="64"/>
      <c r="AG535" s="45"/>
      <c r="AH535" s="64"/>
      <c r="AI535" s="45"/>
      <c r="AJ535" s="105"/>
      <c r="AK535" s="105"/>
      <c r="AL535" s="60"/>
      <c r="AM535" s="60"/>
      <c r="AN535" s="60"/>
      <c r="AO535" s="60"/>
      <c r="AP535" s="60"/>
      <c r="AQ535" s="60"/>
      <c r="AR535" s="60"/>
      <c r="AS535" s="60"/>
      <c r="AT535" s="45"/>
      <c r="AU535" s="45"/>
      <c r="AW535" s="45"/>
      <c r="AX535" s="46">
        <f t="shared" si="25"/>
        <v>0</v>
      </c>
      <c r="AY535" s="46">
        <f t="shared" si="26"/>
        <v>0</v>
      </c>
      <c r="AZ535" s="46">
        <f t="shared" si="27"/>
        <v>0</v>
      </c>
    </row>
    <row r="536" spans="2:52" ht="20.100000000000001" customHeight="1">
      <c r="C536" s="102"/>
      <c r="D536" s="3"/>
      <c r="E536" s="12"/>
      <c r="F536" s="3"/>
      <c r="G536" s="3"/>
      <c r="H536" s="3"/>
      <c r="J536" s="3"/>
      <c r="K536" s="3"/>
      <c r="L536" s="4"/>
      <c r="M536" s="3"/>
      <c r="O536" s="58"/>
      <c r="Q536" s="64"/>
      <c r="R536" s="45"/>
      <c r="S536" s="45"/>
      <c r="U536" s="64"/>
      <c r="V536" s="45"/>
      <c r="W536" s="64"/>
      <c r="X536" s="64"/>
      <c r="Y536" s="45"/>
      <c r="Z536" s="45"/>
      <c r="AA536" s="105"/>
      <c r="AB536" s="105"/>
      <c r="AC536" s="105"/>
      <c r="AD536" s="64"/>
      <c r="AG536" s="45"/>
      <c r="AH536" s="64"/>
      <c r="AI536" s="45"/>
      <c r="AJ536" s="105"/>
      <c r="AK536" s="105"/>
      <c r="AL536" s="60"/>
      <c r="AM536" s="60"/>
      <c r="AN536" s="60"/>
      <c r="AO536" s="60"/>
      <c r="AP536" s="60"/>
      <c r="AQ536" s="60"/>
      <c r="AR536" s="60"/>
      <c r="AS536" s="60"/>
      <c r="AT536" s="45"/>
      <c r="AU536" s="45"/>
      <c r="AW536" s="45"/>
      <c r="AX536" s="46">
        <f t="shared" si="25"/>
        <v>0</v>
      </c>
      <c r="AY536" s="46">
        <f t="shared" si="26"/>
        <v>0</v>
      </c>
      <c r="AZ536" s="46">
        <f t="shared" si="27"/>
        <v>0</v>
      </c>
    </row>
    <row r="537" spans="2:52" ht="20.100000000000001" customHeight="1">
      <c r="C537" s="102"/>
      <c r="D537" s="3"/>
      <c r="E537" s="12"/>
      <c r="F537" s="3"/>
      <c r="G537" s="3"/>
      <c r="H537" s="3"/>
      <c r="J537" s="3"/>
      <c r="K537" s="3"/>
      <c r="L537" s="4"/>
      <c r="M537" s="3"/>
      <c r="O537" s="58"/>
      <c r="Q537" s="64"/>
      <c r="R537" s="45"/>
      <c r="S537" s="45"/>
      <c r="U537" s="64"/>
      <c r="V537" s="45"/>
      <c r="W537" s="64"/>
      <c r="X537" s="64"/>
      <c r="Y537" s="45"/>
      <c r="Z537" s="45"/>
      <c r="AA537" s="105"/>
      <c r="AB537" s="105"/>
      <c r="AC537" s="105"/>
      <c r="AD537" s="64"/>
      <c r="AG537" s="45"/>
      <c r="AH537" s="64"/>
      <c r="AI537" s="45"/>
      <c r="AJ537" s="105"/>
      <c r="AK537" s="105"/>
      <c r="AL537" s="60"/>
      <c r="AM537" s="60"/>
      <c r="AN537" s="60"/>
      <c r="AO537" s="60"/>
      <c r="AP537" s="60"/>
      <c r="AQ537" s="60"/>
      <c r="AR537" s="60"/>
      <c r="AS537" s="60"/>
      <c r="AT537" s="45"/>
      <c r="AU537" s="45"/>
      <c r="AW537" s="45"/>
      <c r="AX537" s="46">
        <f t="shared" si="25"/>
        <v>0</v>
      </c>
      <c r="AY537" s="46">
        <f t="shared" si="26"/>
        <v>0</v>
      </c>
      <c r="AZ537" s="46">
        <f t="shared" si="27"/>
        <v>0</v>
      </c>
    </row>
    <row r="538" spans="2:52" ht="20.100000000000001" customHeight="1">
      <c r="C538" s="102"/>
      <c r="D538" s="3"/>
      <c r="E538" s="12"/>
      <c r="F538" s="3"/>
      <c r="G538" s="3"/>
      <c r="H538" s="3"/>
      <c r="J538" s="3"/>
      <c r="K538" s="3"/>
      <c r="L538" s="4"/>
      <c r="M538" s="3"/>
      <c r="O538" s="58"/>
      <c r="Q538" s="64"/>
      <c r="R538" s="45"/>
      <c r="S538" s="45"/>
      <c r="U538" s="64"/>
      <c r="V538" s="45"/>
      <c r="W538" s="64"/>
      <c r="X538" s="64"/>
      <c r="Y538" s="45"/>
      <c r="Z538" s="45"/>
      <c r="AA538" s="105"/>
      <c r="AB538" s="105"/>
      <c r="AC538" s="105"/>
      <c r="AD538" s="64"/>
      <c r="AG538" s="45"/>
      <c r="AH538" s="64"/>
      <c r="AI538" s="45"/>
      <c r="AJ538" s="105"/>
      <c r="AK538" s="105"/>
      <c r="AL538" s="60"/>
      <c r="AM538" s="60"/>
      <c r="AN538" s="60"/>
      <c r="AO538" s="60"/>
      <c r="AP538" s="60"/>
      <c r="AQ538" s="60"/>
      <c r="AR538" s="60"/>
      <c r="AS538" s="60"/>
      <c r="AT538" s="45"/>
      <c r="AU538" s="45"/>
      <c r="AW538" s="45"/>
      <c r="AX538" s="46">
        <f t="shared" si="25"/>
        <v>0</v>
      </c>
      <c r="AY538" s="46">
        <f t="shared" si="26"/>
        <v>0</v>
      </c>
      <c r="AZ538" s="46">
        <f t="shared" si="27"/>
        <v>0</v>
      </c>
    </row>
    <row r="539" spans="2:52" ht="20.100000000000001" customHeight="1">
      <c r="C539" s="102"/>
      <c r="D539" s="3"/>
      <c r="E539" s="12"/>
      <c r="F539" s="3"/>
      <c r="G539" s="3"/>
      <c r="H539" s="3"/>
      <c r="J539" s="3"/>
      <c r="K539" s="3"/>
      <c r="L539" s="4"/>
      <c r="M539" s="3"/>
      <c r="O539" s="58"/>
      <c r="Q539" s="64"/>
      <c r="R539" s="45"/>
      <c r="S539" s="45"/>
      <c r="U539" s="64"/>
      <c r="V539" s="45"/>
      <c r="W539" s="64"/>
      <c r="X539" s="64"/>
      <c r="Y539" s="45"/>
      <c r="Z539" s="45"/>
      <c r="AA539" s="105"/>
      <c r="AB539" s="105"/>
      <c r="AC539" s="105"/>
      <c r="AD539" s="64"/>
      <c r="AH539" s="64"/>
      <c r="AI539" s="45"/>
      <c r="AJ539" s="105"/>
      <c r="AK539" s="105"/>
      <c r="AL539" s="60"/>
      <c r="AM539" s="60"/>
      <c r="AN539" s="60"/>
      <c r="AO539" s="60"/>
      <c r="AP539" s="60"/>
      <c r="AQ539" s="60"/>
      <c r="AR539" s="60"/>
      <c r="AS539" s="60"/>
      <c r="AT539" s="45"/>
      <c r="AU539" s="45"/>
      <c r="AW539" s="45"/>
      <c r="AX539" s="46">
        <f t="shared" si="25"/>
        <v>0</v>
      </c>
      <c r="AY539" s="46">
        <f t="shared" si="26"/>
        <v>0</v>
      </c>
      <c r="AZ539" s="46">
        <f t="shared" si="27"/>
        <v>0</v>
      </c>
    </row>
    <row r="540" spans="2:52" ht="20.100000000000001" customHeight="1">
      <c r="C540" s="102"/>
      <c r="D540" s="3"/>
      <c r="E540" s="12"/>
      <c r="F540" s="3"/>
      <c r="G540" s="3"/>
      <c r="H540" s="3"/>
      <c r="J540" s="3"/>
      <c r="K540" s="3"/>
      <c r="L540" s="4"/>
      <c r="M540" s="3"/>
      <c r="O540" s="58"/>
      <c r="Q540" s="64"/>
      <c r="R540" s="45"/>
      <c r="S540" s="45"/>
      <c r="U540" s="64"/>
      <c r="V540" s="45"/>
      <c r="W540" s="64"/>
      <c r="X540" s="64"/>
      <c r="Y540" s="45"/>
      <c r="Z540" s="45"/>
      <c r="AA540" s="105"/>
      <c r="AB540" s="105"/>
      <c r="AC540" s="105"/>
      <c r="AD540" s="64"/>
      <c r="AG540" s="45"/>
      <c r="AH540" s="64"/>
      <c r="AI540" s="45"/>
      <c r="AJ540" s="105"/>
      <c r="AK540" s="105"/>
      <c r="AL540" s="60"/>
      <c r="AM540" s="60"/>
      <c r="AN540" s="60"/>
      <c r="AO540" s="60"/>
      <c r="AP540" s="60"/>
      <c r="AQ540" s="60"/>
      <c r="AR540" s="60"/>
      <c r="AS540" s="60"/>
      <c r="AT540" s="45"/>
      <c r="AU540" s="45"/>
      <c r="AW540" s="45"/>
      <c r="AX540" s="46">
        <f t="shared" si="25"/>
        <v>0</v>
      </c>
      <c r="AY540" s="46">
        <f t="shared" si="26"/>
        <v>0</v>
      </c>
      <c r="AZ540" s="46">
        <f t="shared" si="27"/>
        <v>0</v>
      </c>
    </row>
    <row r="541" spans="2:52" ht="20.100000000000001" customHeight="1">
      <c r="C541" s="102"/>
      <c r="D541" s="3"/>
      <c r="E541" s="12"/>
      <c r="F541" s="3"/>
      <c r="G541" s="3"/>
      <c r="H541" s="3"/>
      <c r="J541" s="3"/>
      <c r="K541" s="3"/>
      <c r="L541" s="4"/>
      <c r="M541" s="3"/>
      <c r="O541" s="58"/>
      <c r="Q541" s="64"/>
      <c r="R541" s="45"/>
      <c r="S541" s="45"/>
      <c r="U541" s="64"/>
      <c r="V541" s="45"/>
      <c r="W541" s="64"/>
      <c r="X541" s="64"/>
      <c r="Y541" s="45"/>
      <c r="Z541" s="45"/>
      <c r="AA541" s="105"/>
      <c r="AB541" s="105"/>
      <c r="AC541" s="105"/>
      <c r="AD541" s="64"/>
      <c r="AG541" s="45"/>
      <c r="AH541" s="64"/>
      <c r="AI541" s="45"/>
      <c r="AJ541" s="105"/>
      <c r="AK541" s="105"/>
      <c r="AL541" s="60"/>
      <c r="AM541" s="60"/>
      <c r="AN541" s="60"/>
      <c r="AO541" s="60"/>
      <c r="AP541" s="60"/>
      <c r="AQ541" s="60"/>
      <c r="AR541" s="60"/>
      <c r="AS541" s="60"/>
      <c r="AT541" s="45"/>
      <c r="AU541" s="45"/>
      <c r="AW541" s="45"/>
      <c r="AX541" s="46">
        <f t="shared" si="25"/>
        <v>0</v>
      </c>
      <c r="AY541" s="46">
        <f t="shared" si="26"/>
        <v>0</v>
      </c>
      <c r="AZ541" s="46">
        <f t="shared" si="27"/>
        <v>0</v>
      </c>
    </row>
    <row r="542" spans="2:52" ht="20.100000000000001" customHeight="1">
      <c r="C542" s="102"/>
      <c r="D542" s="3"/>
      <c r="E542" s="12"/>
      <c r="F542" s="3"/>
      <c r="G542" s="3"/>
      <c r="H542" s="3"/>
      <c r="J542" s="3"/>
      <c r="K542" s="3"/>
      <c r="L542" s="4"/>
      <c r="M542" s="3"/>
      <c r="O542" s="58"/>
      <c r="Q542" s="64"/>
      <c r="R542" s="45"/>
      <c r="S542" s="45"/>
      <c r="U542" s="64"/>
      <c r="V542" s="45"/>
      <c r="W542" s="64"/>
      <c r="X542" s="64"/>
      <c r="Y542" s="45"/>
      <c r="Z542" s="45"/>
      <c r="AA542" s="105"/>
      <c r="AB542" s="105"/>
      <c r="AC542" s="105"/>
      <c r="AD542" s="64"/>
      <c r="AG542" s="45"/>
      <c r="AH542" s="64"/>
      <c r="AI542" s="45"/>
      <c r="AJ542" s="105"/>
      <c r="AK542" s="105"/>
      <c r="AL542" s="60"/>
      <c r="AM542" s="60"/>
      <c r="AN542" s="60"/>
      <c r="AO542" s="60"/>
      <c r="AP542" s="60"/>
      <c r="AQ542" s="60"/>
      <c r="AR542" s="60"/>
      <c r="AS542" s="60"/>
      <c r="AT542" s="45"/>
      <c r="AU542" s="45"/>
      <c r="AW542" s="45"/>
      <c r="AX542" s="46">
        <f t="shared" si="25"/>
        <v>0</v>
      </c>
      <c r="AY542" s="46">
        <f t="shared" si="26"/>
        <v>0</v>
      </c>
      <c r="AZ542" s="46">
        <f t="shared" si="27"/>
        <v>0</v>
      </c>
    </row>
    <row r="543" spans="2:52" ht="20.100000000000001" customHeight="1">
      <c r="C543" s="102"/>
      <c r="D543" s="3"/>
      <c r="E543" s="12"/>
      <c r="F543" s="3"/>
      <c r="G543" s="3"/>
      <c r="H543" s="3"/>
      <c r="J543" s="3"/>
      <c r="K543" s="3"/>
      <c r="L543" s="4"/>
      <c r="M543" s="3"/>
      <c r="O543" s="58"/>
      <c r="Q543" s="64"/>
      <c r="R543" s="45"/>
      <c r="S543" s="45"/>
      <c r="U543" s="64"/>
      <c r="V543" s="45"/>
      <c r="W543" s="64"/>
      <c r="X543" s="64"/>
      <c r="Y543" s="45"/>
      <c r="Z543" s="45"/>
      <c r="AA543" s="105"/>
      <c r="AB543" s="105"/>
      <c r="AC543" s="105"/>
      <c r="AD543" s="64"/>
      <c r="AG543" s="45"/>
      <c r="AH543" s="64"/>
      <c r="AI543" s="45"/>
      <c r="AJ543" s="105"/>
      <c r="AK543" s="105"/>
      <c r="AL543" s="60"/>
      <c r="AM543" s="60"/>
      <c r="AN543" s="60"/>
      <c r="AO543" s="60"/>
      <c r="AP543" s="60"/>
      <c r="AQ543" s="60"/>
      <c r="AR543" s="60"/>
      <c r="AS543" s="60"/>
      <c r="AT543" s="45"/>
      <c r="AU543" s="45"/>
      <c r="AW543" s="45"/>
      <c r="AX543" s="46">
        <f t="shared" si="25"/>
        <v>0</v>
      </c>
      <c r="AY543" s="46">
        <f t="shared" si="26"/>
        <v>0</v>
      </c>
      <c r="AZ543" s="46">
        <f t="shared" si="27"/>
        <v>0</v>
      </c>
    </row>
    <row r="544" spans="2:52" ht="20.100000000000001" customHeight="1">
      <c r="C544" s="102"/>
      <c r="D544" s="3"/>
      <c r="E544" s="12"/>
      <c r="F544" s="3"/>
      <c r="G544" s="3"/>
      <c r="H544" s="3"/>
      <c r="J544" s="3"/>
      <c r="K544" s="3"/>
      <c r="L544" s="4"/>
      <c r="M544" s="3"/>
      <c r="O544" s="58"/>
      <c r="Q544" s="64"/>
      <c r="R544" s="45"/>
      <c r="S544" s="45"/>
      <c r="U544" s="64"/>
      <c r="V544" s="45"/>
      <c r="W544" s="64"/>
      <c r="X544" s="64"/>
      <c r="Y544" s="45"/>
      <c r="Z544" s="45"/>
      <c r="AA544" s="105"/>
      <c r="AB544" s="105"/>
      <c r="AC544" s="105"/>
      <c r="AD544" s="64"/>
      <c r="AG544" s="45"/>
      <c r="AH544" s="64"/>
      <c r="AI544" s="45"/>
      <c r="AJ544" s="105"/>
      <c r="AK544" s="105"/>
      <c r="AL544" s="60"/>
      <c r="AM544" s="60"/>
      <c r="AN544" s="60"/>
      <c r="AO544" s="60"/>
      <c r="AP544" s="60"/>
      <c r="AQ544" s="60"/>
      <c r="AR544" s="60"/>
      <c r="AS544" s="60"/>
      <c r="AT544" s="45"/>
      <c r="AU544" s="45"/>
      <c r="AW544" s="45"/>
      <c r="AX544" s="46">
        <f t="shared" si="25"/>
        <v>0</v>
      </c>
      <c r="AY544" s="46">
        <f t="shared" si="26"/>
        <v>0</v>
      </c>
      <c r="AZ544" s="46">
        <f t="shared" si="27"/>
        <v>0</v>
      </c>
    </row>
    <row r="545" spans="3:52" ht="20.100000000000001" customHeight="1">
      <c r="C545" s="102"/>
      <c r="D545" s="3"/>
      <c r="E545" s="12"/>
      <c r="F545" s="3"/>
      <c r="G545" s="3"/>
      <c r="H545" s="3"/>
      <c r="J545" s="3"/>
      <c r="K545" s="3"/>
      <c r="L545" s="4"/>
      <c r="M545" s="3"/>
      <c r="O545" s="58"/>
      <c r="Q545" s="64"/>
      <c r="R545" s="45"/>
      <c r="S545" s="45"/>
      <c r="U545" s="64"/>
      <c r="V545" s="45"/>
      <c r="W545" s="64"/>
      <c r="X545" s="64"/>
      <c r="Y545" s="45"/>
      <c r="Z545" s="45"/>
      <c r="AA545" s="105"/>
      <c r="AB545" s="105"/>
      <c r="AC545" s="105"/>
      <c r="AD545" s="64"/>
      <c r="AH545" s="64"/>
      <c r="AI545" s="45"/>
      <c r="AJ545" s="105"/>
      <c r="AK545" s="105"/>
      <c r="AL545" s="60"/>
      <c r="AM545" s="60"/>
      <c r="AN545" s="60"/>
      <c r="AO545" s="60"/>
      <c r="AP545" s="60"/>
      <c r="AQ545" s="60"/>
      <c r="AR545" s="60"/>
      <c r="AS545" s="60"/>
      <c r="AT545" s="45"/>
      <c r="AU545" s="45"/>
      <c r="AW545" s="45"/>
      <c r="AX545" s="46">
        <f t="shared" si="25"/>
        <v>0</v>
      </c>
      <c r="AY545" s="46">
        <f t="shared" si="26"/>
        <v>0</v>
      </c>
      <c r="AZ545" s="46">
        <f t="shared" si="27"/>
        <v>0</v>
      </c>
    </row>
    <row r="546" spans="3:52" ht="20.100000000000001" customHeight="1">
      <c r="C546" s="102"/>
      <c r="D546" s="3"/>
      <c r="E546" s="12"/>
      <c r="F546" s="3"/>
      <c r="G546" s="3"/>
      <c r="H546" s="3"/>
      <c r="J546" s="3"/>
      <c r="K546" s="3"/>
      <c r="L546" s="4"/>
      <c r="M546" s="3"/>
      <c r="O546" s="58"/>
      <c r="Q546" s="64"/>
      <c r="R546" s="45"/>
      <c r="S546" s="45"/>
      <c r="U546" s="64"/>
      <c r="V546" s="45"/>
      <c r="W546" s="64"/>
      <c r="X546" s="64"/>
      <c r="Y546" s="45"/>
      <c r="Z546" s="45"/>
      <c r="AA546" s="105"/>
      <c r="AB546" s="105"/>
      <c r="AC546" s="105"/>
      <c r="AD546" s="64"/>
      <c r="AH546" s="64"/>
      <c r="AI546" s="45"/>
      <c r="AJ546" s="105"/>
      <c r="AK546" s="105"/>
      <c r="AL546" s="60"/>
      <c r="AM546" s="60"/>
      <c r="AN546" s="60"/>
      <c r="AO546" s="60"/>
      <c r="AP546" s="60"/>
      <c r="AQ546" s="60"/>
      <c r="AR546" s="60"/>
      <c r="AS546" s="60"/>
      <c r="AT546" s="45"/>
      <c r="AU546" s="45"/>
      <c r="AW546" s="45"/>
      <c r="AX546" s="46">
        <f t="shared" si="25"/>
        <v>0</v>
      </c>
      <c r="AY546" s="46">
        <f t="shared" si="26"/>
        <v>0</v>
      </c>
      <c r="AZ546" s="46">
        <f t="shared" si="27"/>
        <v>0</v>
      </c>
    </row>
    <row r="547" spans="3:52" ht="20.100000000000001" customHeight="1">
      <c r="C547" s="102"/>
      <c r="D547" s="3"/>
      <c r="E547" s="12"/>
      <c r="F547" s="3"/>
      <c r="G547" s="3"/>
      <c r="H547" s="3"/>
      <c r="J547" s="3"/>
      <c r="K547" s="3"/>
      <c r="L547" s="4"/>
      <c r="M547" s="3"/>
      <c r="O547" s="58"/>
      <c r="Q547" s="64"/>
      <c r="R547" s="45"/>
      <c r="S547" s="45"/>
      <c r="U547" s="64"/>
      <c r="V547" s="45"/>
      <c r="W547" s="64"/>
      <c r="X547" s="64"/>
      <c r="Y547" s="45"/>
      <c r="Z547" s="45"/>
      <c r="AA547" s="105"/>
      <c r="AB547" s="105"/>
      <c r="AC547" s="105"/>
      <c r="AD547" s="64"/>
      <c r="AG547" s="45"/>
      <c r="AH547" s="64"/>
      <c r="AI547" s="45"/>
      <c r="AJ547" s="105"/>
      <c r="AK547" s="105"/>
      <c r="AL547" s="60"/>
      <c r="AM547" s="60"/>
      <c r="AN547" s="60"/>
      <c r="AO547" s="60"/>
      <c r="AP547" s="60"/>
      <c r="AQ547" s="60"/>
      <c r="AR547" s="60"/>
      <c r="AS547" s="60"/>
      <c r="AT547" s="45"/>
      <c r="AU547" s="45"/>
      <c r="AW547" s="45"/>
      <c r="AX547" s="46">
        <f t="shared" si="25"/>
        <v>0</v>
      </c>
      <c r="AY547" s="46">
        <f t="shared" si="26"/>
        <v>0</v>
      </c>
      <c r="AZ547" s="46">
        <f t="shared" si="27"/>
        <v>0</v>
      </c>
    </row>
    <row r="548" spans="3:52" ht="20.100000000000001" customHeight="1">
      <c r="C548" s="102"/>
      <c r="D548" s="3"/>
      <c r="E548" s="12"/>
      <c r="F548" s="3"/>
      <c r="G548" s="3"/>
      <c r="H548" s="3"/>
      <c r="J548" s="3"/>
      <c r="K548" s="3"/>
      <c r="L548" s="4"/>
      <c r="M548" s="3"/>
      <c r="O548" s="58"/>
      <c r="Q548" s="64"/>
      <c r="R548" s="45"/>
      <c r="S548" s="45"/>
      <c r="U548" s="64"/>
      <c r="V548" s="45"/>
      <c r="W548" s="64"/>
      <c r="X548" s="64"/>
      <c r="Y548" s="45"/>
      <c r="Z548" s="45"/>
      <c r="AA548" s="105"/>
      <c r="AB548" s="105"/>
      <c r="AC548" s="105"/>
      <c r="AD548" s="64"/>
      <c r="AG548" s="45"/>
      <c r="AH548" s="64"/>
      <c r="AI548" s="45"/>
      <c r="AJ548" s="105"/>
      <c r="AK548" s="105"/>
      <c r="AL548" s="60"/>
      <c r="AM548" s="60"/>
      <c r="AN548" s="60"/>
      <c r="AO548" s="60"/>
      <c r="AP548" s="60"/>
      <c r="AQ548" s="60"/>
      <c r="AR548" s="60"/>
      <c r="AS548" s="60"/>
      <c r="AT548" s="45"/>
      <c r="AU548" s="45"/>
      <c r="AW548" s="45"/>
      <c r="AX548" s="46">
        <f t="shared" si="25"/>
        <v>0</v>
      </c>
      <c r="AY548" s="46">
        <f t="shared" si="26"/>
        <v>0</v>
      </c>
      <c r="AZ548" s="46">
        <f t="shared" si="27"/>
        <v>0</v>
      </c>
    </row>
    <row r="549" spans="3:52" ht="20.100000000000001" customHeight="1">
      <c r="C549" s="102"/>
      <c r="D549" s="3"/>
      <c r="E549" s="67"/>
      <c r="F549" s="3"/>
      <c r="G549" s="3"/>
      <c r="H549" s="3"/>
      <c r="J549" s="3"/>
      <c r="K549" s="3"/>
      <c r="L549" s="4"/>
      <c r="M549" s="3"/>
      <c r="O549" s="58"/>
      <c r="Q549" s="64"/>
      <c r="R549" s="45"/>
      <c r="S549" s="45"/>
      <c r="U549" s="64"/>
      <c r="V549" s="45"/>
      <c r="W549" s="64"/>
      <c r="X549" s="64"/>
      <c r="Y549" s="45"/>
      <c r="Z549" s="45"/>
      <c r="AA549" s="105"/>
      <c r="AB549" s="105"/>
      <c r="AC549" s="105"/>
      <c r="AD549" s="64"/>
      <c r="AH549" s="64"/>
      <c r="AI549" s="45"/>
      <c r="AJ549" s="105"/>
      <c r="AK549" s="105"/>
      <c r="AL549" s="60"/>
      <c r="AM549" s="60"/>
      <c r="AN549" s="60"/>
      <c r="AO549" s="60"/>
      <c r="AP549" s="60"/>
      <c r="AQ549" s="60"/>
      <c r="AR549" s="60"/>
      <c r="AS549" s="60"/>
      <c r="AT549" s="45"/>
      <c r="AU549" s="45"/>
      <c r="AW549" s="45"/>
      <c r="AX549" s="46">
        <f t="shared" si="25"/>
        <v>0</v>
      </c>
      <c r="AY549" s="46">
        <f t="shared" si="26"/>
        <v>0</v>
      </c>
      <c r="AZ549" s="46">
        <f t="shared" si="27"/>
        <v>0</v>
      </c>
    </row>
    <row r="550" spans="3:52" ht="20.100000000000001" customHeight="1">
      <c r="C550" s="102"/>
      <c r="D550" s="3"/>
      <c r="E550" s="67"/>
      <c r="F550" s="3"/>
      <c r="G550" s="3"/>
      <c r="H550" s="3"/>
      <c r="J550" s="3"/>
      <c r="K550" s="3"/>
      <c r="L550" s="4"/>
      <c r="M550" s="3"/>
      <c r="O550" s="58"/>
      <c r="Q550" s="64"/>
      <c r="R550" s="45"/>
      <c r="S550" s="45"/>
      <c r="U550" s="64"/>
      <c r="V550" s="45"/>
      <c r="W550" s="64"/>
      <c r="X550" s="64"/>
      <c r="Y550" s="45"/>
      <c r="Z550" s="45"/>
      <c r="AA550" s="105"/>
      <c r="AB550" s="105"/>
      <c r="AC550" s="105"/>
      <c r="AD550" s="64"/>
      <c r="AG550" s="45"/>
      <c r="AH550" s="64"/>
      <c r="AI550" s="45"/>
      <c r="AJ550" s="105"/>
      <c r="AK550" s="105"/>
      <c r="AL550" s="60"/>
      <c r="AM550" s="60"/>
      <c r="AN550" s="60"/>
      <c r="AO550" s="60"/>
      <c r="AP550" s="60"/>
      <c r="AQ550" s="60"/>
      <c r="AR550" s="60"/>
      <c r="AS550" s="60"/>
      <c r="AT550" s="45"/>
      <c r="AU550" s="45"/>
      <c r="AW550" s="45"/>
      <c r="AX550" s="46">
        <f t="shared" si="25"/>
        <v>0</v>
      </c>
      <c r="AY550" s="46">
        <f t="shared" si="26"/>
        <v>0</v>
      </c>
      <c r="AZ550" s="46">
        <f t="shared" si="27"/>
        <v>0</v>
      </c>
    </row>
    <row r="551" spans="3:52" ht="20.100000000000001" customHeight="1">
      <c r="C551" s="102"/>
      <c r="D551" s="3"/>
      <c r="E551" s="12"/>
      <c r="F551" s="3"/>
      <c r="G551" s="3"/>
      <c r="H551" s="3"/>
      <c r="J551" s="3"/>
      <c r="K551" s="3"/>
      <c r="L551" s="4"/>
      <c r="M551" s="3"/>
      <c r="O551" s="58"/>
      <c r="Q551" s="64"/>
      <c r="R551" s="45"/>
      <c r="S551" s="45"/>
      <c r="U551" s="64"/>
      <c r="V551" s="45"/>
      <c r="W551" s="64"/>
      <c r="X551" s="64"/>
      <c r="Y551" s="45"/>
      <c r="Z551" s="45"/>
      <c r="AA551" s="105"/>
      <c r="AB551" s="105"/>
      <c r="AC551" s="105"/>
      <c r="AD551" s="64"/>
      <c r="AG551" s="45"/>
      <c r="AH551" s="64"/>
      <c r="AI551" s="45"/>
      <c r="AJ551" s="105"/>
      <c r="AK551" s="105"/>
      <c r="AL551" s="60"/>
      <c r="AM551" s="60"/>
      <c r="AN551" s="60"/>
      <c r="AO551" s="60"/>
      <c r="AP551" s="60"/>
      <c r="AQ551" s="60"/>
      <c r="AR551" s="60"/>
      <c r="AS551" s="60"/>
      <c r="AT551" s="45"/>
      <c r="AU551" s="45"/>
      <c r="AW551" s="45"/>
      <c r="AX551" s="46">
        <f t="shared" si="25"/>
        <v>0</v>
      </c>
      <c r="AY551" s="46">
        <f t="shared" si="26"/>
        <v>0</v>
      </c>
      <c r="AZ551" s="46">
        <f t="shared" si="27"/>
        <v>0</v>
      </c>
    </row>
    <row r="552" spans="3:52" ht="20.100000000000001" customHeight="1">
      <c r="C552" s="102"/>
      <c r="D552" s="3"/>
      <c r="E552" s="12"/>
      <c r="F552" s="3"/>
      <c r="G552" s="3"/>
      <c r="H552" s="3"/>
      <c r="J552" s="3"/>
      <c r="K552" s="3"/>
      <c r="L552" s="4"/>
      <c r="M552" s="3"/>
      <c r="O552" s="58"/>
      <c r="Q552" s="64"/>
      <c r="R552" s="45"/>
      <c r="S552" s="45"/>
      <c r="U552" s="64"/>
      <c r="V552" s="45"/>
      <c r="W552" s="64"/>
      <c r="X552" s="64"/>
      <c r="Y552" s="45"/>
      <c r="Z552" s="45"/>
      <c r="AA552" s="105"/>
      <c r="AB552" s="105"/>
      <c r="AC552" s="105"/>
      <c r="AD552" s="64"/>
      <c r="AG552" s="45"/>
      <c r="AH552" s="64"/>
      <c r="AI552" s="45"/>
      <c r="AJ552" s="105"/>
      <c r="AK552" s="105"/>
      <c r="AL552" s="60"/>
      <c r="AM552" s="60"/>
      <c r="AN552" s="60"/>
      <c r="AO552" s="60"/>
      <c r="AP552" s="60"/>
      <c r="AQ552" s="60"/>
      <c r="AR552" s="60"/>
      <c r="AS552" s="60"/>
      <c r="AT552" s="45"/>
      <c r="AU552" s="45"/>
      <c r="AW552" s="45"/>
      <c r="AX552" s="46">
        <f t="shared" si="25"/>
        <v>0</v>
      </c>
      <c r="AY552" s="46">
        <f t="shared" si="26"/>
        <v>0</v>
      </c>
      <c r="AZ552" s="46">
        <f t="shared" si="27"/>
        <v>0</v>
      </c>
    </row>
    <row r="553" spans="3:52" ht="20.100000000000001" customHeight="1">
      <c r="C553" s="102"/>
      <c r="D553" s="3"/>
      <c r="E553" s="12"/>
      <c r="F553" s="3"/>
      <c r="G553" s="3"/>
      <c r="H553" s="3"/>
      <c r="J553" s="3"/>
      <c r="K553" s="3"/>
      <c r="L553" s="4"/>
      <c r="M553" s="3"/>
      <c r="O553" s="58"/>
      <c r="Q553" s="64"/>
      <c r="R553" s="45"/>
      <c r="S553" s="45"/>
      <c r="U553" s="64"/>
      <c r="V553" s="45"/>
      <c r="W553" s="64"/>
      <c r="X553" s="64"/>
      <c r="Y553" s="45"/>
      <c r="Z553" s="45"/>
      <c r="AA553" s="105"/>
      <c r="AB553" s="105"/>
      <c r="AC553" s="105"/>
      <c r="AD553" s="64"/>
      <c r="AG553" s="45"/>
      <c r="AH553" s="64"/>
      <c r="AI553" s="45"/>
      <c r="AJ553" s="105"/>
      <c r="AK553" s="105"/>
      <c r="AL553" s="60"/>
      <c r="AM553" s="60"/>
      <c r="AN553" s="60"/>
      <c r="AO553" s="60"/>
      <c r="AP553" s="60"/>
      <c r="AQ553" s="60"/>
      <c r="AR553" s="60"/>
      <c r="AS553" s="60"/>
      <c r="AT553" s="45"/>
      <c r="AU553" s="45"/>
      <c r="AW553" s="45"/>
      <c r="AX553" s="46">
        <f t="shared" si="25"/>
        <v>0</v>
      </c>
      <c r="AY553" s="46">
        <f t="shared" si="26"/>
        <v>0</v>
      </c>
      <c r="AZ553" s="46">
        <f t="shared" si="27"/>
        <v>0</v>
      </c>
    </row>
    <row r="554" spans="3:52" ht="20.100000000000001" customHeight="1">
      <c r="C554" s="102"/>
      <c r="D554" s="3"/>
      <c r="E554" s="12"/>
      <c r="F554" s="3"/>
      <c r="G554" s="3"/>
      <c r="H554" s="3"/>
      <c r="J554" s="3"/>
      <c r="K554" s="3"/>
      <c r="L554" s="4"/>
      <c r="M554" s="3"/>
      <c r="O554" s="58"/>
      <c r="Q554" s="64"/>
      <c r="R554" s="45"/>
      <c r="S554" s="45"/>
      <c r="U554" s="64"/>
      <c r="V554" s="45"/>
      <c r="W554" s="64"/>
      <c r="X554" s="64"/>
      <c r="Y554" s="45"/>
      <c r="Z554" s="45"/>
      <c r="AA554" s="105"/>
      <c r="AB554" s="105"/>
      <c r="AC554" s="105"/>
      <c r="AD554" s="64"/>
      <c r="AG554" s="45"/>
      <c r="AH554" s="64"/>
      <c r="AI554" s="45"/>
      <c r="AJ554" s="105"/>
      <c r="AK554" s="105"/>
      <c r="AL554" s="60"/>
      <c r="AM554" s="60"/>
      <c r="AN554" s="60"/>
      <c r="AO554" s="60"/>
      <c r="AP554" s="60"/>
      <c r="AQ554" s="60"/>
      <c r="AR554" s="60"/>
      <c r="AS554" s="60"/>
      <c r="AT554" s="45"/>
      <c r="AU554" s="45"/>
      <c r="AW554" s="45"/>
      <c r="AX554" s="46">
        <f t="shared" si="25"/>
        <v>0</v>
      </c>
      <c r="AY554" s="46">
        <f t="shared" si="26"/>
        <v>0</v>
      </c>
      <c r="AZ554" s="46">
        <f t="shared" si="27"/>
        <v>0</v>
      </c>
    </row>
    <row r="555" spans="3:52" ht="20.100000000000001" customHeight="1">
      <c r="C555" s="102"/>
      <c r="D555" s="3"/>
      <c r="E555" s="12"/>
      <c r="F555" s="3"/>
      <c r="G555" s="3"/>
      <c r="H555" s="3"/>
      <c r="J555" s="3"/>
      <c r="K555" s="3"/>
      <c r="L555" s="4"/>
      <c r="M555" s="3"/>
      <c r="O555" s="58"/>
      <c r="Q555" s="64"/>
      <c r="R555" s="45"/>
      <c r="S555" s="45"/>
      <c r="U555" s="64"/>
      <c r="V555" s="45"/>
      <c r="W555" s="64"/>
      <c r="X555" s="64"/>
      <c r="Y555" s="45"/>
      <c r="Z555" s="45"/>
      <c r="AA555" s="105"/>
      <c r="AB555" s="105"/>
      <c r="AC555" s="105"/>
      <c r="AD555" s="64"/>
      <c r="AH555" s="64"/>
      <c r="AI555" s="45"/>
      <c r="AJ555" s="105"/>
      <c r="AK555" s="105"/>
      <c r="AL555" s="60"/>
      <c r="AM555" s="60"/>
      <c r="AN555" s="60"/>
      <c r="AO555" s="60"/>
      <c r="AP555" s="60"/>
      <c r="AQ555" s="60"/>
      <c r="AR555" s="60"/>
      <c r="AS555" s="60"/>
      <c r="AT555" s="45"/>
      <c r="AU555" s="45"/>
      <c r="AW555" s="45"/>
      <c r="AX555" s="46">
        <f t="shared" si="25"/>
        <v>0</v>
      </c>
      <c r="AY555" s="46">
        <f t="shared" si="26"/>
        <v>0</v>
      </c>
      <c r="AZ555" s="46">
        <f t="shared" si="27"/>
        <v>0</v>
      </c>
    </row>
    <row r="556" spans="3:52" ht="20.100000000000001" customHeight="1">
      <c r="C556" s="102"/>
      <c r="D556" s="3"/>
      <c r="E556" s="67"/>
      <c r="F556" s="3"/>
      <c r="G556" s="3"/>
      <c r="H556" s="3"/>
      <c r="J556" s="3"/>
      <c r="K556" s="3"/>
      <c r="L556" s="4"/>
      <c r="M556" s="3"/>
      <c r="O556" s="58"/>
      <c r="Q556" s="64"/>
      <c r="R556" s="45"/>
      <c r="S556" s="45"/>
      <c r="U556" s="64"/>
      <c r="V556" s="45"/>
      <c r="W556" s="64"/>
      <c r="X556" s="64"/>
      <c r="Y556" s="45"/>
      <c r="Z556" s="45"/>
      <c r="AA556" s="105"/>
      <c r="AB556" s="105"/>
      <c r="AC556" s="105"/>
      <c r="AD556" s="64"/>
      <c r="AG556" s="45"/>
      <c r="AH556" s="64"/>
      <c r="AI556" s="45"/>
      <c r="AJ556" s="105"/>
      <c r="AK556" s="105"/>
      <c r="AL556" s="60"/>
      <c r="AM556" s="60"/>
      <c r="AN556" s="60"/>
      <c r="AO556" s="60"/>
      <c r="AP556" s="60"/>
      <c r="AQ556" s="60"/>
      <c r="AR556" s="60"/>
      <c r="AS556" s="60"/>
      <c r="AT556" s="45"/>
      <c r="AU556" s="45"/>
      <c r="AW556" s="45"/>
      <c r="AX556" s="46">
        <f t="shared" si="25"/>
        <v>0</v>
      </c>
      <c r="AY556" s="46">
        <f t="shared" si="26"/>
        <v>0</v>
      </c>
      <c r="AZ556" s="46">
        <f t="shared" si="27"/>
        <v>0</v>
      </c>
    </row>
    <row r="557" spans="3:52" ht="20.100000000000001" customHeight="1">
      <c r="C557" s="102"/>
      <c r="D557" s="3"/>
      <c r="E557" s="67"/>
      <c r="F557" s="3"/>
      <c r="G557" s="3"/>
      <c r="H557" s="3"/>
      <c r="J557" s="3"/>
      <c r="K557" s="3"/>
      <c r="L557" s="4"/>
      <c r="M557" s="3"/>
      <c r="O557" s="58"/>
      <c r="Q557" s="64"/>
      <c r="R557" s="45"/>
      <c r="S557" s="45"/>
      <c r="U557" s="64"/>
      <c r="V557" s="45"/>
      <c r="W557" s="64"/>
      <c r="X557" s="64"/>
      <c r="Y557" s="45"/>
      <c r="Z557" s="45"/>
      <c r="AA557" s="105"/>
      <c r="AB557" s="105"/>
      <c r="AC557" s="105"/>
      <c r="AD557" s="64"/>
      <c r="AG557" s="45"/>
      <c r="AH557" s="64"/>
      <c r="AI557" s="45"/>
      <c r="AJ557" s="105"/>
      <c r="AK557" s="105"/>
      <c r="AL557" s="60"/>
      <c r="AM557" s="60"/>
      <c r="AN557" s="60"/>
      <c r="AO557" s="60"/>
      <c r="AP557" s="60"/>
      <c r="AQ557" s="60"/>
      <c r="AR557" s="60"/>
      <c r="AS557" s="60"/>
      <c r="AT557" s="45"/>
      <c r="AU557" s="45"/>
      <c r="AW557" s="45"/>
      <c r="AX557" s="46">
        <f t="shared" si="25"/>
        <v>0</v>
      </c>
      <c r="AY557" s="46">
        <f t="shared" si="26"/>
        <v>0</v>
      </c>
      <c r="AZ557" s="46">
        <f t="shared" si="27"/>
        <v>0</v>
      </c>
    </row>
    <row r="558" spans="3:52" ht="20.100000000000001" customHeight="1">
      <c r="C558" s="102"/>
      <c r="D558" s="3"/>
      <c r="E558" s="12"/>
      <c r="F558" s="3"/>
      <c r="G558" s="3"/>
      <c r="H558" s="3"/>
      <c r="J558" s="3"/>
      <c r="K558" s="3"/>
      <c r="L558" s="4"/>
      <c r="M558" s="3"/>
      <c r="O558" s="58"/>
      <c r="Q558" s="64"/>
      <c r="R558" s="45"/>
      <c r="S558" s="45"/>
      <c r="U558" s="64"/>
      <c r="V558" s="45"/>
      <c r="W558" s="64"/>
      <c r="X558" s="64"/>
      <c r="Y558" s="45"/>
      <c r="Z558" s="45"/>
      <c r="AA558" s="105"/>
      <c r="AB558" s="105"/>
      <c r="AC558" s="105"/>
      <c r="AD558" s="64"/>
      <c r="AH558" s="64"/>
      <c r="AI558" s="45"/>
      <c r="AJ558" s="105"/>
      <c r="AK558" s="105"/>
      <c r="AL558" s="60"/>
      <c r="AM558" s="60"/>
      <c r="AN558" s="60"/>
      <c r="AO558" s="60"/>
      <c r="AP558" s="60"/>
      <c r="AQ558" s="60"/>
      <c r="AR558" s="60"/>
      <c r="AS558" s="60"/>
      <c r="AT558" s="45"/>
      <c r="AU558" s="45"/>
      <c r="AW558" s="45"/>
      <c r="AX558" s="46">
        <f t="shared" si="25"/>
        <v>0</v>
      </c>
      <c r="AY558" s="46">
        <f t="shared" si="26"/>
        <v>0</v>
      </c>
      <c r="AZ558" s="46">
        <f t="shared" si="27"/>
        <v>0</v>
      </c>
    </row>
    <row r="559" spans="3:52" ht="20.100000000000001" customHeight="1">
      <c r="C559" s="102"/>
      <c r="D559" s="3"/>
      <c r="E559" s="12"/>
      <c r="F559" s="3"/>
      <c r="G559" s="3"/>
      <c r="H559" s="3"/>
      <c r="J559" s="3"/>
      <c r="K559" s="3"/>
      <c r="L559" s="4"/>
      <c r="M559" s="3"/>
      <c r="O559" s="58"/>
      <c r="Q559" s="64"/>
      <c r="R559" s="45"/>
      <c r="S559" s="45"/>
      <c r="U559" s="64"/>
      <c r="V559" s="45"/>
      <c r="W559" s="64"/>
      <c r="X559" s="64"/>
      <c r="Y559" s="45"/>
      <c r="Z559" s="45"/>
      <c r="AA559" s="105"/>
      <c r="AB559" s="105"/>
      <c r="AC559" s="105"/>
      <c r="AD559" s="64"/>
      <c r="AG559" s="45"/>
      <c r="AH559" s="64"/>
      <c r="AI559" s="45"/>
      <c r="AJ559" s="105"/>
      <c r="AK559" s="105"/>
      <c r="AL559" s="60"/>
      <c r="AM559" s="60"/>
      <c r="AN559" s="60"/>
      <c r="AO559" s="60"/>
      <c r="AP559" s="60"/>
      <c r="AQ559" s="60"/>
      <c r="AR559" s="60"/>
      <c r="AS559" s="60"/>
      <c r="AT559" s="45"/>
      <c r="AU559" s="45"/>
      <c r="AW559" s="45"/>
      <c r="AX559" s="46">
        <f t="shared" si="25"/>
        <v>0</v>
      </c>
      <c r="AY559" s="46">
        <f t="shared" si="26"/>
        <v>0</v>
      </c>
      <c r="AZ559" s="46">
        <f t="shared" si="27"/>
        <v>0</v>
      </c>
    </row>
    <row r="560" spans="3:52" ht="20.100000000000001" customHeight="1">
      <c r="C560" s="102"/>
      <c r="D560" s="3"/>
      <c r="E560" s="12"/>
      <c r="F560" s="3"/>
      <c r="G560" s="3"/>
      <c r="H560" s="3"/>
      <c r="J560" s="3"/>
      <c r="K560" s="3"/>
      <c r="L560" s="4"/>
      <c r="M560" s="3"/>
      <c r="O560" s="58"/>
      <c r="Q560" s="64"/>
      <c r="R560" s="45"/>
      <c r="S560" s="45"/>
      <c r="U560" s="64"/>
      <c r="V560" s="45"/>
      <c r="W560" s="64"/>
      <c r="X560" s="64"/>
      <c r="Y560" s="45"/>
      <c r="Z560" s="45"/>
      <c r="AA560" s="105"/>
      <c r="AB560" s="105"/>
      <c r="AC560" s="105"/>
      <c r="AD560" s="64"/>
      <c r="AG560" s="45"/>
      <c r="AH560" s="64"/>
      <c r="AI560" s="45"/>
      <c r="AJ560" s="105"/>
      <c r="AK560" s="105"/>
      <c r="AL560" s="60"/>
      <c r="AM560" s="60"/>
      <c r="AN560" s="60"/>
      <c r="AO560" s="60"/>
      <c r="AP560" s="60"/>
      <c r="AQ560" s="60"/>
      <c r="AR560" s="60"/>
      <c r="AS560" s="60"/>
      <c r="AT560" s="45"/>
      <c r="AU560" s="45"/>
      <c r="AW560" s="45"/>
      <c r="AX560" s="46">
        <f t="shared" si="25"/>
        <v>0</v>
      </c>
      <c r="AY560" s="46">
        <f t="shared" si="26"/>
        <v>0</v>
      </c>
      <c r="AZ560" s="46">
        <f t="shared" si="27"/>
        <v>0</v>
      </c>
    </row>
    <row r="561" spans="3:52" ht="20.100000000000001" customHeight="1">
      <c r="C561" s="102"/>
      <c r="D561" s="3"/>
      <c r="E561" s="12"/>
      <c r="F561" s="3"/>
      <c r="G561" s="3"/>
      <c r="H561" s="3"/>
      <c r="J561" s="3"/>
      <c r="K561" s="3"/>
      <c r="L561" s="4"/>
      <c r="M561" s="3"/>
      <c r="O561" s="58"/>
      <c r="Q561" s="64"/>
      <c r="R561" s="45"/>
      <c r="S561" s="45"/>
      <c r="U561" s="64"/>
      <c r="V561" s="45"/>
      <c r="W561" s="64"/>
      <c r="X561" s="64"/>
      <c r="Y561" s="45"/>
      <c r="Z561" s="45"/>
      <c r="AA561" s="105"/>
      <c r="AB561" s="105"/>
      <c r="AC561" s="105"/>
      <c r="AD561" s="64"/>
      <c r="AG561" s="45"/>
      <c r="AH561" s="64"/>
      <c r="AI561" s="45"/>
      <c r="AJ561" s="105"/>
      <c r="AK561" s="105"/>
      <c r="AL561" s="60"/>
      <c r="AM561" s="60"/>
      <c r="AN561" s="60"/>
      <c r="AO561" s="60"/>
      <c r="AP561" s="60"/>
      <c r="AQ561" s="60"/>
      <c r="AR561" s="60"/>
      <c r="AS561" s="60"/>
      <c r="AT561" s="45"/>
      <c r="AU561" s="45"/>
      <c r="AW561" s="45"/>
      <c r="AX561" s="46">
        <f t="shared" si="25"/>
        <v>0</v>
      </c>
      <c r="AY561" s="46">
        <f t="shared" si="26"/>
        <v>0</v>
      </c>
      <c r="AZ561" s="46">
        <f t="shared" si="27"/>
        <v>0</v>
      </c>
    </row>
    <row r="562" spans="3:52" ht="20.100000000000001" customHeight="1">
      <c r="C562" s="102"/>
      <c r="D562" s="3"/>
      <c r="E562" s="12"/>
      <c r="F562" s="3"/>
      <c r="G562" s="3"/>
      <c r="H562" s="3"/>
      <c r="J562" s="3"/>
      <c r="K562" s="3"/>
      <c r="L562" s="4"/>
      <c r="M562" s="3"/>
      <c r="O562" s="58"/>
      <c r="Q562" s="64"/>
      <c r="R562" s="45"/>
      <c r="S562" s="45"/>
      <c r="U562" s="64"/>
      <c r="V562" s="45"/>
      <c r="W562" s="64"/>
      <c r="X562" s="64"/>
      <c r="Y562" s="45"/>
      <c r="Z562" s="45"/>
      <c r="AA562" s="105"/>
      <c r="AB562" s="105"/>
      <c r="AC562" s="105"/>
      <c r="AD562" s="64"/>
      <c r="AG562" s="45"/>
      <c r="AH562" s="64"/>
      <c r="AI562" s="45"/>
      <c r="AJ562" s="105"/>
      <c r="AK562" s="105"/>
      <c r="AL562" s="60"/>
      <c r="AM562" s="60"/>
      <c r="AN562" s="60"/>
      <c r="AO562" s="60"/>
      <c r="AP562" s="60"/>
      <c r="AQ562" s="60"/>
      <c r="AR562" s="60"/>
      <c r="AS562" s="60"/>
      <c r="AT562" s="45"/>
      <c r="AU562" s="45"/>
      <c r="AW562" s="45"/>
      <c r="AX562" s="46">
        <f t="shared" si="25"/>
        <v>0</v>
      </c>
      <c r="AY562" s="46">
        <f t="shared" si="26"/>
        <v>0</v>
      </c>
      <c r="AZ562" s="46">
        <f t="shared" si="27"/>
        <v>0</v>
      </c>
    </row>
    <row r="563" spans="3:52" ht="20.100000000000001" customHeight="1">
      <c r="C563" s="102"/>
      <c r="D563" s="3"/>
      <c r="E563" s="12"/>
      <c r="F563" s="3"/>
      <c r="G563" s="3"/>
      <c r="H563" s="3"/>
      <c r="J563" s="3"/>
      <c r="K563" s="3"/>
      <c r="L563" s="4"/>
      <c r="M563" s="3"/>
      <c r="O563" s="58"/>
      <c r="Q563" s="64"/>
      <c r="R563" s="45"/>
      <c r="S563" s="45"/>
      <c r="U563" s="64"/>
      <c r="V563" s="45"/>
      <c r="W563" s="64"/>
      <c r="X563" s="64"/>
      <c r="Y563" s="45"/>
      <c r="Z563" s="45"/>
      <c r="AA563" s="105"/>
      <c r="AB563" s="105"/>
      <c r="AC563" s="105"/>
      <c r="AD563" s="64"/>
      <c r="AH563" s="64"/>
      <c r="AI563" s="45"/>
      <c r="AJ563" s="105"/>
      <c r="AK563" s="105"/>
      <c r="AL563" s="60"/>
      <c r="AM563" s="60"/>
      <c r="AN563" s="60"/>
      <c r="AO563" s="60"/>
      <c r="AP563" s="60"/>
      <c r="AQ563" s="60"/>
      <c r="AR563" s="60"/>
      <c r="AS563" s="60"/>
      <c r="AT563" s="45"/>
      <c r="AU563" s="45"/>
      <c r="AW563" s="45"/>
      <c r="AX563" s="46">
        <f t="shared" si="25"/>
        <v>0</v>
      </c>
      <c r="AY563" s="46">
        <f t="shared" si="26"/>
        <v>0</v>
      </c>
      <c r="AZ563" s="46">
        <f t="shared" si="27"/>
        <v>0</v>
      </c>
    </row>
    <row r="564" spans="3:52" ht="20.100000000000001" customHeight="1">
      <c r="C564" s="102"/>
      <c r="D564" s="3"/>
      <c r="E564" s="12"/>
      <c r="F564" s="3"/>
      <c r="G564" s="3"/>
      <c r="H564" s="3"/>
      <c r="J564" s="3"/>
      <c r="K564" s="3"/>
      <c r="L564" s="4"/>
      <c r="M564" s="3"/>
      <c r="O564" s="58"/>
      <c r="Q564" s="64"/>
      <c r="R564" s="45"/>
      <c r="S564" s="45"/>
      <c r="U564" s="64"/>
      <c r="V564" s="45"/>
      <c r="W564" s="64"/>
      <c r="X564" s="64"/>
      <c r="Y564" s="45"/>
      <c r="Z564" s="45"/>
      <c r="AA564" s="105"/>
      <c r="AB564" s="105"/>
      <c r="AC564" s="105"/>
      <c r="AD564" s="64"/>
      <c r="AH564" s="64"/>
      <c r="AI564" s="45"/>
      <c r="AJ564" s="105"/>
      <c r="AK564" s="105"/>
      <c r="AL564" s="60"/>
      <c r="AM564" s="60"/>
      <c r="AN564" s="60"/>
      <c r="AO564" s="60"/>
      <c r="AP564" s="60"/>
      <c r="AQ564" s="60"/>
      <c r="AR564" s="60"/>
      <c r="AS564" s="60"/>
      <c r="AT564" s="45"/>
      <c r="AU564" s="45"/>
      <c r="AW564" s="45"/>
      <c r="AX564" s="46">
        <f t="shared" si="25"/>
        <v>0</v>
      </c>
      <c r="AY564" s="46">
        <f t="shared" si="26"/>
        <v>0</v>
      </c>
      <c r="AZ564" s="46">
        <f t="shared" si="27"/>
        <v>0</v>
      </c>
    </row>
    <row r="565" spans="3:52" ht="20.100000000000001" customHeight="1">
      <c r="C565" s="102"/>
      <c r="D565" s="3"/>
      <c r="E565" s="12"/>
      <c r="F565" s="3"/>
      <c r="G565" s="3"/>
      <c r="H565" s="3"/>
      <c r="J565" s="3"/>
      <c r="K565" s="3"/>
      <c r="L565" s="4"/>
      <c r="M565" s="3"/>
      <c r="O565" s="58"/>
      <c r="Q565" s="64"/>
      <c r="R565" s="45"/>
      <c r="S565" s="45"/>
      <c r="U565" s="64"/>
      <c r="V565" s="45"/>
      <c r="W565" s="64"/>
      <c r="X565" s="64"/>
      <c r="Y565" s="45"/>
      <c r="Z565" s="45"/>
      <c r="AA565" s="105"/>
      <c r="AB565" s="105"/>
      <c r="AC565" s="105"/>
      <c r="AD565" s="64"/>
      <c r="AG565" s="45"/>
      <c r="AH565" s="64"/>
      <c r="AI565" s="45"/>
      <c r="AJ565" s="105"/>
      <c r="AK565" s="105"/>
      <c r="AL565" s="60"/>
      <c r="AM565" s="60"/>
      <c r="AN565" s="60"/>
      <c r="AO565" s="60"/>
      <c r="AP565" s="60"/>
      <c r="AQ565" s="60"/>
      <c r="AR565" s="60"/>
      <c r="AS565" s="60"/>
      <c r="AT565" s="45"/>
      <c r="AU565" s="45"/>
      <c r="AW565" s="45"/>
      <c r="AX565" s="46">
        <f t="shared" si="25"/>
        <v>0</v>
      </c>
      <c r="AY565" s="46">
        <f t="shared" si="26"/>
        <v>0</v>
      </c>
      <c r="AZ565" s="46">
        <f t="shared" si="27"/>
        <v>0</v>
      </c>
    </row>
    <row r="566" spans="3:52" ht="20.100000000000001" customHeight="1">
      <c r="C566" s="102"/>
      <c r="D566" s="3"/>
      <c r="E566" s="12"/>
      <c r="F566" s="3"/>
      <c r="G566" s="3"/>
      <c r="H566" s="3"/>
      <c r="J566" s="3"/>
      <c r="K566" s="3"/>
      <c r="L566" s="4"/>
      <c r="M566" s="3"/>
      <c r="O566" s="58"/>
      <c r="Q566" s="64"/>
      <c r="R566" s="45"/>
      <c r="S566" s="45"/>
      <c r="U566" s="64"/>
      <c r="V566" s="45"/>
      <c r="W566" s="64"/>
      <c r="X566" s="64"/>
      <c r="Y566" s="45"/>
      <c r="Z566" s="45"/>
      <c r="AA566" s="105"/>
      <c r="AB566" s="105"/>
      <c r="AC566" s="105"/>
      <c r="AD566" s="64"/>
      <c r="AG566" s="45"/>
      <c r="AH566" s="64"/>
      <c r="AI566" s="45"/>
      <c r="AJ566" s="105"/>
      <c r="AK566" s="105"/>
      <c r="AL566" s="60"/>
      <c r="AM566" s="60"/>
      <c r="AN566" s="60"/>
      <c r="AO566" s="60"/>
      <c r="AP566" s="60"/>
      <c r="AQ566" s="60"/>
      <c r="AR566" s="60"/>
      <c r="AS566" s="60"/>
      <c r="AT566" s="45"/>
      <c r="AU566" s="45"/>
      <c r="AW566" s="45"/>
      <c r="AX566" s="46">
        <f t="shared" si="25"/>
        <v>0</v>
      </c>
      <c r="AY566" s="46">
        <f t="shared" si="26"/>
        <v>0</v>
      </c>
      <c r="AZ566" s="46">
        <f t="shared" si="27"/>
        <v>0</v>
      </c>
    </row>
    <row r="567" spans="3:52" ht="20.100000000000001" customHeight="1">
      <c r="C567" s="102"/>
      <c r="D567" s="3"/>
      <c r="E567" s="12"/>
      <c r="F567" s="3"/>
      <c r="G567" s="3"/>
      <c r="H567" s="3"/>
      <c r="J567" s="3"/>
      <c r="K567" s="3"/>
      <c r="L567" s="4"/>
      <c r="M567" s="3"/>
      <c r="O567" s="58"/>
      <c r="Q567" s="64"/>
      <c r="R567" s="45"/>
      <c r="S567" s="45"/>
      <c r="U567" s="64"/>
      <c r="V567" s="45"/>
      <c r="W567" s="64"/>
      <c r="X567" s="64"/>
      <c r="Y567" s="45"/>
      <c r="Z567" s="45"/>
      <c r="AA567" s="105"/>
      <c r="AB567" s="105"/>
      <c r="AC567" s="105"/>
      <c r="AD567" s="64"/>
      <c r="AG567" s="45"/>
      <c r="AH567" s="64"/>
      <c r="AI567" s="45"/>
      <c r="AJ567" s="105"/>
      <c r="AK567" s="105"/>
      <c r="AL567" s="60"/>
      <c r="AM567" s="60"/>
      <c r="AN567" s="60"/>
      <c r="AO567" s="60"/>
      <c r="AP567" s="60"/>
      <c r="AQ567" s="60"/>
      <c r="AR567" s="60"/>
      <c r="AS567" s="60"/>
      <c r="AT567" s="45"/>
      <c r="AU567" s="45"/>
      <c r="AW567" s="45"/>
      <c r="AX567" s="46">
        <f t="shared" si="25"/>
        <v>0</v>
      </c>
      <c r="AY567" s="46">
        <f t="shared" si="26"/>
        <v>0</v>
      </c>
      <c r="AZ567" s="46">
        <f t="shared" si="27"/>
        <v>0</v>
      </c>
    </row>
    <row r="568" spans="3:52" ht="20.100000000000001" customHeight="1">
      <c r="C568" s="102"/>
      <c r="D568" s="3"/>
      <c r="E568" s="12"/>
      <c r="F568" s="3"/>
      <c r="G568" s="3"/>
      <c r="H568" s="3"/>
      <c r="J568" s="3"/>
      <c r="K568" s="3"/>
      <c r="L568" s="4"/>
      <c r="M568" s="3"/>
      <c r="O568" s="58"/>
      <c r="Q568" s="64"/>
      <c r="R568" s="45"/>
      <c r="S568" s="45"/>
      <c r="U568" s="64"/>
      <c r="V568" s="45"/>
      <c r="W568" s="64"/>
      <c r="X568" s="64"/>
      <c r="Y568" s="45"/>
      <c r="Z568" s="45"/>
      <c r="AA568" s="105"/>
      <c r="AB568" s="105"/>
      <c r="AC568" s="105"/>
      <c r="AD568" s="64"/>
      <c r="AG568" s="45"/>
      <c r="AH568" s="64"/>
      <c r="AI568" s="45"/>
      <c r="AJ568" s="105"/>
      <c r="AK568" s="105"/>
      <c r="AL568" s="60"/>
      <c r="AM568" s="60"/>
      <c r="AN568" s="60"/>
      <c r="AO568" s="60"/>
      <c r="AP568" s="60"/>
      <c r="AQ568" s="60"/>
      <c r="AR568" s="60"/>
      <c r="AS568" s="60"/>
      <c r="AT568" s="45"/>
      <c r="AU568" s="45"/>
      <c r="AW568" s="45"/>
      <c r="AX568" s="46">
        <f t="shared" si="25"/>
        <v>0</v>
      </c>
      <c r="AY568" s="46">
        <f t="shared" si="26"/>
        <v>0</v>
      </c>
      <c r="AZ568" s="46">
        <f t="shared" si="27"/>
        <v>0</v>
      </c>
    </row>
    <row r="569" spans="3:52" ht="20.100000000000001" customHeight="1">
      <c r="C569" s="102"/>
      <c r="D569" s="3"/>
      <c r="E569" s="12"/>
      <c r="F569" s="3"/>
      <c r="G569" s="3"/>
      <c r="H569" s="3"/>
      <c r="J569" s="3"/>
      <c r="K569" s="3"/>
      <c r="L569" s="4"/>
      <c r="M569" s="3"/>
      <c r="O569" s="58"/>
      <c r="Q569" s="64"/>
      <c r="R569" s="45"/>
      <c r="S569" s="45"/>
      <c r="U569" s="64"/>
      <c r="V569" s="45"/>
      <c r="W569" s="64"/>
      <c r="X569" s="64"/>
      <c r="Y569" s="45"/>
      <c r="Z569" s="45"/>
      <c r="AA569" s="105"/>
      <c r="AB569" s="105"/>
      <c r="AC569" s="105"/>
      <c r="AD569" s="64"/>
      <c r="AH569" s="64"/>
      <c r="AI569" s="45"/>
      <c r="AJ569" s="105"/>
      <c r="AK569" s="105"/>
      <c r="AL569" s="60"/>
      <c r="AM569" s="60"/>
      <c r="AN569" s="60"/>
      <c r="AO569" s="60"/>
      <c r="AP569" s="60"/>
      <c r="AQ569" s="60"/>
      <c r="AR569" s="60"/>
      <c r="AS569" s="60"/>
      <c r="AT569" s="45"/>
      <c r="AU569" s="45"/>
      <c r="AW569" s="45"/>
      <c r="AX569" s="46">
        <f t="shared" si="25"/>
        <v>0</v>
      </c>
      <c r="AY569" s="46">
        <f t="shared" si="26"/>
        <v>0</v>
      </c>
      <c r="AZ569" s="46">
        <f t="shared" si="27"/>
        <v>0</v>
      </c>
    </row>
    <row r="570" spans="3:52" ht="20.100000000000001" customHeight="1">
      <c r="C570" s="102"/>
      <c r="D570" s="3"/>
      <c r="E570" s="12"/>
      <c r="F570" s="3"/>
      <c r="G570" s="3"/>
      <c r="H570" s="3"/>
      <c r="J570" s="3"/>
      <c r="K570" s="3"/>
      <c r="L570" s="4"/>
      <c r="M570" s="3"/>
      <c r="O570" s="58"/>
      <c r="Q570" s="64"/>
      <c r="R570" s="45"/>
      <c r="S570" s="45"/>
      <c r="U570" s="64"/>
      <c r="V570" s="45"/>
      <c r="W570" s="64"/>
      <c r="X570" s="64"/>
      <c r="Y570" s="45"/>
      <c r="Z570" s="45"/>
      <c r="AA570" s="105"/>
      <c r="AB570" s="105"/>
      <c r="AC570" s="105"/>
      <c r="AD570" s="64"/>
      <c r="AG570" s="45"/>
      <c r="AH570" s="64"/>
      <c r="AI570" s="45"/>
      <c r="AJ570" s="105"/>
      <c r="AK570" s="105"/>
      <c r="AL570" s="60"/>
      <c r="AM570" s="60"/>
      <c r="AN570" s="60"/>
      <c r="AO570" s="60"/>
      <c r="AP570" s="60"/>
      <c r="AQ570" s="60"/>
      <c r="AR570" s="60"/>
      <c r="AS570" s="60"/>
      <c r="AT570" s="45"/>
      <c r="AU570" s="45"/>
      <c r="AW570" s="45"/>
      <c r="AX570" s="46">
        <f t="shared" si="25"/>
        <v>0</v>
      </c>
      <c r="AY570" s="46">
        <f t="shared" si="26"/>
        <v>0</v>
      </c>
      <c r="AZ570" s="46">
        <f t="shared" si="27"/>
        <v>0</v>
      </c>
    </row>
    <row r="571" spans="3:52" ht="20.100000000000001" customHeight="1">
      <c r="C571" s="102"/>
      <c r="D571" s="3"/>
      <c r="E571" s="12"/>
      <c r="F571" s="3"/>
      <c r="G571" s="3"/>
      <c r="H571" s="3"/>
      <c r="J571" s="3"/>
      <c r="K571" s="3"/>
      <c r="L571" s="4"/>
      <c r="M571" s="3"/>
      <c r="O571" s="58"/>
      <c r="Q571" s="64"/>
      <c r="R571" s="45"/>
      <c r="S571" s="45"/>
      <c r="U571" s="64"/>
      <c r="V571" s="45"/>
      <c r="W571" s="64"/>
      <c r="X571" s="64"/>
      <c r="Y571" s="45"/>
      <c r="Z571" s="45"/>
      <c r="AA571" s="105"/>
      <c r="AB571" s="105"/>
      <c r="AC571" s="105"/>
      <c r="AD571" s="64"/>
      <c r="AG571" s="45"/>
      <c r="AH571" s="64"/>
      <c r="AI571" s="45"/>
      <c r="AJ571" s="105"/>
      <c r="AK571" s="105"/>
      <c r="AL571" s="60"/>
      <c r="AM571" s="60"/>
      <c r="AN571" s="60"/>
      <c r="AO571" s="60"/>
      <c r="AP571" s="60"/>
      <c r="AQ571" s="60"/>
      <c r="AR571" s="60"/>
      <c r="AS571" s="60"/>
      <c r="AT571" s="45"/>
      <c r="AU571" s="45"/>
      <c r="AW571" s="45"/>
      <c r="AX571" s="46">
        <f t="shared" si="25"/>
        <v>0</v>
      </c>
      <c r="AY571" s="46">
        <f t="shared" si="26"/>
        <v>0</v>
      </c>
      <c r="AZ571" s="46">
        <f t="shared" si="27"/>
        <v>0</v>
      </c>
    </row>
    <row r="572" spans="3:52" ht="20.100000000000001" customHeight="1">
      <c r="C572" s="102"/>
      <c r="D572" s="3"/>
      <c r="E572" s="12"/>
      <c r="F572" s="3"/>
      <c r="G572" s="3"/>
      <c r="H572" s="3"/>
      <c r="J572" s="3"/>
      <c r="K572" s="3"/>
      <c r="L572" s="4"/>
      <c r="M572" s="3"/>
      <c r="O572" s="58"/>
      <c r="Q572" s="64"/>
      <c r="R572" s="45"/>
      <c r="S572" s="45"/>
      <c r="U572" s="64"/>
      <c r="V572" s="45"/>
      <c r="W572" s="64"/>
      <c r="X572" s="64"/>
      <c r="Y572" s="45"/>
      <c r="Z572" s="45"/>
      <c r="AA572" s="105"/>
      <c r="AB572" s="105"/>
      <c r="AC572" s="105"/>
      <c r="AD572" s="64"/>
      <c r="AG572" s="45"/>
      <c r="AH572" s="64"/>
      <c r="AI572" s="45"/>
      <c r="AJ572" s="105"/>
      <c r="AK572" s="105"/>
      <c r="AL572" s="60"/>
      <c r="AM572" s="60"/>
      <c r="AN572" s="60"/>
      <c r="AO572" s="60"/>
      <c r="AP572" s="60"/>
      <c r="AQ572" s="60"/>
      <c r="AR572" s="60"/>
      <c r="AS572" s="60"/>
      <c r="AT572" s="45"/>
      <c r="AU572" s="45"/>
      <c r="AW572" s="45"/>
      <c r="AX572" s="46">
        <f t="shared" si="25"/>
        <v>0</v>
      </c>
      <c r="AY572" s="46">
        <f t="shared" si="26"/>
        <v>0</v>
      </c>
      <c r="AZ572" s="46">
        <f t="shared" si="27"/>
        <v>0</v>
      </c>
    </row>
    <row r="573" spans="3:52" ht="20.100000000000001" customHeight="1">
      <c r="C573" s="102"/>
      <c r="D573" s="3"/>
      <c r="E573" s="12"/>
      <c r="F573" s="3"/>
      <c r="G573" s="3"/>
      <c r="H573" s="3"/>
      <c r="J573" s="3"/>
      <c r="K573" s="3"/>
      <c r="L573" s="4"/>
      <c r="M573" s="3"/>
      <c r="O573" s="58"/>
      <c r="Q573" s="64"/>
      <c r="R573" s="45"/>
      <c r="S573" s="45"/>
      <c r="U573" s="64"/>
      <c r="V573" s="45"/>
      <c r="W573" s="64"/>
      <c r="X573" s="64"/>
      <c r="Y573" s="45"/>
      <c r="Z573" s="45"/>
      <c r="AA573" s="105"/>
      <c r="AB573" s="105"/>
      <c r="AC573" s="105"/>
      <c r="AD573" s="64"/>
      <c r="AG573" s="45"/>
      <c r="AH573" s="64"/>
      <c r="AI573" s="45"/>
      <c r="AJ573" s="105"/>
      <c r="AK573" s="105"/>
      <c r="AL573" s="60"/>
      <c r="AM573" s="60"/>
      <c r="AN573" s="60"/>
      <c r="AO573" s="60"/>
      <c r="AP573" s="60"/>
      <c r="AQ573" s="60"/>
      <c r="AR573" s="60"/>
      <c r="AS573" s="60"/>
      <c r="AT573" s="45"/>
      <c r="AU573" s="45"/>
      <c r="AW573" s="45"/>
      <c r="AX573" s="46">
        <f t="shared" si="25"/>
        <v>0</v>
      </c>
      <c r="AY573" s="46">
        <f t="shared" si="26"/>
        <v>0</v>
      </c>
      <c r="AZ573" s="46">
        <f t="shared" si="27"/>
        <v>0</v>
      </c>
    </row>
    <row r="574" spans="3:52" ht="20.100000000000001" customHeight="1">
      <c r="C574" s="102"/>
      <c r="D574" s="3"/>
      <c r="E574" s="12"/>
      <c r="F574" s="3"/>
      <c r="G574" s="3"/>
      <c r="H574" s="3"/>
      <c r="J574" s="3"/>
      <c r="K574" s="3"/>
      <c r="L574" s="4"/>
      <c r="M574" s="3"/>
      <c r="O574" s="58"/>
      <c r="Q574" s="64"/>
      <c r="R574" s="45"/>
      <c r="S574" s="45"/>
      <c r="U574" s="64"/>
      <c r="V574" s="45"/>
      <c r="W574" s="64"/>
      <c r="X574" s="64"/>
      <c r="Y574" s="45"/>
      <c r="Z574" s="45"/>
      <c r="AA574" s="105"/>
      <c r="AB574" s="105"/>
      <c r="AC574" s="105"/>
      <c r="AD574" s="64"/>
      <c r="AH574" s="64"/>
      <c r="AI574" s="45"/>
      <c r="AJ574" s="105"/>
      <c r="AK574" s="105"/>
      <c r="AL574" s="60"/>
      <c r="AM574" s="60"/>
      <c r="AN574" s="60"/>
      <c r="AO574" s="60"/>
      <c r="AP574" s="60"/>
      <c r="AQ574" s="60"/>
      <c r="AR574" s="60"/>
      <c r="AS574" s="60"/>
      <c r="AT574" s="45"/>
      <c r="AU574" s="45"/>
      <c r="AW574" s="45"/>
      <c r="AX574" s="46">
        <f t="shared" si="25"/>
        <v>0</v>
      </c>
      <c r="AY574" s="46">
        <f t="shared" si="26"/>
        <v>0</v>
      </c>
      <c r="AZ574" s="46">
        <f t="shared" si="27"/>
        <v>0</v>
      </c>
    </row>
    <row r="575" spans="3:52" ht="20.100000000000001" customHeight="1">
      <c r="C575" s="102"/>
      <c r="D575" s="3"/>
      <c r="E575" s="12"/>
      <c r="F575" s="3"/>
      <c r="G575" s="3"/>
      <c r="H575" s="3"/>
      <c r="J575" s="3"/>
      <c r="K575" s="3"/>
      <c r="L575" s="4"/>
      <c r="M575" s="3"/>
      <c r="O575" s="58"/>
      <c r="Q575" s="64"/>
      <c r="R575" s="45"/>
      <c r="S575" s="45"/>
      <c r="U575" s="64"/>
      <c r="V575" s="45"/>
      <c r="W575" s="64"/>
      <c r="X575" s="64"/>
      <c r="Y575" s="45"/>
      <c r="Z575" s="45"/>
      <c r="AA575" s="105"/>
      <c r="AB575" s="105"/>
      <c r="AC575" s="105"/>
      <c r="AD575" s="64"/>
      <c r="AG575" s="45"/>
      <c r="AH575" s="64"/>
      <c r="AI575" s="45"/>
      <c r="AJ575" s="105"/>
      <c r="AK575" s="105"/>
      <c r="AL575" s="60"/>
      <c r="AM575" s="60"/>
      <c r="AN575" s="60"/>
      <c r="AO575" s="60"/>
      <c r="AP575" s="60"/>
      <c r="AQ575" s="60"/>
      <c r="AR575" s="60"/>
      <c r="AS575" s="60"/>
      <c r="AT575" s="45"/>
      <c r="AU575" s="45"/>
      <c r="AW575" s="45"/>
      <c r="AX575" s="46">
        <f t="shared" si="25"/>
        <v>0</v>
      </c>
      <c r="AY575" s="46">
        <f t="shared" si="26"/>
        <v>0</v>
      </c>
      <c r="AZ575" s="46">
        <f t="shared" si="27"/>
        <v>0</v>
      </c>
    </row>
    <row r="576" spans="3:52" ht="20.100000000000001" customHeight="1">
      <c r="C576" s="102"/>
      <c r="D576" s="3"/>
      <c r="E576" s="12"/>
      <c r="F576" s="3"/>
      <c r="G576" s="3"/>
      <c r="H576" s="3"/>
      <c r="J576" s="3"/>
      <c r="K576" s="3"/>
      <c r="L576" s="4"/>
      <c r="M576" s="3"/>
      <c r="O576" s="58"/>
      <c r="Q576" s="64"/>
      <c r="R576" s="45"/>
      <c r="S576" s="45"/>
      <c r="U576" s="64"/>
      <c r="V576" s="45"/>
      <c r="W576" s="64"/>
      <c r="X576" s="64"/>
      <c r="Y576" s="45"/>
      <c r="Z576" s="45"/>
      <c r="AA576" s="105"/>
      <c r="AB576" s="105"/>
      <c r="AC576" s="105"/>
      <c r="AD576" s="64"/>
      <c r="AG576" s="45"/>
      <c r="AH576" s="64"/>
      <c r="AI576" s="45"/>
      <c r="AJ576" s="105"/>
      <c r="AK576" s="105"/>
      <c r="AL576" s="60"/>
      <c r="AM576" s="60"/>
      <c r="AN576" s="60"/>
      <c r="AO576" s="60"/>
      <c r="AP576" s="60"/>
      <c r="AQ576" s="60"/>
      <c r="AR576" s="60"/>
      <c r="AS576" s="60"/>
      <c r="AT576" s="45"/>
      <c r="AU576" s="45"/>
      <c r="AW576" s="45"/>
      <c r="AX576" s="46">
        <f t="shared" si="25"/>
        <v>0</v>
      </c>
      <c r="AY576" s="46">
        <f t="shared" si="26"/>
        <v>0</v>
      </c>
      <c r="AZ576" s="46">
        <f t="shared" si="27"/>
        <v>0</v>
      </c>
    </row>
    <row r="577" spans="2:52" ht="20.100000000000001" customHeight="1">
      <c r="C577" s="102"/>
      <c r="D577" s="3"/>
      <c r="E577" s="12"/>
      <c r="F577" s="3"/>
      <c r="G577" s="3"/>
      <c r="H577" s="3"/>
      <c r="J577" s="3"/>
      <c r="K577" s="3"/>
      <c r="L577" s="4"/>
      <c r="M577" s="3"/>
      <c r="O577" s="58"/>
      <c r="Q577" s="64"/>
      <c r="R577" s="45"/>
      <c r="S577" s="45"/>
      <c r="U577" s="64"/>
      <c r="V577" s="45"/>
      <c r="W577" s="64"/>
      <c r="X577" s="64"/>
      <c r="Y577" s="45"/>
      <c r="Z577" s="45"/>
      <c r="AA577" s="105"/>
      <c r="AB577" s="105"/>
      <c r="AC577" s="105"/>
      <c r="AD577" s="64"/>
      <c r="AG577" s="45"/>
      <c r="AH577" s="64"/>
      <c r="AI577" s="45"/>
      <c r="AJ577" s="105"/>
      <c r="AK577" s="105"/>
      <c r="AL577" s="60"/>
      <c r="AM577" s="60"/>
      <c r="AN577" s="60"/>
      <c r="AO577" s="60"/>
      <c r="AP577" s="60"/>
      <c r="AQ577" s="60"/>
      <c r="AR577" s="60"/>
      <c r="AS577" s="60"/>
      <c r="AT577" s="45"/>
      <c r="AU577" s="45"/>
      <c r="AW577" s="45"/>
      <c r="AX577" s="46">
        <f t="shared" si="25"/>
        <v>0</v>
      </c>
      <c r="AY577" s="46">
        <f t="shared" si="26"/>
        <v>0</v>
      </c>
      <c r="AZ577" s="46">
        <f t="shared" si="27"/>
        <v>0</v>
      </c>
    </row>
    <row r="578" spans="2:52" ht="20.100000000000001" customHeight="1">
      <c r="B578" s="61"/>
      <c r="C578" s="103"/>
      <c r="D578" s="3"/>
      <c r="E578" s="12"/>
      <c r="F578" s="3"/>
      <c r="G578" s="3"/>
      <c r="H578" s="3"/>
      <c r="J578" s="3"/>
      <c r="K578" s="3"/>
      <c r="L578" s="4"/>
      <c r="M578" s="3"/>
      <c r="O578" s="58"/>
      <c r="Q578" s="64"/>
      <c r="R578" s="45"/>
      <c r="S578" s="45"/>
      <c r="U578" s="64"/>
      <c r="V578" s="45"/>
      <c r="W578" s="64"/>
      <c r="X578" s="64"/>
      <c r="Y578" s="45"/>
      <c r="Z578" s="45"/>
      <c r="AA578" s="105"/>
      <c r="AB578" s="105"/>
      <c r="AC578" s="105"/>
      <c r="AD578" s="64"/>
      <c r="AE578" s="62"/>
      <c r="AG578" s="45"/>
      <c r="AH578" s="64"/>
      <c r="AI578" s="45"/>
      <c r="AJ578" s="105"/>
      <c r="AK578" s="105"/>
      <c r="AL578" s="60"/>
      <c r="AM578" s="60"/>
      <c r="AN578" s="60"/>
      <c r="AO578" s="60"/>
      <c r="AP578" s="60"/>
      <c r="AQ578" s="60"/>
      <c r="AR578" s="60"/>
      <c r="AS578" s="60"/>
      <c r="AT578" s="45"/>
      <c r="AU578" s="45"/>
      <c r="AW578" s="45"/>
      <c r="AX578" s="46">
        <f t="shared" si="25"/>
        <v>0</v>
      </c>
      <c r="AY578" s="46">
        <f t="shared" si="26"/>
        <v>0</v>
      </c>
      <c r="AZ578" s="46">
        <f t="shared" si="27"/>
        <v>0</v>
      </c>
    </row>
    <row r="579" spans="2:52" ht="20.100000000000001" customHeight="1">
      <c r="C579" s="102"/>
      <c r="D579" s="3"/>
      <c r="E579" s="12"/>
      <c r="F579" s="3"/>
      <c r="G579" s="3"/>
      <c r="H579" s="3"/>
      <c r="J579" s="3"/>
      <c r="K579" s="3"/>
      <c r="L579" s="4"/>
      <c r="M579" s="3"/>
      <c r="O579" s="58"/>
      <c r="Q579" s="64"/>
      <c r="R579" s="45"/>
      <c r="S579" s="45"/>
      <c r="U579" s="64"/>
      <c r="V579" s="45"/>
      <c r="W579" s="64"/>
      <c r="X579" s="64"/>
      <c r="Y579" s="45"/>
      <c r="Z579" s="45"/>
      <c r="AA579" s="105"/>
      <c r="AB579" s="105"/>
      <c r="AC579" s="105"/>
      <c r="AD579" s="64"/>
      <c r="AG579" s="45"/>
      <c r="AH579" s="64"/>
      <c r="AI579" s="45"/>
      <c r="AJ579" s="105"/>
      <c r="AK579" s="105"/>
      <c r="AL579" s="60"/>
      <c r="AM579" s="60"/>
      <c r="AN579" s="60"/>
      <c r="AO579" s="60"/>
      <c r="AP579" s="60"/>
      <c r="AQ579" s="60"/>
      <c r="AR579" s="60"/>
      <c r="AS579" s="60"/>
      <c r="AT579" s="45"/>
      <c r="AU579" s="45"/>
      <c r="AW579" s="45"/>
      <c r="AX579" s="46">
        <f t="shared" si="25"/>
        <v>0</v>
      </c>
      <c r="AY579" s="46">
        <f t="shared" si="26"/>
        <v>0</v>
      </c>
      <c r="AZ579" s="46">
        <f t="shared" si="27"/>
        <v>0</v>
      </c>
    </row>
    <row r="580" spans="2:52" ht="20.100000000000001" customHeight="1">
      <c r="C580" s="102"/>
      <c r="D580" s="3"/>
      <c r="E580" s="12"/>
      <c r="F580" s="3"/>
      <c r="G580" s="3"/>
      <c r="H580" s="3"/>
      <c r="J580" s="3"/>
      <c r="K580" s="3"/>
      <c r="L580" s="4"/>
      <c r="M580" s="3"/>
      <c r="O580" s="58"/>
      <c r="Q580" s="64"/>
      <c r="R580" s="45"/>
      <c r="S580" s="45"/>
      <c r="U580" s="64"/>
      <c r="V580" s="45"/>
      <c r="W580" s="64"/>
      <c r="X580" s="64"/>
      <c r="Y580" s="45"/>
      <c r="Z580" s="45"/>
      <c r="AA580" s="105"/>
      <c r="AB580" s="105"/>
      <c r="AC580" s="105"/>
      <c r="AD580" s="64"/>
      <c r="AG580" s="45"/>
      <c r="AH580" s="64"/>
      <c r="AI580" s="45"/>
      <c r="AJ580" s="105"/>
      <c r="AK580" s="105"/>
      <c r="AL580" s="60"/>
      <c r="AM580" s="60"/>
      <c r="AN580" s="60"/>
      <c r="AO580" s="60"/>
      <c r="AP580" s="60"/>
      <c r="AQ580" s="60"/>
      <c r="AR580" s="60"/>
      <c r="AS580" s="60"/>
      <c r="AT580" s="45"/>
      <c r="AU580" s="45"/>
      <c r="AW580" s="45"/>
      <c r="AX580" s="46">
        <f t="shared" si="25"/>
        <v>0</v>
      </c>
      <c r="AY580" s="46">
        <f t="shared" si="26"/>
        <v>0</v>
      </c>
      <c r="AZ580" s="46">
        <f t="shared" si="27"/>
        <v>0</v>
      </c>
    </row>
    <row r="581" spans="2:52" ht="20.100000000000001" customHeight="1">
      <c r="C581" s="102"/>
      <c r="D581" s="3"/>
      <c r="E581" s="12"/>
      <c r="F581" s="3"/>
      <c r="G581" s="3"/>
      <c r="H581" s="3"/>
      <c r="J581" s="3"/>
      <c r="K581" s="3"/>
      <c r="L581" s="4"/>
      <c r="M581" s="3"/>
      <c r="O581" s="58"/>
      <c r="Q581" s="64"/>
      <c r="R581" s="45"/>
      <c r="S581" s="45"/>
      <c r="U581" s="64"/>
      <c r="V581" s="45"/>
      <c r="W581" s="64"/>
      <c r="X581" s="64"/>
      <c r="Y581" s="45"/>
      <c r="Z581" s="45"/>
      <c r="AA581" s="105"/>
      <c r="AB581" s="105"/>
      <c r="AC581" s="105"/>
      <c r="AD581" s="64"/>
      <c r="AH581" s="64"/>
      <c r="AI581" s="45"/>
      <c r="AJ581" s="105"/>
      <c r="AK581" s="105"/>
      <c r="AL581" s="60"/>
      <c r="AM581" s="60"/>
      <c r="AN581" s="60"/>
      <c r="AO581" s="60"/>
      <c r="AP581" s="60"/>
      <c r="AQ581" s="60"/>
      <c r="AR581" s="60"/>
      <c r="AS581" s="60"/>
      <c r="AT581" s="45"/>
      <c r="AU581" s="45"/>
      <c r="AW581" s="45"/>
      <c r="AX581" s="46">
        <f t="shared" si="25"/>
        <v>0</v>
      </c>
      <c r="AY581" s="46">
        <f t="shared" si="26"/>
        <v>0</v>
      </c>
      <c r="AZ581" s="46">
        <f t="shared" si="27"/>
        <v>0</v>
      </c>
    </row>
    <row r="582" spans="2:52" ht="20.100000000000001" customHeight="1">
      <c r="C582" s="102"/>
      <c r="D582" s="3"/>
      <c r="E582" s="12"/>
      <c r="F582" s="3"/>
      <c r="G582" s="3"/>
      <c r="H582" s="3"/>
      <c r="J582" s="3"/>
      <c r="K582" s="3"/>
      <c r="L582" s="4"/>
      <c r="M582" s="3"/>
      <c r="O582" s="58"/>
      <c r="Q582" s="64"/>
      <c r="R582" s="45"/>
      <c r="S582" s="45"/>
      <c r="U582" s="64"/>
      <c r="V582" s="45"/>
      <c r="W582" s="64"/>
      <c r="X582" s="64"/>
      <c r="Y582" s="45"/>
      <c r="Z582" s="45"/>
      <c r="AA582" s="105"/>
      <c r="AB582" s="105"/>
      <c r="AC582" s="105"/>
      <c r="AD582" s="64"/>
      <c r="AH582" s="64"/>
      <c r="AI582" s="45"/>
      <c r="AJ582" s="105"/>
      <c r="AK582" s="105"/>
      <c r="AL582" s="60"/>
      <c r="AM582" s="60"/>
      <c r="AN582" s="60"/>
      <c r="AO582" s="60"/>
      <c r="AP582" s="60"/>
      <c r="AQ582" s="60"/>
      <c r="AR582" s="60"/>
      <c r="AS582" s="60"/>
      <c r="AT582" s="45"/>
      <c r="AU582" s="45"/>
      <c r="AW582" s="45"/>
      <c r="AX582" s="46">
        <f t="shared" si="25"/>
        <v>0</v>
      </c>
      <c r="AY582" s="46">
        <f t="shared" si="26"/>
        <v>0</v>
      </c>
      <c r="AZ582" s="46">
        <f t="shared" si="27"/>
        <v>0</v>
      </c>
    </row>
    <row r="583" spans="2:52" ht="20.100000000000001" customHeight="1">
      <c r="C583" s="102"/>
      <c r="D583" s="3"/>
      <c r="E583" s="67"/>
      <c r="F583" s="3"/>
      <c r="G583" s="3"/>
      <c r="H583" s="3"/>
      <c r="J583" s="3"/>
      <c r="K583" s="3"/>
      <c r="L583" s="4"/>
      <c r="M583" s="3"/>
      <c r="O583" s="58"/>
      <c r="Q583" s="64"/>
      <c r="R583" s="45"/>
      <c r="S583" s="45"/>
      <c r="U583" s="64"/>
      <c r="V583" s="45"/>
      <c r="W583" s="64"/>
      <c r="X583" s="64"/>
      <c r="Y583" s="45"/>
      <c r="Z583" s="45"/>
      <c r="AA583" s="105"/>
      <c r="AB583" s="105"/>
      <c r="AC583" s="105"/>
      <c r="AD583" s="64"/>
      <c r="AH583" s="64"/>
      <c r="AI583" s="45"/>
      <c r="AJ583" s="105"/>
      <c r="AK583" s="105"/>
      <c r="AL583" s="60"/>
      <c r="AM583" s="60"/>
      <c r="AN583" s="60"/>
      <c r="AO583" s="60"/>
      <c r="AP583" s="60"/>
      <c r="AQ583" s="60"/>
      <c r="AR583" s="60"/>
      <c r="AS583" s="60"/>
      <c r="AT583" s="45"/>
      <c r="AU583" s="45"/>
      <c r="AW583" s="45"/>
      <c r="AX583" s="46">
        <f t="shared" si="25"/>
        <v>0</v>
      </c>
      <c r="AY583" s="46">
        <f t="shared" si="26"/>
        <v>0</v>
      </c>
      <c r="AZ583" s="46">
        <f t="shared" si="27"/>
        <v>0</v>
      </c>
    </row>
    <row r="584" spans="2:52" ht="20.100000000000001" customHeight="1">
      <c r="C584" s="102"/>
      <c r="D584" s="3"/>
      <c r="E584" s="12"/>
      <c r="F584" s="3"/>
      <c r="G584" s="3"/>
      <c r="H584" s="3"/>
      <c r="J584" s="3"/>
      <c r="K584" s="3"/>
      <c r="L584" s="4"/>
      <c r="M584" s="3"/>
      <c r="O584" s="58"/>
      <c r="Q584" s="64"/>
      <c r="R584" s="45"/>
      <c r="S584" s="45"/>
      <c r="U584" s="64"/>
      <c r="V584" s="45"/>
      <c r="W584" s="64"/>
      <c r="X584" s="64"/>
      <c r="Y584" s="45"/>
      <c r="Z584" s="45"/>
      <c r="AA584" s="105"/>
      <c r="AB584" s="105"/>
      <c r="AC584" s="105"/>
      <c r="AD584" s="64"/>
      <c r="AG584" s="45"/>
      <c r="AH584" s="64"/>
      <c r="AI584" s="45"/>
      <c r="AJ584" s="105"/>
      <c r="AK584" s="105"/>
      <c r="AL584" s="60"/>
      <c r="AM584" s="60"/>
      <c r="AN584" s="60"/>
      <c r="AO584" s="60"/>
      <c r="AP584" s="60"/>
      <c r="AQ584" s="60"/>
      <c r="AR584" s="60"/>
      <c r="AS584" s="60"/>
      <c r="AT584" s="45"/>
      <c r="AU584" s="45"/>
      <c r="AW584" s="45"/>
      <c r="AX584" s="46">
        <f t="shared" si="25"/>
        <v>0</v>
      </c>
      <c r="AY584" s="46">
        <f t="shared" si="26"/>
        <v>0</v>
      </c>
      <c r="AZ584" s="46">
        <f t="shared" si="27"/>
        <v>0</v>
      </c>
    </row>
    <row r="585" spans="2:52" ht="20.100000000000001" customHeight="1">
      <c r="C585" s="102"/>
      <c r="D585" s="3"/>
      <c r="E585" s="12"/>
      <c r="F585" s="3"/>
      <c r="G585" s="3"/>
      <c r="H585" s="3"/>
      <c r="J585" s="3"/>
      <c r="K585" s="3"/>
      <c r="L585" s="4"/>
      <c r="M585" s="3"/>
      <c r="O585" s="58"/>
      <c r="Q585" s="64"/>
      <c r="R585" s="45"/>
      <c r="S585" s="45"/>
      <c r="U585" s="64"/>
      <c r="V585" s="45"/>
      <c r="W585" s="64"/>
      <c r="X585" s="64"/>
      <c r="Y585" s="45"/>
      <c r="Z585" s="45"/>
      <c r="AA585" s="105"/>
      <c r="AB585" s="105"/>
      <c r="AC585" s="105"/>
      <c r="AD585" s="64"/>
      <c r="AH585" s="64"/>
      <c r="AI585" s="45"/>
      <c r="AJ585" s="105"/>
      <c r="AK585" s="105"/>
      <c r="AL585" s="60"/>
      <c r="AM585" s="60"/>
      <c r="AN585" s="60"/>
      <c r="AO585" s="60"/>
      <c r="AP585" s="60"/>
      <c r="AQ585" s="60"/>
      <c r="AR585" s="60"/>
      <c r="AS585" s="60"/>
      <c r="AT585" s="45"/>
      <c r="AU585" s="45"/>
      <c r="AW585" s="45"/>
      <c r="AX585" s="46">
        <f t="shared" si="25"/>
        <v>0</v>
      </c>
      <c r="AY585" s="46">
        <f t="shared" si="26"/>
        <v>0</v>
      </c>
      <c r="AZ585" s="46">
        <f t="shared" si="27"/>
        <v>0</v>
      </c>
    </row>
    <row r="586" spans="2:52" ht="20.100000000000001" customHeight="1">
      <c r="C586" s="102"/>
      <c r="D586" s="3"/>
      <c r="E586" s="67"/>
      <c r="F586" s="3"/>
      <c r="G586" s="3"/>
      <c r="H586" s="3"/>
      <c r="J586" s="3"/>
      <c r="K586" s="3"/>
      <c r="L586" s="4"/>
      <c r="M586" s="3"/>
      <c r="O586" s="58"/>
      <c r="Q586" s="64"/>
      <c r="R586" s="45"/>
      <c r="S586" s="45"/>
      <c r="U586" s="64"/>
      <c r="V586" s="45"/>
      <c r="W586" s="64"/>
      <c r="X586" s="64"/>
      <c r="Y586" s="45"/>
      <c r="Z586" s="45"/>
      <c r="AA586" s="105"/>
      <c r="AB586" s="105"/>
      <c r="AC586" s="105"/>
      <c r="AD586" s="64"/>
      <c r="AG586" s="45"/>
      <c r="AH586" s="64"/>
      <c r="AI586" s="45"/>
      <c r="AJ586" s="105"/>
      <c r="AK586" s="105"/>
      <c r="AL586" s="60"/>
      <c r="AM586" s="60"/>
      <c r="AN586" s="60"/>
      <c r="AO586" s="60"/>
      <c r="AP586" s="60"/>
      <c r="AQ586" s="60"/>
      <c r="AR586" s="60"/>
      <c r="AS586" s="60"/>
      <c r="AT586" s="45"/>
      <c r="AU586" s="45"/>
      <c r="AW586" s="45"/>
      <c r="AX586" s="46">
        <f t="shared" si="25"/>
        <v>0</v>
      </c>
      <c r="AY586" s="46">
        <f t="shared" si="26"/>
        <v>0</v>
      </c>
      <c r="AZ586" s="46">
        <f t="shared" si="27"/>
        <v>0</v>
      </c>
    </row>
    <row r="587" spans="2:52" ht="20.100000000000001" customHeight="1">
      <c r="C587" s="102"/>
      <c r="D587" s="3"/>
      <c r="E587" s="12"/>
      <c r="F587" s="3"/>
      <c r="G587" s="3"/>
      <c r="H587" s="3"/>
      <c r="J587" s="3"/>
      <c r="K587" s="3"/>
      <c r="L587" s="4"/>
      <c r="M587" s="3"/>
      <c r="O587" s="58"/>
      <c r="Q587" s="64"/>
      <c r="R587" s="45"/>
      <c r="S587" s="45"/>
      <c r="U587" s="64"/>
      <c r="V587" s="45"/>
      <c r="W587" s="64"/>
      <c r="X587" s="64"/>
      <c r="Y587" s="45"/>
      <c r="Z587" s="45"/>
      <c r="AA587" s="105"/>
      <c r="AB587" s="105"/>
      <c r="AC587" s="105"/>
      <c r="AD587" s="64"/>
      <c r="AG587" s="45"/>
      <c r="AH587" s="64"/>
      <c r="AI587" s="45"/>
      <c r="AJ587" s="105"/>
      <c r="AK587" s="105"/>
      <c r="AL587" s="60"/>
      <c r="AM587" s="60"/>
      <c r="AN587" s="60"/>
      <c r="AO587" s="60"/>
      <c r="AP587" s="60"/>
      <c r="AQ587" s="60"/>
      <c r="AR587" s="60"/>
      <c r="AS587" s="60"/>
      <c r="AT587" s="45"/>
      <c r="AU587" s="45"/>
      <c r="AW587" s="45"/>
      <c r="AX587" s="46">
        <f t="shared" ref="AX587:AX650" si="28">IFERROR(SUM(Q587:AS587)-SUM(AT587:AU587)+AV587,"-")</f>
        <v>0</v>
      </c>
      <c r="AY587" s="46">
        <f t="shared" ref="AY587:AY650" si="29">IFERROR(SUM(Q587:AS587)-SUM(AT587:AT587),"-")</f>
        <v>0</v>
      </c>
      <c r="AZ587" s="46">
        <f t="shared" ref="AZ587:AZ650" si="30">SUM(Q587:AS587)</f>
        <v>0</v>
      </c>
    </row>
    <row r="588" spans="2:52" ht="20.100000000000001" customHeight="1">
      <c r="C588" s="102"/>
      <c r="D588" s="3"/>
      <c r="E588" s="12"/>
      <c r="F588" s="3"/>
      <c r="G588" s="3"/>
      <c r="H588" s="3"/>
      <c r="J588" s="3"/>
      <c r="K588" s="3"/>
      <c r="L588" s="4"/>
      <c r="M588" s="3"/>
      <c r="O588" s="58"/>
      <c r="Q588" s="64"/>
      <c r="R588" s="45"/>
      <c r="S588" s="45"/>
      <c r="U588" s="64"/>
      <c r="V588" s="45"/>
      <c r="W588" s="64"/>
      <c r="X588" s="64"/>
      <c r="Y588" s="45"/>
      <c r="Z588" s="45"/>
      <c r="AA588" s="105"/>
      <c r="AB588" s="105"/>
      <c r="AC588" s="105"/>
      <c r="AD588" s="64"/>
      <c r="AH588" s="64"/>
      <c r="AI588" s="45"/>
      <c r="AJ588" s="105"/>
      <c r="AK588" s="105"/>
      <c r="AL588" s="60"/>
      <c r="AM588" s="60"/>
      <c r="AN588" s="60"/>
      <c r="AO588" s="60"/>
      <c r="AP588" s="60"/>
      <c r="AQ588" s="60"/>
      <c r="AR588" s="60"/>
      <c r="AS588" s="60"/>
      <c r="AT588" s="45"/>
      <c r="AU588" s="45"/>
      <c r="AW588" s="45"/>
      <c r="AX588" s="46">
        <f t="shared" si="28"/>
        <v>0</v>
      </c>
      <c r="AY588" s="46">
        <f t="shared" si="29"/>
        <v>0</v>
      </c>
      <c r="AZ588" s="46">
        <f t="shared" si="30"/>
        <v>0</v>
      </c>
    </row>
    <row r="589" spans="2:52" ht="20.100000000000001" customHeight="1">
      <c r="C589" s="102"/>
      <c r="D589" s="3"/>
      <c r="E589" s="12"/>
      <c r="F589" s="3"/>
      <c r="G589" s="3"/>
      <c r="H589" s="3"/>
      <c r="J589" s="3"/>
      <c r="K589" s="3"/>
      <c r="L589" s="4"/>
      <c r="M589" s="3"/>
      <c r="O589" s="58"/>
      <c r="Q589" s="64"/>
      <c r="R589" s="45"/>
      <c r="S589" s="45"/>
      <c r="U589" s="64"/>
      <c r="V589" s="45"/>
      <c r="W589" s="64"/>
      <c r="X589" s="64"/>
      <c r="Y589" s="45"/>
      <c r="Z589" s="45"/>
      <c r="AA589" s="105"/>
      <c r="AB589" s="105"/>
      <c r="AC589" s="105"/>
      <c r="AD589" s="64"/>
      <c r="AG589" s="45"/>
      <c r="AH589" s="64"/>
      <c r="AI589" s="45"/>
      <c r="AJ589" s="105"/>
      <c r="AK589" s="105"/>
      <c r="AL589" s="60"/>
      <c r="AM589" s="60"/>
      <c r="AN589" s="60"/>
      <c r="AO589" s="60"/>
      <c r="AP589" s="60"/>
      <c r="AQ589" s="60"/>
      <c r="AR589" s="60"/>
      <c r="AS589" s="60"/>
      <c r="AT589" s="45"/>
      <c r="AU589" s="45"/>
      <c r="AW589" s="45"/>
      <c r="AX589" s="46">
        <f t="shared" si="28"/>
        <v>0</v>
      </c>
      <c r="AY589" s="46">
        <f t="shared" si="29"/>
        <v>0</v>
      </c>
      <c r="AZ589" s="46">
        <f t="shared" si="30"/>
        <v>0</v>
      </c>
    </row>
    <row r="590" spans="2:52" ht="20.100000000000001" customHeight="1">
      <c r="C590" s="102"/>
      <c r="D590" s="3"/>
      <c r="E590" s="12"/>
      <c r="F590" s="3"/>
      <c r="G590" s="3"/>
      <c r="H590" s="3"/>
      <c r="J590" s="3"/>
      <c r="K590" s="3"/>
      <c r="L590" s="4"/>
      <c r="M590" s="3"/>
      <c r="O590" s="58"/>
      <c r="Q590" s="64"/>
      <c r="R590" s="45"/>
      <c r="S590" s="45"/>
      <c r="U590" s="64"/>
      <c r="V590" s="45"/>
      <c r="W590" s="64"/>
      <c r="X590" s="64"/>
      <c r="Y590" s="45"/>
      <c r="Z590" s="45"/>
      <c r="AA590" s="105"/>
      <c r="AB590" s="105"/>
      <c r="AC590" s="105"/>
      <c r="AD590" s="64"/>
      <c r="AG590" s="45"/>
      <c r="AH590" s="64"/>
      <c r="AI590" s="45"/>
      <c r="AJ590" s="105"/>
      <c r="AK590" s="105"/>
      <c r="AL590" s="60"/>
      <c r="AM590" s="60"/>
      <c r="AN590" s="60"/>
      <c r="AO590" s="60"/>
      <c r="AP590" s="60"/>
      <c r="AQ590" s="60"/>
      <c r="AR590" s="60"/>
      <c r="AS590" s="60"/>
      <c r="AT590" s="45"/>
      <c r="AU590" s="45"/>
      <c r="AW590" s="45"/>
      <c r="AX590" s="46">
        <f t="shared" si="28"/>
        <v>0</v>
      </c>
      <c r="AY590" s="46">
        <f t="shared" si="29"/>
        <v>0</v>
      </c>
      <c r="AZ590" s="46">
        <f t="shared" si="30"/>
        <v>0</v>
      </c>
    </row>
    <row r="591" spans="2:52" ht="20.100000000000001" customHeight="1">
      <c r="C591" s="102"/>
      <c r="D591" s="3"/>
      <c r="E591" s="12"/>
      <c r="F591" s="3"/>
      <c r="G591" s="3"/>
      <c r="H591" s="3"/>
      <c r="J591" s="3"/>
      <c r="K591" s="3"/>
      <c r="L591" s="4"/>
      <c r="M591" s="3"/>
      <c r="O591" s="58"/>
      <c r="Q591" s="64"/>
      <c r="R591" s="45"/>
      <c r="S591" s="45"/>
      <c r="U591" s="64"/>
      <c r="V591" s="45"/>
      <c r="W591" s="64"/>
      <c r="X591" s="64"/>
      <c r="Y591" s="45"/>
      <c r="Z591" s="45"/>
      <c r="AA591" s="105"/>
      <c r="AB591" s="105"/>
      <c r="AC591" s="105"/>
      <c r="AD591" s="64"/>
      <c r="AH591" s="64"/>
      <c r="AI591" s="45"/>
      <c r="AJ591" s="105"/>
      <c r="AK591" s="105"/>
      <c r="AL591" s="60"/>
      <c r="AM591" s="60"/>
      <c r="AN591" s="60"/>
      <c r="AO591" s="60"/>
      <c r="AP591" s="60"/>
      <c r="AQ591" s="60"/>
      <c r="AR591" s="60"/>
      <c r="AS591" s="60"/>
      <c r="AT591" s="45"/>
      <c r="AU591" s="45"/>
      <c r="AW591" s="45"/>
      <c r="AX591" s="46">
        <f t="shared" si="28"/>
        <v>0</v>
      </c>
      <c r="AY591" s="46">
        <f t="shared" si="29"/>
        <v>0</v>
      </c>
      <c r="AZ591" s="46">
        <f t="shared" si="30"/>
        <v>0</v>
      </c>
    </row>
    <row r="592" spans="2:52" ht="20.100000000000001" customHeight="1">
      <c r="C592" s="102"/>
      <c r="D592" s="3"/>
      <c r="E592" s="12"/>
      <c r="F592" s="3"/>
      <c r="G592" s="3"/>
      <c r="H592" s="3"/>
      <c r="J592" s="3"/>
      <c r="K592" s="3"/>
      <c r="L592" s="4"/>
      <c r="M592" s="3"/>
      <c r="O592" s="58"/>
      <c r="Q592" s="64"/>
      <c r="R592" s="45"/>
      <c r="S592" s="45"/>
      <c r="U592" s="64"/>
      <c r="V592" s="45"/>
      <c r="W592" s="64"/>
      <c r="X592" s="64"/>
      <c r="Y592" s="45"/>
      <c r="Z592" s="45"/>
      <c r="AA592" s="105"/>
      <c r="AB592" s="105"/>
      <c r="AC592" s="105"/>
      <c r="AD592" s="64"/>
      <c r="AH592" s="64"/>
      <c r="AI592" s="45"/>
      <c r="AJ592" s="105"/>
      <c r="AK592" s="105"/>
      <c r="AL592" s="60"/>
      <c r="AM592" s="60"/>
      <c r="AN592" s="60"/>
      <c r="AO592" s="60"/>
      <c r="AP592" s="60"/>
      <c r="AQ592" s="60"/>
      <c r="AR592" s="60"/>
      <c r="AS592" s="60"/>
      <c r="AT592" s="45"/>
      <c r="AU592" s="45"/>
      <c r="AW592" s="45"/>
      <c r="AX592" s="46">
        <f t="shared" si="28"/>
        <v>0</v>
      </c>
      <c r="AY592" s="46">
        <f t="shared" si="29"/>
        <v>0</v>
      </c>
      <c r="AZ592" s="46">
        <f t="shared" si="30"/>
        <v>0</v>
      </c>
    </row>
    <row r="593" spans="3:52" ht="20.100000000000001" customHeight="1">
      <c r="C593" s="102"/>
      <c r="D593" s="3"/>
      <c r="E593" s="12"/>
      <c r="F593" s="3"/>
      <c r="G593" s="3"/>
      <c r="H593" s="3"/>
      <c r="J593" s="3"/>
      <c r="K593" s="3"/>
      <c r="L593" s="4"/>
      <c r="M593" s="3"/>
      <c r="O593" s="58"/>
      <c r="Q593" s="64"/>
      <c r="R593" s="45"/>
      <c r="S593" s="45"/>
      <c r="U593" s="64"/>
      <c r="V593" s="45"/>
      <c r="W593" s="64"/>
      <c r="X593" s="64"/>
      <c r="Y593" s="45"/>
      <c r="Z593" s="45"/>
      <c r="AA593" s="105"/>
      <c r="AB593" s="105"/>
      <c r="AC593" s="105"/>
      <c r="AD593" s="64"/>
      <c r="AG593" s="45"/>
      <c r="AH593" s="64"/>
      <c r="AI593" s="45"/>
      <c r="AJ593" s="105"/>
      <c r="AK593" s="105"/>
      <c r="AL593" s="60"/>
      <c r="AM593" s="60"/>
      <c r="AN593" s="60"/>
      <c r="AO593" s="60"/>
      <c r="AP593" s="60"/>
      <c r="AQ593" s="60"/>
      <c r="AR593" s="60"/>
      <c r="AS593" s="60"/>
      <c r="AT593" s="45"/>
      <c r="AU593" s="45"/>
      <c r="AW593" s="45"/>
      <c r="AX593" s="46">
        <f t="shared" si="28"/>
        <v>0</v>
      </c>
      <c r="AY593" s="46">
        <f t="shared" si="29"/>
        <v>0</v>
      </c>
      <c r="AZ593" s="46">
        <f t="shared" si="30"/>
        <v>0</v>
      </c>
    </row>
    <row r="594" spans="3:52" ht="20.100000000000001" customHeight="1">
      <c r="C594" s="102"/>
      <c r="D594" s="3"/>
      <c r="E594" s="12"/>
      <c r="F594" s="3"/>
      <c r="G594" s="3"/>
      <c r="H594" s="3"/>
      <c r="J594" s="3"/>
      <c r="K594" s="3"/>
      <c r="L594" s="4"/>
      <c r="M594" s="3"/>
      <c r="O594" s="58"/>
      <c r="Q594" s="64"/>
      <c r="R594" s="45"/>
      <c r="S594" s="45"/>
      <c r="U594" s="64"/>
      <c r="V594" s="45"/>
      <c r="W594" s="64"/>
      <c r="X594" s="64"/>
      <c r="Y594" s="45"/>
      <c r="Z594" s="45"/>
      <c r="AA594" s="105"/>
      <c r="AB594" s="105"/>
      <c r="AC594" s="105"/>
      <c r="AD594" s="64"/>
      <c r="AG594" s="45"/>
      <c r="AH594" s="64"/>
      <c r="AI594" s="45"/>
      <c r="AJ594" s="105"/>
      <c r="AK594" s="105"/>
      <c r="AL594" s="60"/>
      <c r="AM594" s="60"/>
      <c r="AN594" s="60"/>
      <c r="AO594" s="60"/>
      <c r="AP594" s="60"/>
      <c r="AQ594" s="60"/>
      <c r="AR594" s="60"/>
      <c r="AS594" s="60"/>
      <c r="AT594" s="45"/>
      <c r="AU594" s="45"/>
      <c r="AW594" s="45"/>
      <c r="AX594" s="46">
        <f t="shared" si="28"/>
        <v>0</v>
      </c>
      <c r="AY594" s="46">
        <f t="shared" si="29"/>
        <v>0</v>
      </c>
      <c r="AZ594" s="46">
        <f t="shared" si="30"/>
        <v>0</v>
      </c>
    </row>
    <row r="595" spans="3:52" ht="20.100000000000001" customHeight="1">
      <c r="C595" s="102"/>
      <c r="D595" s="3"/>
      <c r="E595" s="12"/>
      <c r="F595" s="3"/>
      <c r="G595" s="3"/>
      <c r="H595" s="3"/>
      <c r="J595" s="3"/>
      <c r="K595" s="3"/>
      <c r="L595" s="4"/>
      <c r="M595" s="3"/>
      <c r="O595" s="58"/>
      <c r="Q595" s="64"/>
      <c r="R595" s="45"/>
      <c r="S595" s="45"/>
      <c r="U595" s="64"/>
      <c r="V595" s="45"/>
      <c r="W595" s="64"/>
      <c r="X595" s="64"/>
      <c r="Y595" s="45"/>
      <c r="Z595" s="45"/>
      <c r="AA595" s="105"/>
      <c r="AB595" s="105"/>
      <c r="AC595" s="105"/>
      <c r="AD595" s="64"/>
      <c r="AH595" s="64"/>
      <c r="AI595" s="45"/>
      <c r="AJ595" s="105"/>
      <c r="AK595" s="105"/>
      <c r="AL595" s="60"/>
      <c r="AM595" s="60"/>
      <c r="AN595" s="60"/>
      <c r="AO595" s="60"/>
      <c r="AP595" s="60"/>
      <c r="AQ595" s="60"/>
      <c r="AR595" s="60"/>
      <c r="AS595" s="60"/>
      <c r="AT595" s="45"/>
      <c r="AU595" s="45"/>
      <c r="AW595" s="45"/>
      <c r="AX595" s="46">
        <f t="shared" si="28"/>
        <v>0</v>
      </c>
      <c r="AY595" s="46">
        <f t="shared" si="29"/>
        <v>0</v>
      </c>
      <c r="AZ595" s="46">
        <f t="shared" si="30"/>
        <v>0</v>
      </c>
    </row>
    <row r="596" spans="3:52" ht="20.100000000000001" customHeight="1">
      <c r="C596" s="102"/>
      <c r="D596" s="3"/>
      <c r="E596" s="12"/>
      <c r="F596" s="3"/>
      <c r="G596" s="3"/>
      <c r="H596" s="3"/>
      <c r="J596" s="3"/>
      <c r="K596" s="3"/>
      <c r="L596" s="4"/>
      <c r="M596" s="3"/>
      <c r="O596" s="58"/>
      <c r="Q596" s="64"/>
      <c r="R596" s="45"/>
      <c r="S596" s="45"/>
      <c r="U596" s="64"/>
      <c r="V596" s="45"/>
      <c r="W596" s="64"/>
      <c r="X596" s="64"/>
      <c r="Y596" s="45"/>
      <c r="Z596" s="45"/>
      <c r="AA596" s="105"/>
      <c r="AB596" s="105"/>
      <c r="AC596" s="105"/>
      <c r="AD596" s="64"/>
      <c r="AH596" s="64"/>
      <c r="AI596" s="45"/>
      <c r="AJ596" s="105"/>
      <c r="AK596" s="105"/>
      <c r="AL596" s="60"/>
      <c r="AM596" s="60"/>
      <c r="AN596" s="60"/>
      <c r="AO596" s="60"/>
      <c r="AP596" s="60"/>
      <c r="AQ596" s="60"/>
      <c r="AR596" s="60"/>
      <c r="AS596" s="60"/>
      <c r="AT596" s="45"/>
      <c r="AU596" s="45"/>
      <c r="AW596" s="45"/>
      <c r="AX596" s="46">
        <f t="shared" si="28"/>
        <v>0</v>
      </c>
      <c r="AY596" s="46">
        <f t="shared" si="29"/>
        <v>0</v>
      </c>
      <c r="AZ596" s="46">
        <f t="shared" si="30"/>
        <v>0</v>
      </c>
    </row>
    <row r="597" spans="3:52" ht="20.100000000000001" customHeight="1">
      <c r="C597" s="102"/>
      <c r="D597" s="3"/>
      <c r="E597" s="12"/>
      <c r="F597" s="3"/>
      <c r="G597" s="3"/>
      <c r="H597" s="3"/>
      <c r="J597" s="3"/>
      <c r="K597" s="3"/>
      <c r="L597" s="4"/>
      <c r="M597" s="3"/>
      <c r="O597" s="58"/>
      <c r="Q597" s="64"/>
      <c r="R597" s="45"/>
      <c r="S597" s="45"/>
      <c r="U597" s="64"/>
      <c r="V597" s="45"/>
      <c r="W597" s="64"/>
      <c r="X597" s="64"/>
      <c r="Y597" s="45"/>
      <c r="Z597" s="45"/>
      <c r="AA597" s="105"/>
      <c r="AB597" s="105"/>
      <c r="AC597" s="105"/>
      <c r="AD597" s="64"/>
      <c r="AG597" s="45"/>
      <c r="AH597" s="64"/>
      <c r="AI597" s="45"/>
      <c r="AJ597" s="105"/>
      <c r="AK597" s="105"/>
      <c r="AL597" s="60"/>
      <c r="AM597" s="60"/>
      <c r="AN597" s="60"/>
      <c r="AO597" s="60"/>
      <c r="AP597" s="60"/>
      <c r="AQ597" s="60"/>
      <c r="AR597" s="60"/>
      <c r="AS597" s="60"/>
      <c r="AT597" s="45"/>
      <c r="AU597" s="45"/>
      <c r="AW597" s="45"/>
      <c r="AX597" s="46">
        <f t="shared" si="28"/>
        <v>0</v>
      </c>
      <c r="AY597" s="46">
        <f t="shared" si="29"/>
        <v>0</v>
      </c>
      <c r="AZ597" s="46">
        <f t="shared" si="30"/>
        <v>0</v>
      </c>
    </row>
    <row r="598" spans="3:52" ht="20.100000000000001" customHeight="1">
      <c r="C598" s="102"/>
      <c r="D598" s="3"/>
      <c r="E598" s="67"/>
      <c r="F598" s="3"/>
      <c r="G598" s="3"/>
      <c r="H598" s="3"/>
      <c r="J598" s="3"/>
      <c r="K598" s="3"/>
      <c r="L598" s="4"/>
      <c r="M598" s="3"/>
      <c r="O598" s="58"/>
      <c r="Q598" s="64"/>
      <c r="R598" s="45"/>
      <c r="S598" s="45"/>
      <c r="U598" s="64"/>
      <c r="V598" s="45"/>
      <c r="W598" s="64"/>
      <c r="X598" s="64"/>
      <c r="Y598" s="45"/>
      <c r="Z598" s="45"/>
      <c r="AA598" s="105"/>
      <c r="AB598" s="105"/>
      <c r="AC598" s="105"/>
      <c r="AD598" s="64"/>
      <c r="AG598" s="45"/>
      <c r="AH598" s="64"/>
      <c r="AI598" s="45"/>
      <c r="AJ598" s="105"/>
      <c r="AK598" s="105"/>
      <c r="AL598" s="60"/>
      <c r="AM598" s="60"/>
      <c r="AN598" s="60"/>
      <c r="AO598" s="60"/>
      <c r="AP598" s="60"/>
      <c r="AQ598" s="60"/>
      <c r="AR598" s="60"/>
      <c r="AS598" s="60"/>
      <c r="AT598" s="45"/>
      <c r="AU598" s="45"/>
      <c r="AW598" s="45"/>
      <c r="AX598" s="46">
        <f t="shared" si="28"/>
        <v>0</v>
      </c>
      <c r="AY598" s="46">
        <f t="shared" si="29"/>
        <v>0</v>
      </c>
      <c r="AZ598" s="46">
        <f t="shared" si="30"/>
        <v>0</v>
      </c>
    </row>
    <row r="599" spans="3:52" ht="20.100000000000001" customHeight="1">
      <c r="C599" s="102"/>
      <c r="D599" s="3"/>
      <c r="E599" s="12"/>
      <c r="F599" s="3"/>
      <c r="G599" s="3"/>
      <c r="H599" s="3"/>
      <c r="J599" s="3"/>
      <c r="K599" s="3"/>
      <c r="L599" s="4"/>
      <c r="M599" s="3"/>
      <c r="O599" s="58"/>
      <c r="Q599" s="64"/>
      <c r="R599" s="45"/>
      <c r="S599" s="45"/>
      <c r="U599" s="64"/>
      <c r="V599" s="45"/>
      <c r="W599" s="64"/>
      <c r="X599" s="64"/>
      <c r="Y599" s="45"/>
      <c r="Z599" s="45"/>
      <c r="AA599" s="105"/>
      <c r="AB599" s="105"/>
      <c r="AC599" s="105"/>
      <c r="AD599" s="64"/>
      <c r="AH599" s="64"/>
      <c r="AI599" s="45"/>
      <c r="AJ599" s="105"/>
      <c r="AK599" s="105"/>
      <c r="AL599" s="60"/>
      <c r="AM599" s="60"/>
      <c r="AN599" s="60"/>
      <c r="AO599" s="60"/>
      <c r="AP599" s="60"/>
      <c r="AQ599" s="60"/>
      <c r="AR599" s="60"/>
      <c r="AS599" s="60"/>
      <c r="AT599" s="45"/>
      <c r="AU599" s="45"/>
      <c r="AW599" s="45"/>
      <c r="AX599" s="46">
        <f t="shared" si="28"/>
        <v>0</v>
      </c>
      <c r="AY599" s="46">
        <f t="shared" si="29"/>
        <v>0</v>
      </c>
      <c r="AZ599" s="46">
        <f t="shared" si="30"/>
        <v>0</v>
      </c>
    </row>
    <row r="600" spans="3:52" ht="20.100000000000001" customHeight="1">
      <c r="C600" s="102"/>
      <c r="D600" s="3"/>
      <c r="E600" s="67"/>
      <c r="F600" s="3"/>
      <c r="G600" s="3"/>
      <c r="H600" s="3"/>
      <c r="J600" s="3"/>
      <c r="K600" s="3"/>
      <c r="L600" s="4"/>
      <c r="M600" s="3"/>
      <c r="O600" s="58"/>
      <c r="Q600" s="64"/>
      <c r="R600" s="45"/>
      <c r="S600" s="45"/>
      <c r="U600" s="64"/>
      <c r="V600" s="45"/>
      <c r="W600" s="64"/>
      <c r="X600" s="64"/>
      <c r="Y600" s="45"/>
      <c r="Z600" s="45"/>
      <c r="AA600" s="105"/>
      <c r="AB600" s="105"/>
      <c r="AC600" s="105"/>
      <c r="AD600" s="64"/>
      <c r="AG600" s="45"/>
      <c r="AH600" s="64"/>
      <c r="AI600" s="45"/>
      <c r="AJ600" s="105"/>
      <c r="AK600" s="105"/>
      <c r="AL600" s="60"/>
      <c r="AM600" s="60"/>
      <c r="AN600" s="60"/>
      <c r="AO600" s="60"/>
      <c r="AP600" s="60"/>
      <c r="AQ600" s="60"/>
      <c r="AR600" s="60"/>
      <c r="AS600" s="60"/>
      <c r="AT600" s="45"/>
      <c r="AU600" s="45"/>
      <c r="AW600" s="45"/>
      <c r="AX600" s="46">
        <f t="shared" si="28"/>
        <v>0</v>
      </c>
      <c r="AY600" s="46">
        <f t="shared" si="29"/>
        <v>0</v>
      </c>
      <c r="AZ600" s="46">
        <f t="shared" si="30"/>
        <v>0</v>
      </c>
    </row>
    <row r="601" spans="3:52" ht="20.100000000000001" customHeight="1">
      <c r="C601" s="102"/>
      <c r="D601" s="3"/>
      <c r="E601" s="12"/>
      <c r="F601" s="3"/>
      <c r="G601" s="3"/>
      <c r="H601" s="3"/>
      <c r="J601" s="3"/>
      <c r="K601" s="3"/>
      <c r="L601" s="4"/>
      <c r="M601" s="3"/>
      <c r="O601" s="58"/>
      <c r="Q601" s="64"/>
      <c r="R601" s="45"/>
      <c r="S601" s="45"/>
      <c r="U601" s="64"/>
      <c r="V601" s="45"/>
      <c r="W601" s="64"/>
      <c r="X601" s="64"/>
      <c r="Y601" s="45"/>
      <c r="Z601" s="45"/>
      <c r="AA601" s="105"/>
      <c r="AB601" s="105"/>
      <c r="AC601" s="105"/>
      <c r="AD601" s="64"/>
      <c r="AG601" s="45"/>
      <c r="AH601" s="64"/>
      <c r="AI601" s="45"/>
      <c r="AJ601" s="105"/>
      <c r="AK601" s="105"/>
      <c r="AL601" s="60"/>
      <c r="AM601" s="60"/>
      <c r="AN601" s="60"/>
      <c r="AO601" s="60"/>
      <c r="AP601" s="60"/>
      <c r="AQ601" s="60"/>
      <c r="AR601" s="60"/>
      <c r="AS601" s="60"/>
      <c r="AT601" s="45"/>
      <c r="AU601" s="45"/>
      <c r="AW601" s="45"/>
      <c r="AX601" s="46">
        <f t="shared" si="28"/>
        <v>0</v>
      </c>
      <c r="AY601" s="46">
        <f t="shared" si="29"/>
        <v>0</v>
      </c>
      <c r="AZ601" s="46">
        <f t="shared" si="30"/>
        <v>0</v>
      </c>
    </row>
    <row r="602" spans="3:52" ht="20.100000000000001" customHeight="1">
      <c r="C602" s="102"/>
      <c r="D602" s="3"/>
      <c r="E602" s="67"/>
      <c r="F602" s="3"/>
      <c r="G602" s="3"/>
      <c r="H602" s="3"/>
      <c r="J602" s="3"/>
      <c r="K602" s="3"/>
      <c r="L602" s="4"/>
      <c r="M602" s="3"/>
      <c r="O602" s="58"/>
      <c r="Q602" s="64"/>
      <c r="R602" s="45"/>
      <c r="S602" s="45"/>
      <c r="U602" s="64"/>
      <c r="V602" s="45"/>
      <c r="W602" s="64"/>
      <c r="X602" s="64"/>
      <c r="Y602" s="45"/>
      <c r="Z602" s="45"/>
      <c r="AA602" s="105"/>
      <c r="AB602" s="105"/>
      <c r="AC602" s="105"/>
      <c r="AD602" s="64"/>
      <c r="AG602" s="45"/>
      <c r="AH602" s="64"/>
      <c r="AI602" s="45"/>
      <c r="AJ602" s="105"/>
      <c r="AK602" s="105"/>
      <c r="AL602" s="60"/>
      <c r="AM602" s="60"/>
      <c r="AN602" s="60"/>
      <c r="AO602" s="60"/>
      <c r="AP602" s="60"/>
      <c r="AQ602" s="60"/>
      <c r="AR602" s="60"/>
      <c r="AS602" s="60"/>
      <c r="AT602" s="45"/>
      <c r="AU602" s="45"/>
      <c r="AW602" s="45"/>
      <c r="AX602" s="46">
        <f t="shared" si="28"/>
        <v>0</v>
      </c>
      <c r="AY602" s="46">
        <f t="shared" si="29"/>
        <v>0</v>
      </c>
      <c r="AZ602" s="46">
        <f t="shared" si="30"/>
        <v>0</v>
      </c>
    </row>
    <row r="603" spans="3:52" ht="20.100000000000001" customHeight="1">
      <c r="C603" s="102"/>
      <c r="D603" s="3"/>
      <c r="E603" s="12"/>
      <c r="F603" s="3"/>
      <c r="G603" s="3"/>
      <c r="H603" s="3"/>
      <c r="J603" s="3"/>
      <c r="K603" s="3"/>
      <c r="L603" s="4"/>
      <c r="M603" s="3"/>
      <c r="O603" s="58"/>
      <c r="Q603" s="64"/>
      <c r="R603" s="45"/>
      <c r="S603" s="45"/>
      <c r="U603" s="64"/>
      <c r="V603" s="45"/>
      <c r="W603" s="64"/>
      <c r="X603" s="64"/>
      <c r="Y603" s="45"/>
      <c r="Z603" s="45"/>
      <c r="AA603" s="105"/>
      <c r="AB603" s="105"/>
      <c r="AC603" s="105"/>
      <c r="AD603" s="64"/>
      <c r="AG603" s="45"/>
      <c r="AH603" s="64"/>
      <c r="AI603" s="45"/>
      <c r="AJ603" s="105"/>
      <c r="AK603" s="105"/>
      <c r="AL603" s="60"/>
      <c r="AM603" s="60"/>
      <c r="AN603" s="60"/>
      <c r="AO603" s="60"/>
      <c r="AP603" s="60"/>
      <c r="AQ603" s="60"/>
      <c r="AR603" s="60"/>
      <c r="AS603" s="60"/>
      <c r="AT603" s="45"/>
      <c r="AU603" s="45"/>
      <c r="AW603" s="45"/>
      <c r="AX603" s="46">
        <f t="shared" si="28"/>
        <v>0</v>
      </c>
      <c r="AY603" s="46">
        <f t="shared" si="29"/>
        <v>0</v>
      </c>
      <c r="AZ603" s="46">
        <f t="shared" si="30"/>
        <v>0</v>
      </c>
    </row>
    <row r="604" spans="3:52" ht="20.100000000000001" customHeight="1">
      <c r="C604" s="102"/>
      <c r="D604" s="3"/>
      <c r="E604" s="12"/>
      <c r="F604" s="3"/>
      <c r="G604" s="3"/>
      <c r="H604" s="3"/>
      <c r="J604" s="3"/>
      <c r="K604" s="3"/>
      <c r="L604" s="4"/>
      <c r="M604" s="3"/>
      <c r="O604" s="58"/>
      <c r="Q604" s="64"/>
      <c r="R604" s="45"/>
      <c r="S604" s="45"/>
      <c r="U604" s="64"/>
      <c r="V604" s="45"/>
      <c r="W604" s="64"/>
      <c r="X604" s="64"/>
      <c r="Y604" s="45"/>
      <c r="Z604" s="45"/>
      <c r="AA604" s="105"/>
      <c r="AB604" s="105"/>
      <c r="AC604" s="105"/>
      <c r="AD604" s="64"/>
      <c r="AG604" s="45"/>
      <c r="AH604" s="64"/>
      <c r="AI604" s="45"/>
      <c r="AJ604" s="105"/>
      <c r="AK604" s="105"/>
      <c r="AL604" s="60"/>
      <c r="AM604" s="60"/>
      <c r="AN604" s="60"/>
      <c r="AO604" s="60"/>
      <c r="AP604" s="60"/>
      <c r="AQ604" s="60"/>
      <c r="AR604" s="60"/>
      <c r="AS604" s="60"/>
      <c r="AT604" s="45"/>
      <c r="AU604" s="45"/>
      <c r="AW604" s="45"/>
      <c r="AX604" s="46">
        <f t="shared" si="28"/>
        <v>0</v>
      </c>
      <c r="AY604" s="46">
        <f t="shared" si="29"/>
        <v>0</v>
      </c>
      <c r="AZ604" s="46">
        <f t="shared" si="30"/>
        <v>0</v>
      </c>
    </row>
    <row r="605" spans="3:52" ht="20.100000000000001" customHeight="1">
      <c r="C605" s="102"/>
      <c r="D605" s="3"/>
      <c r="E605" s="12"/>
      <c r="F605" s="3"/>
      <c r="G605" s="3"/>
      <c r="H605" s="3"/>
      <c r="J605" s="3"/>
      <c r="K605" s="3"/>
      <c r="L605" s="4"/>
      <c r="M605" s="3"/>
      <c r="O605" s="58"/>
      <c r="Q605" s="64"/>
      <c r="R605" s="45"/>
      <c r="S605" s="45"/>
      <c r="U605" s="64"/>
      <c r="V605" s="45"/>
      <c r="W605" s="64"/>
      <c r="X605" s="64"/>
      <c r="Y605" s="45"/>
      <c r="Z605" s="45"/>
      <c r="AA605" s="105"/>
      <c r="AB605" s="105"/>
      <c r="AC605" s="105"/>
      <c r="AD605" s="64"/>
      <c r="AG605" s="45"/>
      <c r="AH605" s="64"/>
      <c r="AI605" s="45"/>
      <c r="AJ605" s="105"/>
      <c r="AK605" s="105"/>
      <c r="AL605" s="60"/>
      <c r="AM605" s="60"/>
      <c r="AN605" s="60"/>
      <c r="AO605" s="60"/>
      <c r="AP605" s="60"/>
      <c r="AQ605" s="60"/>
      <c r="AR605" s="60"/>
      <c r="AS605" s="60"/>
      <c r="AT605" s="45"/>
      <c r="AU605" s="45"/>
      <c r="AW605" s="45"/>
      <c r="AX605" s="46">
        <f t="shared" si="28"/>
        <v>0</v>
      </c>
      <c r="AY605" s="46">
        <f t="shared" si="29"/>
        <v>0</v>
      </c>
      <c r="AZ605" s="46">
        <f t="shared" si="30"/>
        <v>0</v>
      </c>
    </row>
    <row r="606" spans="3:52" ht="20.100000000000001" customHeight="1">
      <c r="C606" s="102"/>
      <c r="D606" s="3"/>
      <c r="E606" s="12"/>
      <c r="F606" s="3"/>
      <c r="G606" s="3"/>
      <c r="H606" s="3"/>
      <c r="J606" s="3"/>
      <c r="K606" s="3"/>
      <c r="L606" s="4"/>
      <c r="M606" s="3"/>
      <c r="O606" s="58"/>
      <c r="Q606" s="64"/>
      <c r="R606" s="45"/>
      <c r="S606" s="45"/>
      <c r="U606" s="64"/>
      <c r="V606" s="45"/>
      <c r="W606" s="64"/>
      <c r="X606" s="64"/>
      <c r="Y606" s="45"/>
      <c r="Z606" s="45"/>
      <c r="AA606" s="105"/>
      <c r="AB606" s="105"/>
      <c r="AC606" s="105"/>
      <c r="AD606" s="64"/>
      <c r="AH606" s="64"/>
      <c r="AI606" s="45"/>
      <c r="AJ606" s="105"/>
      <c r="AK606" s="105"/>
      <c r="AL606" s="60"/>
      <c r="AM606" s="60"/>
      <c r="AN606" s="60"/>
      <c r="AO606" s="60"/>
      <c r="AP606" s="60"/>
      <c r="AQ606" s="60"/>
      <c r="AR606" s="60"/>
      <c r="AS606" s="60"/>
      <c r="AT606" s="45"/>
      <c r="AU606" s="45"/>
      <c r="AW606" s="45"/>
      <c r="AX606" s="46">
        <f t="shared" si="28"/>
        <v>0</v>
      </c>
      <c r="AY606" s="46">
        <f t="shared" si="29"/>
        <v>0</v>
      </c>
      <c r="AZ606" s="46">
        <f t="shared" si="30"/>
        <v>0</v>
      </c>
    </row>
    <row r="607" spans="3:52" ht="20.100000000000001" customHeight="1">
      <c r="C607" s="102"/>
      <c r="D607" s="3"/>
      <c r="E607" s="12"/>
      <c r="F607" s="3"/>
      <c r="G607" s="3"/>
      <c r="H607" s="3"/>
      <c r="J607" s="3"/>
      <c r="K607" s="3"/>
      <c r="L607" s="4"/>
      <c r="M607" s="3"/>
      <c r="O607" s="58"/>
      <c r="Q607" s="64"/>
      <c r="R607" s="45"/>
      <c r="S607" s="45"/>
      <c r="U607" s="64"/>
      <c r="V607" s="45"/>
      <c r="W607" s="64"/>
      <c r="X607" s="64"/>
      <c r="Y607" s="45"/>
      <c r="Z607" s="45"/>
      <c r="AA607" s="105"/>
      <c r="AB607" s="105"/>
      <c r="AC607" s="105"/>
      <c r="AD607" s="64"/>
      <c r="AG607" s="45"/>
      <c r="AH607" s="64"/>
      <c r="AI607" s="45"/>
      <c r="AJ607" s="105"/>
      <c r="AK607" s="105"/>
      <c r="AL607" s="60"/>
      <c r="AM607" s="60"/>
      <c r="AN607" s="60"/>
      <c r="AO607" s="60"/>
      <c r="AP607" s="60"/>
      <c r="AQ607" s="60"/>
      <c r="AR607" s="60"/>
      <c r="AS607" s="60"/>
      <c r="AT607" s="45"/>
      <c r="AU607" s="45"/>
      <c r="AW607" s="45"/>
      <c r="AX607" s="46">
        <f t="shared" si="28"/>
        <v>0</v>
      </c>
      <c r="AY607" s="46">
        <f t="shared" si="29"/>
        <v>0</v>
      </c>
      <c r="AZ607" s="46">
        <f t="shared" si="30"/>
        <v>0</v>
      </c>
    </row>
    <row r="608" spans="3:52" ht="20.100000000000001" customHeight="1">
      <c r="C608" s="102"/>
      <c r="D608" s="3"/>
      <c r="E608" s="12"/>
      <c r="F608" s="3"/>
      <c r="G608" s="3"/>
      <c r="H608" s="3"/>
      <c r="J608" s="3"/>
      <c r="K608" s="3"/>
      <c r="L608" s="4"/>
      <c r="M608" s="3"/>
      <c r="O608" s="58"/>
      <c r="Q608" s="64"/>
      <c r="R608" s="45"/>
      <c r="S608" s="45"/>
      <c r="U608" s="64"/>
      <c r="V608" s="45"/>
      <c r="W608" s="64"/>
      <c r="X608" s="64"/>
      <c r="Y608" s="45"/>
      <c r="Z608" s="45"/>
      <c r="AA608" s="105"/>
      <c r="AB608" s="105"/>
      <c r="AC608" s="105"/>
      <c r="AD608" s="64"/>
      <c r="AG608" s="45"/>
      <c r="AH608" s="64"/>
      <c r="AI608" s="45"/>
      <c r="AJ608" s="105"/>
      <c r="AK608" s="105"/>
      <c r="AL608" s="60"/>
      <c r="AM608" s="60"/>
      <c r="AN608" s="60"/>
      <c r="AO608" s="60"/>
      <c r="AP608" s="60"/>
      <c r="AQ608" s="60"/>
      <c r="AR608" s="60"/>
      <c r="AS608" s="60"/>
      <c r="AT608" s="45"/>
      <c r="AU608" s="45"/>
      <c r="AW608" s="45"/>
      <c r="AX608" s="46">
        <f t="shared" si="28"/>
        <v>0</v>
      </c>
      <c r="AY608" s="46">
        <f t="shared" si="29"/>
        <v>0</v>
      </c>
      <c r="AZ608" s="46">
        <f t="shared" si="30"/>
        <v>0</v>
      </c>
    </row>
    <row r="609" spans="3:52" ht="20.100000000000001" customHeight="1">
      <c r="C609" s="102"/>
      <c r="D609" s="3"/>
      <c r="E609" s="12"/>
      <c r="F609" s="3"/>
      <c r="G609" s="3"/>
      <c r="H609" s="3"/>
      <c r="J609" s="3"/>
      <c r="K609" s="3"/>
      <c r="L609" s="4"/>
      <c r="M609" s="3"/>
      <c r="O609" s="58"/>
      <c r="Q609" s="64"/>
      <c r="R609" s="45"/>
      <c r="S609" s="45"/>
      <c r="U609" s="64"/>
      <c r="V609" s="45"/>
      <c r="W609" s="64"/>
      <c r="X609" s="64"/>
      <c r="Y609" s="45"/>
      <c r="Z609" s="45"/>
      <c r="AA609" s="105"/>
      <c r="AB609" s="105"/>
      <c r="AC609" s="105"/>
      <c r="AD609" s="64"/>
      <c r="AG609" s="45"/>
      <c r="AH609" s="64"/>
      <c r="AI609" s="45"/>
      <c r="AJ609" s="105"/>
      <c r="AK609" s="105"/>
      <c r="AL609" s="60"/>
      <c r="AM609" s="60"/>
      <c r="AN609" s="60"/>
      <c r="AO609" s="60"/>
      <c r="AP609" s="60"/>
      <c r="AQ609" s="60"/>
      <c r="AR609" s="60"/>
      <c r="AS609" s="60"/>
      <c r="AT609" s="45"/>
      <c r="AU609" s="45"/>
      <c r="AW609" s="45"/>
      <c r="AX609" s="46">
        <f t="shared" si="28"/>
        <v>0</v>
      </c>
      <c r="AY609" s="46">
        <f t="shared" si="29"/>
        <v>0</v>
      </c>
      <c r="AZ609" s="46">
        <f t="shared" si="30"/>
        <v>0</v>
      </c>
    </row>
    <row r="610" spans="3:52" ht="20.100000000000001" customHeight="1">
      <c r="C610" s="102"/>
      <c r="D610" s="3"/>
      <c r="E610" s="12"/>
      <c r="F610" s="3"/>
      <c r="G610" s="3"/>
      <c r="H610" s="3"/>
      <c r="J610" s="3"/>
      <c r="K610" s="3"/>
      <c r="L610" s="4"/>
      <c r="M610" s="3"/>
      <c r="O610" s="58"/>
      <c r="Q610" s="64"/>
      <c r="R610" s="45"/>
      <c r="S610" s="45"/>
      <c r="U610" s="64"/>
      <c r="V610" s="45"/>
      <c r="W610" s="64"/>
      <c r="X610" s="64"/>
      <c r="Y610" s="45"/>
      <c r="Z610" s="45"/>
      <c r="AA610" s="105"/>
      <c r="AB610" s="105"/>
      <c r="AC610" s="105"/>
      <c r="AD610" s="64"/>
      <c r="AG610" s="45"/>
      <c r="AH610" s="64"/>
      <c r="AI610" s="45"/>
      <c r="AJ610" s="105"/>
      <c r="AK610" s="105"/>
      <c r="AL610" s="60"/>
      <c r="AM610" s="60"/>
      <c r="AN610" s="60"/>
      <c r="AO610" s="60"/>
      <c r="AP610" s="60"/>
      <c r="AQ610" s="60"/>
      <c r="AR610" s="60"/>
      <c r="AS610" s="60"/>
      <c r="AT610" s="45"/>
      <c r="AU610" s="45"/>
      <c r="AW610" s="45"/>
      <c r="AX610" s="46">
        <f t="shared" si="28"/>
        <v>0</v>
      </c>
      <c r="AY610" s="46">
        <f t="shared" si="29"/>
        <v>0</v>
      </c>
      <c r="AZ610" s="46">
        <f t="shared" si="30"/>
        <v>0</v>
      </c>
    </row>
    <row r="611" spans="3:52" ht="20.100000000000001" customHeight="1">
      <c r="C611" s="102"/>
      <c r="D611" s="3"/>
      <c r="E611" s="12"/>
      <c r="F611" s="3"/>
      <c r="G611" s="3"/>
      <c r="H611" s="3"/>
      <c r="J611" s="3"/>
      <c r="K611" s="3"/>
      <c r="L611" s="4"/>
      <c r="M611" s="3"/>
      <c r="O611" s="58"/>
      <c r="Q611" s="64"/>
      <c r="R611" s="45"/>
      <c r="S611" s="45"/>
      <c r="U611" s="64"/>
      <c r="V611" s="45"/>
      <c r="W611" s="64"/>
      <c r="X611" s="64"/>
      <c r="Y611" s="45"/>
      <c r="Z611" s="45"/>
      <c r="AA611" s="105"/>
      <c r="AB611" s="105"/>
      <c r="AC611" s="105"/>
      <c r="AD611" s="64"/>
      <c r="AG611" s="45"/>
      <c r="AH611" s="64"/>
      <c r="AI611" s="45"/>
      <c r="AJ611" s="105"/>
      <c r="AK611" s="105"/>
      <c r="AL611" s="60"/>
      <c r="AM611" s="60"/>
      <c r="AN611" s="60"/>
      <c r="AO611" s="60"/>
      <c r="AP611" s="60"/>
      <c r="AQ611" s="60"/>
      <c r="AR611" s="60"/>
      <c r="AS611" s="60"/>
      <c r="AT611" s="45"/>
      <c r="AU611" s="45"/>
      <c r="AW611" s="45"/>
      <c r="AX611" s="46">
        <f t="shared" si="28"/>
        <v>0</v>
      </c>
      <c r="AY611" s="46">
        <f t="shared" si="29"/>
        <v>0</v>
      </c>
      <c r="AZ611" s="46">
        <f t="shared" si="30"/>
        <v>0</v>
      </c>
    </row>
    <row r="612" spans="3:52" ht="20.100000000000001" customHeight="1">
      <c r="C612" s="102"/>
      <c r="D612" s="3"/>
      <c r="E612" s="67"/>
      <c r="F612" s="3"/>
      <c r="G612" s="3"/>
      <c r="H612" s="3"/>
      <c r="J612" s="3"/>
      <c r="K612" s="3"/>
      <c r="L612" s="4"/>
      <c r="M612" s="3"/>
      <c r="O612" s="58"/>
      <c r="Q612" s="64"/>
      <c r="R612" s="45"/>
      <c r="S612" s="45"/>
      <c r="U612" s="64"/>
      <c r="V612" s="45"/>
      <c r="W612" s="64"/>
      <c r="X612" s="64"/>
      <c r="Y612" s="45"/>
      <c r="Z612" s="45"/>
      <c r="AA612" s="105"/>
      <c r="AB612" s="105"/>
      <c r="AC612" s="105"/>
      <c r="AD612" s="64"/>
      <c r="AG612" s="45"/>
      <c r="AH612" s="64"/>
      <c r="AI612" s="45"/>
      <c r="AJ612" s="105"/>
      <c r="AK612" s="105"/>
      <c r="AL612" s="60"/>
      <c r="AM612" s="60"/>
      <c r="AN612" s="60"/>
      <c r="AO612" s="60"/>
      <c r="AP612" s="60"/>
      <c r="AQ612" s="60"/>
      <c r="AR612" s="60"/>
      <c r="AS612" s="60"/>
      <c r="AT612" s="45"/>
      <c r="AU612" s="45"/>
      <c r="AW612" s="45"/>
      <c r="AX612" s="46">
        <f t="shared" si="28"/>
        <v>0</v>
      </c>
      <c r="AY612" s="46">
        <f t="shared" si="29"/>
        <v>0</v>
      </c>
      <c r="AZ612" s="46">
        <f t="shared" si="30"/>
        <v>0</v>
      </c>
    </row>
    <row r="613" spans="3:52" ht="20.100000000000001" customHeight="1">
      <c r="C613" s="102"/>
      <c r="D613" s="3"/>
      <c r="E613" s="12"/>
      <c r="F613" s="3"/>
      <c r="G613" s="3"/>
      <c r="H613" s="3"/>
      <c r="J613" s="3"/>
      <c r="K613" s="3"/>
      <c r="L613" s="4"/>
      <c r="M613" s="3"/>
      <c r="O613" s="58"/>
      <c r="Q613" s="64"/>
      <c r="R613" s="45"/>
      <c r="S613" s="45"/>
      <c r="U613" s="64"/>
      <c r="V613" s="45"/>
      <c r="W613" s="64"/>
      <c r="X613" s="64"/>
      <c r="Y613" s="45"/>
      <c r="Z613" s="45"/>
      <c r="AA613" s="105"/>
      <c r="AB613" s="105"/>
      <c r="AC613" s="105"/>
      <c r="AD613" s="64"/>
      <c r="AG613" s="45"/>
      <c r="AH613" s="64"/>
      <c r="AI613" s="45"/>
      <c r="AJ613" s="105"/>
      <c r="AK613" s="105"/>
      <c r="AL613" s="60"/>
      <c r="AM613" s="60"/>
      <c r="AN613" s="60"/>
      <c r="AO613" s="60"/>
      <c r="AP613" s="60"/>
      <c r="AQ613" s="60"/>
      <c r="AR613" s="60"/>
      <c r="AS613" s="60"/>
      <c r="AT613" s="45"/>
      <c r="AU613" s="45"/>
      <c r="AW613" s="45"/>
      <c r="AX613" s="46">
        <f t="shared" si="28"/>
        <v>0</v>
      </c>
      <c r="AY613" s="46">
        <f t="shared" si="29"/>
        <v>0</v>
      </c>
      <c r="AZ613" s="46">
        <f t="shared" si="30"/>
        <v>0</v>
      </c>
    </row>
    <row r="614" spans="3:52" ht="20.100000000000001" customHeight="1">
      <c r="C614" s="102"/>
      <c r="D614" s="3"/>
      <c r="E614" s="12"/>
      <c r="F614" s="3"/>
      <c r="G614" s="3"/>
      <c r="H614" s="3"/>
      <c r="J614" s="3"/>
      <c r="K614" s="3"/>
      <c r="L614" s="4"/>
      <c r="M614" s="3"/>
      <c r="O614" s="58"/>
      <c r="Q614" s="64"/>
      <c r="R614" s="45"/>
      <c r="S614" s="45"/>
      <c r="U614" s="64"/>
      <c r="V614" s="45"/>
      <c r="W614" s="64"/>
      <c r="X614" s="64"/>
      <c r="Y614" s="45"/>
      <c r="Z614" s="45"/>
      <c r="AA614" s="105"/>
      <c r="AB614" s="105"/>
      <c r="AC614" s="105"/>
      <c r="AD614" s="64"/>
      <c r="AG614" s="45"/>
      <c r="AH614" s="64"/>
      <c r="AI614" s="45"/>
      <c r="AJ614" s="105"/>
      <c r="AK614" s="105"/>
      <c r="AL614" s="60"/>
      <c r="AM614" s="60"/>
      <c r="AN614" s="60"/>
      <c r="AO614" s="60"/>
      <c r="AP614" s="60"/>
      <c r="AQ614" s="60"/>
      <c r="AR614" s="60"/>
      <c r="AS614" s="60"/>
      <c r="AT614" s="45"/>
      <c r="AU614" s="45"/>
      <c r="AW614" s="45"/>
      <c r="AX614" s="46">
        <f t="shared" si="28"/>
        <v>0</v>
      </c>
      <c r="AY614" s="46">
        <f t="shared" si="29"/>
        <v>0</v>
      </c>
      <c r="AZ614" s="46">
        <f t="shared" si="30"/>
        <v>0</v>
      </c>
    </row>
    <row r="615" spans="3:52" ht="20.100000000000001" customHeight="1">
      <c r="C615" s="102"/>
      <c r="D615" s="3"/>
      <c r="E615" s="12"/>
      <c r="F615" s="3"/>
      <c r="G615" s="3"/>
      <c r="H615" s="3"/>
      <c r="J615" s="3"/>
      <c r="K615" s="3"/>
      <c r="L615" s="4"/>
      <c r="M615" s="3"/>
      <c r="O615" s="58"/>
      <c r="Q615" s="64"/>
      <c r="R615" s="45"/>
      <c r="S615" s="45"/>
      <c r="U615" s="64"/>
      <c r="V615" s="45"/>
      <c r="W615" s="64"/>
      <c r="X615" s="64"/>
      <c r="Y615" s="45"/>
      <c r="Z615" s="45"/>
      <c r="AA615" s="105"/>
      <c r="AB615" s="105"/>
      <c r="AC615" s="105"/>
      <c r="AD615" s="64"/>
      <c r="AG615" s="45"/>
      <c r="AH615" s="64"/>
      <c r="AI615" s="45"/>
      <c r="AJ615" s="105"/>
      <c r="AK615" s="105"/>
      <c r="AL615" s="60"/>
      <c r="AM615" s="60"/>
      <c r="AN615" s="60"/>
      <c r="AO615" s="60"/>
      <c r="AP615" s="60"/>
      <c r="AQ615" s="60"/>
      <c r="AR615" s="60"/>
      <c r="AS615" s="60"/>
      <c r="AT615" s="45"/>
      <c r="AU615" s="45"/>
      <c r="AW615" s="45"/>
      <c r="AX615" s="46">
        <f t="shared" si="28"/>
        <v>0</v>
      </c>
      <c r="AY615" s="46">
        <f t="shared" si="29"/>
        <v>0</v>
      </c>
      <c r="AZ615" s="46">
        <f t="shared" si="30"/>
        <v>0</v>
      </c>
    </row>
    <row r="616" spans="3:52" ht="20.100000000000001" customHeight="1">
      <c r="C616" s="102"/>
      <c r="D616" s="3"/>
      <c r="E616" s="12"/>
      <c r="F616" s="3"/>
      <c r="G616" s="3"/>
      <c r="H616" s="3"/>
      <c r="J616" s="3"/>
      <c r="K616" s="3"/>
      <c r="L616" s="4"/>
      <c r="M616" s="3"/>
      <c r="O616" s="58"/>
      <c r="Q616" s="64"/>
      <c r="R616" s="45"/>
      <c r="S616" s="45"/>
      <c r="U616" s="64"/>
      <c r="V616" s="45"/>
      <c r="W616" s="64"/>
      <c r="X616" s="64"/>
      <c r="Y616" s="45"/>
      <c r="Z616" s="45"/>
      <c r="AA616" s="105"/>
      <c r="AB616" s="105"/>
      <c r="AC616" s="105"/>
      <c r="AD616" s="64"/>
      <c r="AG616" s="45"/>
      <c r="AH616" s="64"/>
      <c r="AI616" s="45"/>
      <c r="AJ616" s="105"/>
      <c r="AK616" s="105"/>
      <c r="AL616" s="60"/>
      <c r="AM616" s="60"/>
      <c r="AN616" s="60"/>
      <c r="AO616" s="60"/>
      <c r="AP616" s="60"/>
      <c r="AQ616" s="60"/>
      <c r="AR616" s="60"/>
      <c r="AS616" s="60"/>
      <c r="AT616" s="45"/>
      <c r="AU616" s="45"/>
      <c r="AW616" s="45"/>
      <c r="AX616" s="46">
        <f t="shared" si="28"/>
        <v>0</v>
      </c>
      <c r="AY616" s="46">
        <f t="shared" si="29"/>
        <v>0</v>
      </c>
      <c r="AZ616" s="46">
        <f t="shared" si="30"/>
        <v>0</v>
      </c>
    </row>
    <row r="617" spans="3:52" ht="20.100000000000001" customHeight="1">
      <c r="C617" s="102"/>
      <c r="D617" s="3"/>
      <c r="E617" s="12"/>
      <c r="F617" s="3"/>
      <c r="G617" s="3"/>
      <c r="H617" s="3"/>
      <c r="J617" s="3"/>
      <c r="K617" s="3"/>
      <c r="L617" s="4"/>
      <c r="M617" s="3"/>
      <c r="O617" s="58"/>
      <c r="Q617" s="64"/>
      <c r="R617" s="45"/>
      <c r="S617" s="45"/>
      <c r="U617" s="64"/>
      <c r="V617" s="45"/>
      <c r="W617" s="64"/>
      <c r="X617" s="64"/>
      <c r="Y617" s="45"/>
      <c r="Z617" s="45"/>
      <c r="AA617" s="105"/>
      <c r="AB617" s="105"/>
      <c r="AC617" s="105"/>
      <c r="AD617" s="64"/>
      <c r="AG617" s="45"/>
      <c r="AH617" s="64"/>
      <c r="AI617" s="45"/>
      <c r="AJ617" s="105"/>
      <c r="AK617" s="105"/>
      <c r="AL617" s="60"/>
      <c r="AM617" s="60"/>
      <c r="AN617" s="60"/>
      <c r="AO617" s="60"/>
      <c r="AP617" s="60"/>
      <c r="AQ617" s="60"/>
      <c r="AR617" s="60"/>
      <c r="AS617" s="60"/>
      <c r="AT617" s="45"/>
      <c r="AU617" s="45"/>
      <c r="AW617" s="45"/>
      <c r="AX617" s="46">
        <f t="shared" si="28"/>
        <v>0</v>
      </c>
      <c r="AY617" s="46">
        <f t="shared" si="29"/>
        <v>0</v>
      </c>
      <c r="AZ617" s="46">
        <f t="shared" si="30"/>
        <v>0</v>
      </c>
    </row>
    <row r="618" spans="3:52" ht="20.100000000000001" customHeight="1">
      <c r="C618" s="102"/>
      <c r="D618" s="3"/>
      <c r="E618" s="12"/>
      <c r="F618" s="3"/>
      <c r="G618" s="3"/>
      <c r="H618" s="3"/>
      <c r="J618" s="3"/>
      <c r="K618" s="3"/>
      <c r="L618" s="4"/>
      <c r="M618" s="3"/>
      <c r="O618" s="58"/>
      <c r="Q618" s="64"/>
      <c r="R618" s="45"/>
      <c r="S618" s="45"/>
      <c r="U618" s="64"/>
      <c r="V618" s="45"/>
      <c r="W618" s="64"/>
      <c r="X618" s="64"/>
      <c r="Y618" s="45"/>
      <c r="Z618" s="45"/>
      <c r="AA618" s="105"/>
      <c r="AB618" s="105"/>
      <c r="AC618" s="105"/>
      <c r="AD618" s="64"/>
      <c r="AH618" s="64"/>
      <c r="AI618" s="45"/>
      <c r="AJ618" s="105"/>
      <c r="AK618" s="105"/>
      <c r="AL618" s="60"/>
      <c r="AM618" s="60"/>
      <c r="AN618" s="60"/>
      <c r="AO618" s="60"/>
      <c r="AP618" s="60"/>
      <c r="AQ618" s="60"/>
      <c r="AR618" s="60"/>
      <c r="AS618" s="60"/>
      <c r="AT618" s="45"/>
      <c r="AU618" s="45"/>
      <c r="AW618" s="45"/>
      <c r="AX618" s="46">
        <f t="shared" si="28"/>
        <v>0</v>
      </c>
      <c r="AY618" s="46">
        <f t="shared" si="29"/>
        <v>0</v>
      </c>
      <c r="AZ618" s="46">
        <f t="shared" si="30"/>
        <v>0</v>
      </c>
    </row>
    <row r="619" spans="3:52" ht="20.100000000000001" customHeight="1">
      <c r="C619" s="102"/>
      <c r="D619" s="3"/>
      <c r="E619" s="12"/>
      <c r="F619" s="3"/>
      <c r="G619" s="3"/>
      <c r="H619" s="3"/>
      <c r="J619" s="3"/>
      <c r="K619" s="3"/>
      <c r="L619" s="4"/>
      <c r="M619" s="3"/>
      <c r="O619" s="58"/>
      <c r="Q619" s="64"/>
      <c r="R619" s="45"/>
      <c r="S619" s="45"/>
      <c r="U619" s="64"/>
      <c r="V619" s="45"/>
      <c r="W619" s="64"/>
      <c r="X619" s="64"/>
      <c r="Y619" s="45"/>
      <c r="Z619" s="45"/>
      <c r="AA619" s="105"/>
      <c r="AB619" s="105"/>
      <c r="AC619" s="105"/>
      <c r="AD619" s="64"/>
      <c r="AG619" s="45"/>
      <c r="AH619" s="64"/>
      <c r="AI619" s="45"/>
      <c r="AJ619" s="105"/>
      <c r="AK619" s="105"/>
      <c r="AL619" s="60"/>
      <c r="AM619" s="60"/>
      <c r="AN619" s="60"/>
      <c r="AO619" s="60"/>
      <c r="AP619" s="60"/>
      <c r="AQ619" s="60"/>
      <c r="AR619" s="60"/>
      <c r="AS619" s="60"/>
      <c r="AT619" s="45"/>
      <c r="AU619" s="45"/>
      <c r="AW619" s="45"/>
      <c r="AX619" s="46">
        <f t="shared" si="28"/>
        <v>0</v>
      </c>
      <c r="AY619" s="46">
        <f t="shared" si="29"/>
        <v>0</v>
      </c>
      <c r="AZ619" s="46">
        <f t="shared" si="30"/>
        <v>0</v>
      </c>
    </row>
    <row r="620" spans="3:52" ht="20.100000000000001" customHeight="1">
      <c r="C620" s="102"/>
      <c r="D620" s="3"/>
      <c r="E620" s="12"/>
      <c r="F620" s="3"/>
      <c r="G620" s="3"/>
      <c r="H620" s="3"/>
      <c r="J620" s="3"/>
      <c r="K620" s="3"/>
      <c r="L620" s="4"/>
      <c r="M620" s="3"/>
      <c r="O620" s="58"/>
      <c r="Q620" s="64"/>
      <c r="R620" s="45"/>
      <c r="S620" s="45"/>
      <c r="U620" s="64"/>
      <c r="V620" s="45"/>
      <c r="W620" s="64"/>
      <c r="X620" s="64"/>
      <c r="Y620" s="45"/>
      <c r="Z620" s="45"/>
      <c r="AA620" s="105"/>
      <c r="AB620" s="105"/>
      <c r="AC620" s="105"/>
      <c r="AD620" s="64"/>
      <c r="AG620" s="45"/>
      <c r="AH620" s="64"/>
      <c r="AI620" s="45"/>
      <c r="AJ620" s="105"/>
      <c r="AK620" s="105"/>
      <c r="AL620" s="60"/>
      <c r="AM620" s="60"/>
      <c r="AN620" s="60"/>
      <c r="AO620" s="60"/>
      <c r="AP620" s="60"/>
      <c r="AQ620" s="60"/>
      <c r="AR620" s="60"/>
      <c r="AS620" s="60"/>
      <c r="AT620" s="45"/>
      <c r="AU620" s="45"/>
      <c r="AW620" s="45"/>
      <c r="AX620" s="46">
        <f t="shared" si="28"/>
        <v>0</v>
      </c>
      <c r="AY620" s="46">
        <f t="shared" si="29"/>
        <v>0</v>
      </c>
      <c r="AZ620" s="46">
        <f t="shared" si="30"/>
        <v>0</v>
      </c>
    </row>
    <row r="621" spans="3:52" ht="20.100000000000001" customHeight="1">
      <c r="C621" s="102"/>
      <c r="D621" s="3"/>
      <c r="E621" s="12"/>
      <c r="F621" s="3"/>
      <c r="G621" s="3"/>
      <c r="H621" s="3"/>
      <c r="J621" s="3"/>
      <c r="K621" s="3"/>
      <c r="L621" s="4"/>
      <c r="M621" s="3"/>
      <c r="O621" s="58"/>
      <c r="Q621" s="64"/>
      <c r="R621" s="45"/>
      <c r="S621" s="45"/>
      <c r="U621" s="64"/>
      <c r="V621" s="45"/>
      <c r="W621" s="64"/>
      <c r="X621" s="64"/>
      <c r="Y621" s="45"/>
      <c r="Z621" s="45"/>
      <c r="AA621" s="105"/>
      <c r="AB621" s="105"/>
      <c r="AC621" s="105"/>
      <c r="AD621" s="64"/>
      <c r="AG621" s="45"/>
      <c r="AH621" s="64"/>
      <c r="AI621" s="45"/>
      <c r="AJ621" s="105"/>
      <c r="AK621" s="105"/>
      <c r="AL621" s="60"/>
      <c r="AM621" s="60"/>
      <c r="AN621" s="60"/>
      <c r="AO621" s="60"/>
      <c r="AP621" s="60"/>
      <c r="AQ621" s="60"/>
      <c r="AR621" s="60"/>
      <c r="AS621" s="60"/>
      <c r="AT621" s="45"/>
      <c r="AU621" s="45"/>
      <c r="AW621" s="45"/>
      <c r="AX621" s="46">
        <f t="shared" si="28"/>
        <v>0</v>
      </c>
      <c r="AY621" s="46">
        <f t="shared" si="29"/>
        <v>0</v>
      </c>
      <c r="AZ621" s="46">
        <f t="shared" si="30"/>
        <v>0</v>
      </c>
    </row>
    <row r="622" spans="3:52" ht="20.100000000000001" customHeight="1">
      <c r="C622" s="102"/>
      <c r="D622" s="3"/>
      <c r="E622" s="12"/>
      <c r="F622" s="3"/>
      <c r="G622" s="3"/>
      <c r="H622" s="3"/>
      <c r="J622" s="3"/>
      <c r="K622" s="3"/>
      <c r="L622" s="4"/>
      <c r="M622" s="3"/>
      <c r="O622" s="58"/>
      <c r="Q622" s="64"/>
      <c r="R622" s="45"/>
      <c r="S622" s="45"/>
      <c r="U622" s="64"/>
      <c r="V622" s="45"/>
      <c r="W622" s="64"/>
      <c r="X622" s="64"/>
      <c r="Y622" s="45"/>
      <c r="Z622" s="45"/>
      <c r="AA622" s="105"/>
      <c r="AB622" s="105"/>
      <c r="AC622" s="105"/>
      <c r="AD622" s="64"/>
      <c r="AG622" s="45"/>
      <c r="AH622" s="64"/>
      <c r="AI622" s="45"/>
      <c r="AJ622" s="105"/>
      <c r="AK622" s="105"/>
      <c r="AL622" s="60"/>
      <c r="AM622" s="60"/>
      <c r="AN622" s="60"/>
      <c r="AO622" s="60"/>
      <c r="AP622" s="60"/>
      <c r="AQ622" s="60"/>
      <c r="AR622" s="60"/>
      <c r="AS622" s="60"/>
      <c r="AT622" s="45"/>
      <c r="AU622" s="45"/>
      <c r="AW622" s="45"/>
      <c r="AX622" s="46">
        <f t="shared" si="28"/>
        <v>0</v>
      </c>
      <c r="AY622" s="46">
        <f t="shared" si="29"/>
        <v>0</v>
      </c>
      <c r="AZ622" s="46">
        <f t="shared" si="30"/>
        <v>0</v>
      </c>
    </row>
    <row r="623" spans="3:52" ht="20.100000000000001" customHeight="1">
      <c r="C623" s="102"/>
      <c r="D623" s="3"/>
      <c r="E623" s="12"/>
      <c r="F623" s="3"/>
      <c r="G623" s="3"/>
      <c r="H623" s="3"/>
      <c r="J623" s="3"/>
      <c r="K623" s="3"/>
      <c r="L623" s="4"/>
      <c r="M623" s="3"/>
      <c r="O623" s="58"/>
      <c r="Q623" s="64"/>
      <c r="R623" s="45"/>
      <c r="S623" s="45"/>
      <c r="U623" s="64"/>
      <c r="V623" s="45"/>
      <c r="W623" s="64"/>
      <c r="X623" s="64"/>
      <c r="Y623" s="45"/>
      <c r="Z623" s="45"/>
      <c r="AA623" s="105"/>
      <c r="AB623" s="105"/>
      <c r="AC623" s="105"/>
      <c r="AD623" s="64"/>
      <c r="AG623" s="45"/>
      <c r="AH623" s="64"/>
      <c r="AI623" s="45"/>
      <c r="AJ623" s="105"/>
      <c r="AK623" s="105"/>
      <c r="AL623" s="60"/>
      <c r="AM623" s="60"/>
      <c r="AN623" s="60"/>
      <c r="AO623" s="60"/>
      <c r="AP623" s="60"/>
      <c r="AQ623" s="60"/>
      <c r="AR623" s="60"/>
      <c r="AS623" s="60"/>
      <c r="AT623" s="45"/>
      <c r="AU623" s="45"/>
      <c r="AW623" s="45"/>
      <c r="AX623" s="46">
        <f t="shared" si="28"/>
        <v>0</v>
      </c>
      <c r="AY623" s="46">
        <f t="shared" si="29"/>
        <v>0</v>
      </c>
      <c r="AZ623" s="46">
        <f t="shared" si="30"/>
        <v>0</v>
      </c>
    </row>
    <row r="624" spans="3:52" ht="20.100000000000001" customHeight="1">
      <c r="C624" s="102"/>
      <c r="D624" s="3"/>
      <c r="E624" s="67"/>
      <c r="F624" s="3"/>
      <c r="G624" s="3"/>
      <c r="H624" s="3"/>
      <c r="J624" s="3"/>
      <c r="K624" s="3"/>
      <c r="L624" s="4"/>
      <c r="M624" s="3"/>
      <c r="O624" s="58"/>
      <c r="Q624" s="64"/>
      <c r="R624" s="45"/>
      <c r="S624" s="45"/>
      <c r="U624" s="64"/>
      <c r="V624" s="45"/>
      <c r="W624" s="64"/>
      <c r="X624" s="64"/>
      <c r="Y624" s="45"/>
      <c r="Z624" s="45"/>
      <c r="AA624" s="105"/>
      <c r="AB624" s="105"/>
      <c r="AC624" s="105"/>
      <c r="AD624" s="64"/>
      <c r="AG624" s="45"/>
      <c r="AH624" s="64"/>
      <c r="AI624" s="45"/>
      <c r="AJ624" s="105"/>
      <c r="AK624" s="105"/>
      <c r="AL624" s="60"/>
      <c r="AM624" s="60"/>
      <c r="AN624" s="60"/>
      <c r="AO624" s="60"/>
      <c r="AP624" s="60"/>
      <c r="AQ624" s="60"/>
      <c r="AR624" s="60"/>
      <c r="AS624" s="60"/>
      <c r="AT624" s="45"/>
      <c r="AU624" s="45"/>
      <c r="AW624" s="45"/>
      <c r="AX624" s="46">
        <f t="shared" si="28"/>
        <v>0</v>
      </c>
      <c r="AY624" s="46">
        <f t="shared" si="29"/>
        <v>0</v>
      </c>
      <c r="AZ624" s="46">
        <f t="shared" si="30"/>
        <v>0</v>
      </c>
    </row>
    <row r="625" spans="3:52" ht="20.100000000000001" customHeight="1">
      <c r="C625" s="102"/>
      <c r="D625" s="3"/>
      <c r="E625" s="12"/>
      <c r="F625" s="3"/>
      <c r="G625" s="3"/>
      <c r="H625" s="3"/>
      <c r="J625" s="3"/>
      <c r="K625" s="3"/>
      <c r="L625" s="4"/>
      <c r="M625" s="3"/>
      <c r="O625" s="58"/>
      <c r="Q625" s="64"/>
      <c r="R625" s="45"/>
      <c r="S625" s="45"/>
      <c r="U625" s="64"/>
      <c r="V625" s="45"/>
      <c r="W625" s="64"/>
      <c r="X625" s="64"/>
      <c r="Y625" s="45"/>
      <c r="Z625" s="45"/>
      <c r="AA625" s="105"/>
      <c r="AB625" s="105"/>
      <c r="AC625" s="105"/>
      <c r="AD625" s="64"/>
      <c r="AG625" s="45"/>
      <c r="AH625" s="64"/>
      <c r="AI625" s="45"/>
      <c r="AJ625" s="105"/>
      <c r="AK625" s="105"/>
      <c r="AL625" s="60"/>
      <c r="AM625" s="60"/>
      <c r="AN625" s="60"/>
      <c r="AO625" s="60"/>
      <c r="AP625" s="60"/>
      <c r="AQ625" s="60"/>
      <c r="AR625" s="60"/>
      <c r="AS625" s="60"/>
      <c r="AT625" s="45"/>
      <c r="AU625" s="45"/>
      <c r="AW625" s="45"/>
      <c r="AX625" s="46">
        <f t="shared" si="28"/>
        <v>0</v>
      </c>
      <c r="AY625" s="46">
        <f t="shared" si="29"/>
        <v>0</v>
      </c>
      <c r="AZ625" s="46">
        <f t="shared" si="30"/>
        <v>0</v>
      </c>
    </row>
    <row r="626" spans="3:52" ht="20.100000000000001" customHeight="1">
      <c r="C626" s="102"/>
      <c r="D626" s="3"/>
      <c r="E626" s="12"/>
      <c r="F626" s="3"/>
      <c r="G626" s="3"/>
      <c r="H626" s="3"/>
      <c r="J626" s="3"/>
      <c r="K626" s="3"/>
      <c r="L626" s="4"/>
      <c r="M626" s="3"/>
      <c r="O626" s="58"/>
      <c r="Q626" s="64"/>
      <c r="R626" s="45"/>
      <c r="S626" s="45"/>
      <c r="U626" s="64"/>
      <c r="V626" s="45"/>
      <c r="W626" s="64"/>
      <c r="X626" s="64"/>
      <c r="Y626" s="45"/>
      <c r="Z626" s="45"/>
      <c r="AA626" s="105"/>
      <c r="AB626" s="105"/>
      <c r="AC626" s="105"/>
      <c r="AD626" s="64"/>
      <c r="AG626" s="45"/>
      <c r="AH626" s="64"/>
      <c r="AI626" s="45"/>
      <c r="AJ626" s="105"/>
      <c r="AK626" s="105"/>
      <c r="AL626" s="60"/>
      <c r="AM626" s="60"/>
      <c r="AN626" s="60"/>
      <c r="AO626" s="60"/>
      <c r="AP626" s="60"/>
      <c r="AQ626" s="60"/>
      <c r="AR626" s="60"/>
      <c r="AS626" s="60"/>
      <c r="AT626" s="45"/>
      <c r="AU626" s="45"/>
      <c r="AW626" s="45"/>
      <c r="AX626" s="46">
        <f t="shared" si="28"/>
        <v>0</v>
      </c>
      <c r="AY626" s="46">
        <f t="shared" si="29"/>
        <v>0</v>
      </c>
      <c r="AZ626" s="46">
        <f t="shared" si="30"/>
        <v>0</v>
      </c>
    </row>
    <row r="627" spans="3:52" ht="20.100000000000001" customHeight="1">
      <c r="C627" s="102"/>
      <c r="D627" s="3"/>
      <c r="E627" s="12"/>
      <c r="F627" s="3"/>
      <c r="G627" s="3"/>
      <c r="H627" s="3"/>
      <c r="J627" s="3"/>
      <c r="K627" s="3"/>
      <c r="L627" s="4"/>
      <c r="M627" s="3"/>
      <c r="O627" s="58"/>
      <c r="Q627" s="64"/>
      <c r="R627" s="45"/>
      <c r="S627" s="45"/>
      <c r="U627" s="64"/>
      <c r="V627" s="45"/>
      <c r="W627" s="64"/>
      <c r="X627" s="64"/>
      <c r="Y627" s="45"/>
      <c r="Z627" s="45"/>
      <c r="AA627" s="105"/>
      <c r="AB627" s="105"/>
      <c r="AC627" s="105"/>
      <c r="AD627" s="64"/>
      <c r="AG627" s="45"/>
      <c r="AH627" s="64"/>
      <c r="AI627" s="45"/>
      <c r="AJ627" s="105"/>
      <c r="AK627" s="105"/>
      <c r="AL627" s="60"/>
      <c r="AM627" s="60"/>
      <c r="AN627" s="60"/>
      <c r="AO627" s="60"/>
      <c r="AP627" s="60"/>
      <c r="AQ627" s="60"/>
      <c r="AR627" s="60"/>
      <c r="AS627" s="60"/>
      <c r="AT627" s="45"/>
      <c r="AU627" s="45"/>
      <c r="AW627" s="45"/>
      <c r="AX627" s="46">
        <f t="shared" si="28"/>
        <v>0</v>
      </c>
      <c r="AY627" s="46">
        <f t="shared" si="29"/>
        <v>0</v>
      </c>
      <c r="AZ627" s="46">
        <f t="shared" si="30"/>
        <v>0</v>
      </c>
    </row>
    <row r="628" spans="3:52" ht="20.100000000000001" customHeight="1">
      <c r="C628" s="102"/>
      <c r="D628" s="3"/>
      <c r="E628" s="12"/>
      <c r="F628" s="3"/>
      <c r="G628" s="3"/>
      <c r="H628" s="3"/>
      <c r="J628" s="3"/>
      <c r="K628" s="3"/>
      <c r="L628" s="4"/>
      <c r="M628" s="3"/>
      <c r="O628" s="58"/>
      <c r="Q628" s="64"/>
      <c r="R628" s="45"/>
      <c r="S628" s="45"/>
      <c r="U628" s="64"/>
      <c r="V628" s="45"/>
      <c r="W628" s="64"/>
      <c r="X628" s="64"/>
      <c r="Y628" s="45"/>
      <c r="Z628" s="45"/>
      <c r="AA628" s="105"/>
      <c r="AB628" s="105"/>
      <c r="AC628" s="105"/>
      <c r="AD628" s="64"/>
      <c r="AG628" s="45"/>
      <c r="AH628" s="64"/>
      <c r="AI628" s="45"/>
      <c r="AJ628" s="105"/>
      <c r="AK628" s="105"/>
      <c r="AL628" s="60"/>
      <c r="AM628" s="60"/>
      <c r="AN628" s="60"/>
      <c r="AO628" s="60"/>
      <c r="AP628" s="60"/>
      <c r="AQ628" s="60"/>
      <c r="AR628" s="60"/>
      <c r="AS628" s="60"/>
      <c r="AT628" s="45"/>
      <c r="AU628" s="45"/>
      <c r="AW628" s="45"/>
      <c r="AX628" s="46">
        <f t="shared" si="28"/>
        <v>0</v>
      </c>
      <c r="AY628" s="46">
        <f t="shared" si="29"/>
        <v>0</v>
      </c>
      <c r="AZ628" s="46">
        <f t="shared" si="30"/>
        <v>0</v>
      </c>
    </row>
    <row r="629" spans="3:52" ht="20.100000000000001" customHeight="1">
      <c r="C629" s="102"/>
      <c r="D629" s="3"/>
      <c r="E629" s="67"/>
      <c r="F629" s="3"/>
      <c r="G629" s="3"/>
      <c r="H629" s="3"/>
      <c r="J629" s="3"/>
      <c r="K629" s="3"/>
      <c r="L629" s="4"/>
      <c r="M629" s="3"/>
      <c r="O629" s="58"/>
      <c r="Q629" s="64"/>
      <c r="R629" s="45"/>
      <c r="S629" s="45"/>
      <c r="U629" s="64"/>
      <c r="V629" s="45"/>
      <c r="W629" s="64"/>
      <c r="X629" s="64"/>
      <c r="Y629" s="45"/>
      <c r="Z629" s="45"/>
      <c r="AA629" s="105"/>
      <c r="AB629" s="105"/>
      <c r="AC629" s="105"/>
      <c r="AD629" s="64"/>
      <c r="AG629" s="45"/>
      <c r="AH629" s="64"/>
      <c r="AI629" s="45"/>
      <c r="AJ629" s="105"/>
      <c r="AK629" s="105"/>
      <c r="AL629" s="60"/>
      <c r="AM629" s="60"/>
      <c r="AN629" s="60"/>
      <c r="AO629" s="60"/>
      <c r="AP629" s="60"/>
      <c r="AQ629" s="60"/>
      <c r="AR629" s="60"/>
      <c r="AS629" s="60"/>
      <c r="AT629" s="45"/>
      <c r="AU629" s="45"/>
      <c r="AW629" s="45"/>
      <c r="AX629" s="46">
        <f t="shared" si="28"/>
        <v>0</v>
      </c>
      <c r="AY629" s="46">
        <f t="shared" si="29"/>
        <v>0</v>
      </c>
      <c r="AZ629" s="46">
        <f t="shared" si="30"/>
        <v>0</v>
      </c>
    </row>
    <row r="630" spans="3:52" ht="20.100000000000001" customHeight="1">
      <c r="C630" s="102"/>
      <c r="D630" s="3"/>
      <c r="E630" s="12"/>
      <c r="F630" s="3"/>
      <c r="G630" s="3"/>
      <c r="H630" s="3"/>
      <c r="J630" s="3"/>
      <c r="K630" s="3"/>
      <c r="L630" s="4"/>
      <c r="M630" s="3"/>
      <c r="O630" s="58"/>
      <c r="Q630" s="64"/>
      <c r="R630" s="45"/>
      <c r="S630" s="45"/>
      <c r="U630" s="64"/>
      <c r="V630" s="45"/>
      <c r="W630" s="64"/>
      <c r="X630" s="64"/>
      <c r="Y630" s="45"/>
      <c r="Z630" s="45"/>
      <c r="AA630" s="105"/>
      <c r="AB630" s="105"/>
      <c r="AC630" s="105"/>
      <c r="AD630" s="64"/>
      <c r="AH630" s="64"/>
      <c r="AI630" s="45"/>
      <c r="AJ630" s="105"/>
      <c r="AK630" s="105"/>
      <c r="AL630" s="60"/>
      <c r="AM630" s="60"/>
      <c r="AN630" s="60"/>
      <c r="AO630" s="60"/>
      <c r="AP630" s="60"/>
      <c r="AQ630" s="60"/>
      <c r="AR630" s="60"/>
      <c r="AS630" s="60"/>
      <c r="AT630" s="45"/>
      <c r="AU630" s="45"/>
      <c r="AW630" s="45"/>
      <c r="AX630" s="46">
        <f t="shared" si="28"/>
        <v>0</v>
      </c>
      <c r="AY630" s="46">
        <f t="shared" si="29"/>
        <v>0</v>
      </c>
      <c r="AZ630" s="46">
        <f t="shared" si="30"/>
        <v>0</v>
      </c>
    </row>
    <row r="631" spans="3:52" ht="20.100000000000001" customHeight="1">
      <c r="C631" s="102"/>
      <c r="D631" s="3"/>
      <c r="E631" s="12"/>
      <c r="F631" s="3"/>
      <c r="G631" s="3"/>
      <c r="H631" s="3"/>
      <c r="J631" s="3"/>
      <c r="K631" s="3"/>
      <c r="L631" s="4"/>
      <c r="M631" s="3"/>
      <c r="O631" s="58"/>
      <c r="Q631" s="64"/>
      <c r="R631" s="45"/>
      <c r="S631" s="45"/>
      <c r="U631" s="64"/>
      <c r="V631" s="45"/>
      <c r="W631" s="64"/>
      <c r="X631" s="64"/>
      <c r="Y631" s="45"/>
      <c r="Z631" s="45"/>
      <c r="AA631" s="105"/>
      <c r="AB631" s="105"/>
      <c r="AC631" s="105"/>
      <c r="AD631" s="64"/>
      <c r="AG631" s="45"/>
      <c r="AH631" s="64"/>
      <c r="AI631" s="45"/>
      <c r="AJ631" s="105"/>
      <c r="AK631" s="105"/>
      <c r="AL631" s="60"/>
      <c r="AM631" s="60"/>
      <c r="AN631" s="60"/>
      <c r="AO631" s="60"/>
      <c r="AP631" s="60"/>
      <c r="AQ631" s="60"/>
      <c r="AR631" s="60"/>
      <c r="AS631" s="60"/>
      <c r="AT631" s="45"/>
      <c r="AU631" s="45"/>
      <c r="AW631" s="45"/>
      <c r="AX631" s="46">
        <f t="shared" si="28"/>
        <v>0</v>
      </c>
      <c r="AY631" s="46">
        <f t="shared" si="29"/>
        <v>0</v>
      </c>
      <c r="AZ631" s="46">
        <f t="shared" si="30"/>
        <v>0</v>
      </c>
    </row>
    <row r="632" spans="3:52" ht="20.100000000000001" customHeight="1">
      <c r="C632" s="102"/>
      <c r="D632" s="3"/>
      <c r="E632" s="12"/>
      <c r="F632" s="3"/>
      <c r="G632" s="3"/>
      <c r="H632" s="3"/>
      <c r="J632" s="3"/>
      <c r="K632" s="3"/>
      <c r="L632" s="4"/>
      <c r="M632" s="3"/>
      <c r="O632" s="58"/>
      <c r="Q632" s="64"/>
      <c r="R632" s="45"/>
      <c r="S632" s="45"/>
      <c r="U632" s="64"/>
      <c r="V632" s="45"/>
      <c r="W632" s="64"/>
      <c r="X632" s="64"/>
      <c r="Y632" s="45"/>
      <c r="Z632" s="45"/>
      <c r="AA632" s="105"/>
      <c r="AB632" s="105"/>
      <c r="AC632" s="105"/>
      <c r="AD632" s="64"/>
      <c r="AG632" s="45"/>
      <c r="AH632" s="64"/>
      <c r="AI632" s="45"/>
      <c r="AJ632" s="105"/>
      <c r="AK632" s="105"/>
      <c r="AL632" s="60"/>
      <c r="AM632" s="60"/>
      <c r="AN632" s="60"/>
      <c r="AO632" s="60"/>
      <c r="AP632" s="60"/>
      <c r="AQ632" s="60"/>
      <c r="AR632" s="60"/>
      <c r="AS632" s="60"/>
      <c r="AT632" s="45"/>
      <c r="AU632" s="45"/>
      <c r="AW632" s="45"/>
      <c r="AX632" s="46">
        <f t="shared" si="28"/>
        <v>0</v>
      </c>
      <c r="AY632" s="46">
        <f t="shared" si="29"/>
        <v>0</v>
      </c>
      <c r="AZ632" s="46">
        <f t="shared" si="30"/>
        <v>0</v>
      </c>
    </row>
    <row r="633" spans="3:52" ht="20.100000000000001" customHeight="1">
      <c r="C633" s="102"/>
      <c r="D633" s="3"/>
      <c r="E633" s="12"/>
      <c r="F633" s="3"/>
      <c r="G633" s="3"/>
      <c r="H633" s="3"/>
      <c r="J633" s="3"/>
      <c r="K633" s="3"/>
      <c r="L633" s="4"/>
      <c r="M633" s="3"/>
      <c r="O633" s="58"/>
      <c r="Q633" s="64"/>
      <c r="R633" s="45"/>
      <c r="S633" s="45"/>
      <c r="U633" s="64"/>
      <c r="V633" s="45"/>
      <c r="W633" s="64"/>
      <c r="X633" s="64"/>
      <c r="Y633" s="45"/>
      <c r="Z633" s="45"/>
      <c r="AA633" s="105"/>
      <c r="AB633" s="105"/>
      <c r="AC633" s="105"/>
      <c r="AD633" s="64"/>
      <c r="AG633" s="45"/>
      <c r="AH633" s="64"/>
      <c r="AI633" s="45"/>
      <c r="AJ633" s="105"/>
      <c r="AK633" s="105"/>
      <c r="AL633" s="60"/>
      <c r="AM633" s="60"/>
      <c r="AN633" s="60"/>
      <c r="AO633" s="60"/>
      <c r="AP633" s="60"/>
      <c r="AQ633" s="60"/>
      <c r="AR633" s="60"/>
      <c r="AS633" s="60"/>
      <c r="AT633" s="45"/>
      <c r="AU633" s="45"/>
      <c r="AW633" s="45"/>
      <c r="AX633" s="46">
        <f t="shared" si="28"/>
        <v>0</v>
      </c>
      <c r="AY633" s="46">
        <f t="shared" si="29"/>
        <v>0</v>
      </c>
      <c r="AZ633" s="46">
        <f t="shared" si="30"/>
        <v>0</v>
      </c>
    </row>
    <row r="634" spans="3:52" ht="20.100000000000001" customHeight="1">
      <c r="C634" s="102"/>
      <c r="D634" s="3"/>
      <c r="E634" s="12"/>
      <c r="F634" s="3"/>
      <c r="G634" s="3"/>
      <c r="H634" s="3"/>
      <c r="J634" s="3"/>
      <c r="K634" s="3"/>
      <c r="L634" s="4"/>
      <c r="M634" s="3"/>
      <c r="O634" s="58"/>
      <c r="Q634" s="64"/>
      <c r="R634" s="45"/>
      <c r="S634" s="45"/>
      <c r="U634" s="64"/>
      <c r="V634" s="45"/>
      <c r="W634" s="64"/>
      <c r="X634" s="64"/>
      <c r="Y634" s="45"/>
      <c r="Z634" s="45"/>
      <c r="AA634" s="105"/>
      <c r="AB634" s="105"/>
      <c r="AC634" s="105"/>
      <c r="AD634" s="64"/>
      <c r="AG634" s="45"/>
      <c r="AH634" s="64"/>
      <c r="AI634" s="45"/>
      <c r="AJ634" s="105"/>
      <c r="AK634" s="105"/>
      <c r="AL634" s="60"/>
      <c r="AM634" s="60"/>
      <c r="AN634" s="60"/>
      <c r="AO634" s="60"/>
      <c r="AP634" s="60"/>
      <c r="AQ634" s="60"/>
      <c r="AR634" s="60"/>
      <c r="AS634" s="60"/>
      <c r="AT634" s="45"/>
      <c r="AU634" s="45"/>
      <c r="AW634" s="45"/>
      <c r="AX634" s="46">
        <f t="shared" si="28"/>
        <v>0</v>
      </c>
      <c r="AY634" s="46">
        <f t="shared" si="29"/>
        <v>0</v>
      </c>
      <c r="AZ634" s="46">
        <f t="shared" si="30"/>
        <v>0</v>
      </c>
    </row>
    <row r="635" spans="3:52" ht="20.100000000000001" customHeight="1">
      <c r="C635" s="102"/>
      <c r="D635" s="3"/>
      <c r="E635" s="67"/>
      <c r="F635" s="3"/>
      <c r="G635" s="3"/>
      <c r="H635" s="3"/>
      <c r="J635" s="3"/>
      <c r="K635" s="3"/>
      <c r="L635" s="4"/>
      <c r="M635" s="3"/>
      <c r="O635" s="58"/>
      <c r="Q635" s="64"/>
      <c r="R635" s="45"/>
      <c r="S635" s="45"/>
      <c r="U635" s="64"/>
      <c r="V635" s="45"/>
      <c r="W635" s="64"/>
      <c r="X635" s="64"/>
      <c r="Y635" s="45"/>
      <c r="Z635" s="45"/>
      <c r="AA635" s="105"/>
      <c r="AB635" s="105"/>
      <c r="AC635" s="105"/>
      <c r="AD635" s="64"/>
      <c r="AG635" s="45"/>
      <c r="AH635" s="64"/>
      <c r="AI635" s="45"/>
      <c r="AJ635" s="105"/>
      <c r="AK635" s="105"/>
      <c r="AL635" s="60"/>
      <c r="AM635" s="60"/>
      <c r="AN635" s="60"/>
      <c r="AO635" s="60"/>
      <c r="AP635" s="60"/>
      <c r="AQ635" s="60"/>
      <c r="AR635" s="60"/>
      <c r="AS635" s="60"/>
      <c r="AT635" s="45"/>
      <c r="AU635" s="45"/>
      <c r="AW635" s="45"/>
      <c r="AX635" s="46">
        <f t="shared" si="28"/>
        <v>0</v>
      </c>
      <c r="AY635" s="46">
        <f t="shared" si="29"/>
        <v>0</v>
      </c>
      <c r="AZ635" s="46">
        <f t="shared" si="30"/>
        <v>0</v>
      </c>
    </row>
    <row r="636" spans="3:52" ht="20.100000000000001" customHeight="1">
      <c r="C636" s="102"/>
      <c r="D636" s="3"/>
      <c r="E636" s="12"/>
      <c r="F636" s="3"/>
      <c r="G636" s="3"/>
      <c r="H636" s="3"/>
      <c r="J636" s="3"/>
      <c r="K636" s="3"/>
      <c r="L636" s="4"/>
      <c r="M636" s="3"/>
      <c r="O636" s="58"/>
      <c r="Q636" s="64"/>
      <c r="R636" s="45"/>
      <c r="S636" s="45"/>
      <c r="U636" s="64"/>
      <c r="V636" s="45"/>
      <c r="W636" s="64"/>
      <c r="X636" s="64"/>
      <c r="Y636" s="45"/>
      <c r="Z636" s="45"/>
      <c r="AA636" s="105"/>
      <c r="AB636" s="105"/>
      <c r="AC636" s="105"/>
      <c r="AD636" s="64"/>
      <c r="AG636" s="45"/>
      <c r="AH636" s="64"/>
      <c r="AI636" s="45"/>
      <c r="AJ636" s="105"/>
      <c r="AK636" s="105"/>
      <c r="AL636" s="60"/>
      <c r="AM636" s="60"/>
      <c r="AN636" s="60"/>
      <c r="AO636" s="60"/>
      <c r="AP636" s="60"/>
      <c r="AQ636" s="60"/>
      <c r="AR636" s="60"/>
      <c r="AS636" s="60"/>
      <c r="AT636" s="45"/>
      <c r="AU636" s="45"/>
      <c r="AW636" s="45"/>
      <c r="AX636" s="46">
        <f t="shared" si="28"/>
        <v>0</v>
      </c>
      <c r="AY636" s="46">
        <f t="shared" si="29"/>
        <v>0</v>
      </c>
      <c r="AZ636" s="46">
        <f t="shared" si="30"/>
        <v>0</v>
      </c>
    </row>
    <row r="637" spans="3:52" ht="20.100000000000001" customHeight="1">
      <c r="C637" s="102"/>
      <c r="D637" s="3"/>
      <c r="E637" s="12"/>
      <c r="F637" s="3"/>
      <c r="G637" s="3"/>
      <c r="H637" s="3"/>
      <c r="J637" s="3"/>
      <c r="K637" s="3"/>
      <c r="L637" s="4"/>
      <c r="M637" s="3"/>
      <c r="O637" s="58"/>
      <c r="Q637" s="64"/>
      <c r="R637" s="45"/>
      <c r="S637" s="45"/>
      <c r="U637" s="64"/>
      <c r="V637" s="45"/>
      <c r="W637" s="64"/>
      <c r="X637" s="64"/>
      <c r="Y637" s="45"/>
      <c r="Z637" s="45"/>
      <c r="AA637" s="105"/>
      <c r="AB637" s="105"/>
      <c r="AC637" s="105"/>
      <c r="AD637" s="64"/>
      <c r="AG637" s="45"/>
      <c r="AH637" s="64"/>
      <c r="AI637" s="45"/>
      <c r="AJ637" s="105"/>
      <c r="AK637" s="105"/>
      <c r="AL637" s="60"/>
      <c r="AM637" s="60"/>
      <c r="AN637" s="60"/>
      <c r="AO637" s="60"/>
      <c r="AP637" s="60"/>
      <c r="AQ637" s="60"/>
      <c r="AR637" s="60"/>
      <c r="AS637" s="60"/>
      <c r="AT637" s="45"/>
      <c r="AU637" s="45"/>
      <c r="AW637" s="45"/>
      <c r="AX637" s="46">
        <f t="shared" si="28"/>
        <v>0</v>
      </c>
      <c r="AY637" s="46">
        <f t="shared" si="29"/>
        <v>0</v>
      </c>
      <c r="AZ637" s="46">
        <f t="shared" si="30"/>
        <v>0</v>
      </c>
    </row>
    <row r="638" spans="3:52" ht="20.100000000000001" customHeight="1">
      <c r="C638" s="102"/>
      <c r="D638" s="3"/>
      <c r="E638" s="12"/>
      <c r="F638" s="3"/>
      <c r="G638" s="3"/>
      <c r="H638" s="3"/>
      <c r="J638" s="3"/>
      <c r="K638" s="3"/>
      <c r="L638" s="4"/>
      <c r="M638" s="3"/>
      <c r="O638" s="58"/>
      <c r="Q638" s="64"/>
      <c r="R638" s="45"/>
      <c r="S638" s="45"/>
      <c r="U638" s="64"/>
      <c r="V638" s="45"/>
      <c r="W638" s="64"/>
      <c r="X638" s="64"/>
      <c r="Y638" s="45"/>
      <c r="Z638" s="45"/>
      <c r="AA638" s="105"/>
      <c r="AB638" s="105"/>
      <c r="AC638" s="105"/>
      <c r="AD638" s="64"/>
      <c r="AG638" s="45"/>
      <c r="AH638" s="64"/>
      <c r="AI638" s="45"/>
      <c r="AJ638" s="105"/>
      <c r="AK638" s="105"/>
      <c r="AL638" s="60"/>
      <c r="AM638" s="60"/>
      <c r="AN638" s="60"/>
      <c r="AO638" s="60"/>
      <c r="AP638" s="60"/>
      <c r="AQ638" s="60"/>
      <c r="AR638" s="60"/>
      <c r="AS638" s="60"/>
      <c r="AT638" s="45"/>
      <c r="AU638" s="45"/>
      <c r="AW638" s="45"/>
      <c r="AX638" s="46">
        <f t="shared" si="28"/>
        <v>0</v>
      </c>
      <c r="AY638" s="46">
        <f t="shared" si="29"/>
        <v>0</v>
      </c>
      <c r="AZ638" s="46">
        <f t="shared" si="30"/>
        <v>0</v>
      </c>
    </row>
    <row r="639" spans="3:52" ht="20.100000000000001" customHeight="1">
      <c r="C639" s="102"/>
      <c r="D639" s="3"/>
      <c r="E639" s="67"/>
      <c r="F639" s="3"/>
      <c r="G639" s="3"/>
      <c r="H639" s="3"/>
      <c r="J639" s="3"/>
      <c r="K639" s="3"/>
      <c r="L639" s="4"/>
      <c r="M639" s="3"/>
      <c r="O639" s="58"/>
      <c r="Q639" s="64"/>
      <c r="R639" s="45"/>
      <c r="S639" s="45"/>
      <c r="U639" s="64"/>
      <c r="V639" s="45"/>
      <c r="W639" s="64"/>
      <c r="X639" s="64"/>
      <c r="Y639" s="45"/>
      <c r="Z639" s="45"/>
      <c r="AA639" s="105"/>
      <c r="AB639" s="105"/>
      <c r="AC639" s="105"/>
      <c r="AD639" s="64"/>
      <c r="AG639" s="45"/>
      <c r="AH639" s="64"/>
      <c r="AI639" s="45"/>
      <c r="AJ639" s="105"/>
      <c r="AK639" s="105"/>
      <c r="AL639" s="60"/>
      <c r="AM639" s="60"/>
      <c r="AN639" s="60"/>
      <c r="AO639" s="60"/>
      <c r="AP639" s="60"/>
      <c r="AQ639" s="60"/>
      <c r="AR639" s="60"/>
      <c r="AS639" s="60"/>
      <c r="AT639" s="45"/>
      <c r="AU639" s="45"/>
      <c r="AW639" s="45"/>
      <c r="AX639" s="46">
        <f t="shared" si="28"/>
        <v>0</v>
      </c>
      <c r="AY639" s="46">
        <f t="shared" si="29"/>
        <v>0</v>
      </c>
      <c r="AZ639" s="46">
        <f t="shared" si="30"/>
        <v>0</v>
      </c>
    </row>
    <row r="640" spans="3:52" ht="20.100000000000001" customHeight="1">
      <c r="C640" s="102"/>
      <c r="D640" s="3"/>
      <c r="E640" s="67"/>
      <c r="F640" s="3"/>
      <c r="G640" s="3"/>
      <c r="H640" s="3"/>
      <c r="J640" s="3"/>
      <c r="K640" s="3"/>
      <c r="L640" s="4"/>
      <c r="M640" s="3"/>
      <c r="O640" s="58"/>
      <c r="Q640" s="64"/>
      <c r="R640" s="45"/>
      <c r="S640" s="45"/>
      <c r="U640" s="64"/>
      <c r="V640" s="45"/>
      <c r="W640" s="64"/>
      <c r="X640" s="64"/>
      <c r="Y640" s="45"/>
      <c r="Z640" s="45"/>
      <c r="AA640" s="105"/>
      <c r="AB640" s="105"/>
      <c r="AC640" s="105"/>
      <c r="AD640" s="64"/>
      <c r="AG640" s="45"/>
      <c r="AH640" s="64"/>
      <c r="AI640" s="45"/>
      <c r="AJ640" s="105"/>
      <c r="AK640" s="105"/>
      <c r="AL640" s="60"/>
      <c r="AM640" s="60"/>
      <c r="AN640" s="60"/>
      <c r="AO640" s="60"/>
      <c r="AP640" s="60"/>
      <c r="AQ640" s="60"/>
      <c r="AR640" s="60"/>
      <c r="AS640" s="60"/>
      <c r="AT640" s="45"/>
      <c r="AU640" s="45"/>
      <c r="AW640" s="45"/>
      <c r="AX640" s="46">
        <f t="shared" si="28"/>
        <v>0</v>
      </c>
      <c r="AY640" s="46">
        <f t="shared" si="29"/>
        <v>0</v>
      </c>
      <c r="AZ640" s="46">
        <f t="shared" si="30"/>
        <v>0</v>
      </c>
    </row>
    <row r="641" spans="2:52" ht="20.100000000000001" customHeight="1">
      <c r="C641" s="102"/>
      <c r="D641" s="3"/>
      <c r="E641" s="12"/>
      <c r="F641" s="3"/>
      <c r="G641" s="3"/>
      <c r="H641" s="3"/>
      <c r="J641" s="3"/>
      <c r="K641" s="3"/>
      <c r="L641" s="4"/>
      <c r="M641" s="3"/>
      <c r="O641" s="58"/>
      <c r="Q641" s="64"/>
      <c r="R641" s="45"/>
      <c r="S641" s="45"/>
      <c r="U641" s="64"/>
      <c r="V641" s="45"/>
      <c r="W641" s="64"/>
      <c r="X641" s="64"/>
      <c r="Y641" s="45"/>
      <c r="Z641" s="45"/>
      <c r="AA641" s="105"/>
      <c r="AB641" s="105"/>
      <c r="AC641" s="105"/>
      <c r="AD641" s="64"/>
      <c r="AG641" s="45"/>
      <c r="AH641" s="64"/>
      <c r="AI641" s="45"/>
      <c r="AJ641" s="105"/>
      <c r="AK641" s="105"/>
      <c r="AL641" s="60"/>
      <c r="AM641" s="60"/>
      <c r="AN641" s="60"/>
      <c r="AO641" s="60"/>
      <c r="AP641" s="60"/>
      <c r="AQ641" s="60"/>
      <c r="AR641" s="60"/>
      <c r="AS641" s="60"/>
      <c r="AT641" s="45"/>
      <c r="AU641" s="45"/>
      <c r="AW641" s="45"/>
      <c r="AX641" s="46">
        <f t="shared" si="28"/>
        <v>0</v>
      </c>
      <c r="AY641" s="46">
        <f t="shared" si="29"/>
        <v>0</v>
      </c>
      <c r="AZ641" s="46">
        <f t="shared" si="30"/>
        <v>0</v>
      </c>
    </row>
    <row r="642" spans="2:52" ht="20.100000000000001" customHeight="1">
      <c r="C642" s="102"/>
      <c r="D642" s="3"/>
      <c r="E642" s="12"/>
      <c r="F642" s="3"/>
      <c r="G642" s="3"/>
      <c r="H642" s="3"/>
      <c r="J642" s="3"/>
      <c r="K642" s="3"/>
      <c r="L642" s="4"/>
      <c r="M642" s="3"/>
      <c r="O642" s="58"/>
      <c r="Q642" s="64"/>
      <c r="R642" s="45"/>
      <c r="S642" s="45"/>
      <c r="U642" s="64"/>
      <c r="V642" s="45"/>
      <c r="W642" s="64"/>
      <c r="X642" s="64"/>
      <c r="Y642" s="45"/>
      <c r="Z642" s="45"/>
      <c r="AA642" s="105"/>
      <c r="AB642" s="105"/>
      <c r="AC642" s="105"/>
      <c r="AD642" s="64"/>
      <c r="AG642" s="45"/>
      <c r="AH642" s="64"/>
      <c r="AI642" s="45"/>
      <c r="AJ642" s="105"/>
      <c r="AK642" s="105"/>
      <c r="AL642" s="60"/>
      <c r="AM642" s="60"/>
      <c r="AN642" s="60"/>
      <c r="AO642" s="60"/>
      <c r="AP642" s="60"/>
      <c r="AQ642" s="60"/>
      <c r="AR642" s="60"/>
      <c r="AS642" s="60"/>
      <c r="AT642" s="45"/>
      <c r="AU642" s="45"/>
      <c r="AW642" s="45"/>
      <c r="AX642" s="46">
        <f t="shared" si="28"/>
        <v>0</v>
      </c>
      <c r="AY642" s="46">
        <f t="shared" si="29"/>
        <v>0</v>
      </c>
      <c r="AZ642" s="46">
        <f t="shared" si="30"/>
        <v>0</v>
      </c>
    </row>
    <row r="643" spans="2:52" ht="20.100000000000001" customHeight="1">
      <c r="C643" s="102"/>
      <c r="D643" s="3"/>
      <c r="E643" s="12"/>
      <c r="F643" s="3"/>
      <c r="G643" s="3"/>
      <c r="H643" s="3"/>
      <c r="J643" s="3"/>
      <c r="K643" s="3"/>
      <c r="L643" s="4"/>
      <c r="M643" s="3"/>
      <c r="O643" s="58"/>
      <c r="Q643" s="64"/>
      <c r="R643" s="45"/>
      <c r="S643" s="45"/>
      <c r="U643" s="64"/>
      <c r="V643" s="45"/>
      <c r="W643" s="64"/>
      <c r="X643" s="64"/>
      <c r="Y643" s="45"/>
      <c r="Z643" s="45"/>
      <c r="AA643" s="105"/>
      <c r="AB643" s="105"/>
      <c r="AC643" s="105"/>
      <c r="AD643" s="64"/>
      <c r="AG643" s="45"/>
      <c r="AH643" s="64"/>
      <c r="AI643" s="45"/>
      <c r="AJ643" s="105"/>
      <c r="AK643" s="105"/>
      <c r="AL643" s="60"/>
      <c r="AM643" s="60"/>
      <c r="AN643" s="60"/>
      <c r="AO643" s="60"/>
      <c r="AP643" s="60"/>
      <c r="AQ643" s="60"/>
      <c r="AR643" s="60"/>
      <c r="AS643" s="60"/>
      <c r="AT643" s="45"/>
      <c r="AU643" s="45"/>
      <c r="AW643" s="45"/>
      <c r="AX643" s="46">
        <f t="shared" si="28"/>
        <v>0</v>
      </c>
      <c r="AY643" s="46">
        <f t="shared" si="29"/>
        <v>0</v>
      </c>
      <c r="AZ643" s="46">
        <f t="shared" si="30"/>
        <v>0</v>
      </c>
    </row>
    <row r="644" spans="2:52" ht="20.100000000000001" customHeight="1">
      <c r="C644" s="102"/>
      <c r="D644" s="3"/>
      <c r="E644" s="12"/>
      <c r="F644" s="3"/>
      <c r="G644" s="3"/>
      <c r="H644" s="3"/>
      <c r="J644" s="3"/>
      <c r="K644" s="3"/>
      <c r="L644" s="4"/>
      <c r="M644" s="3"/>
      <c r="O644" s="58"/>
      <c r="Q644" s="64"/>
      <c r="R644" s="45"/>
      <c r="S644" s="45"/>
      <c r="U644" s="64"/>
      <c r="V644" s="45"/>
      <c r="W644" s="64"/>
      <c r="X644" s="64"/>
      <c r="Y644" s="45"/>
      <c r="Z644" s="45"/>
      <c r="AA644" s="105"/>
      <c r="AB644" s="105"/>
      <c r="AC644" s="105"/>
      <c r="AD644" s="64"/>
      <c r="AG644" s="45"/>
      <c r="AH644" s="64"/>
      <c r="AI644" s="45"/>
      <c r="AJ644" s="105"/>
      <c r="AK644" s="105"/>
      <c r="AL644" s="60"/>
      <c r="AM644" s="60"/>
      <c r="AN644" s="60"/>
      <c r="AO644" s="60"/>
      <c r="AP644" s="60"/>
      <c r="AQ644" s="60"/>
      <c r="AR644" s="60"/>
      <c r="AS644" s="60"/>
      <c r="AT644" s="45"/>
      <c r="AU644" s="45"/>
      <c r="AW644" s="45"/>
      <c r="AX644" s="46">
        <f t="shared" si="28"/>
        <v>0</v>
      </c>
      <c r="AY644" s="46">
        <f t="shared" si="29"/>
        <v>0</v>
      </c>
      <c r="AZ644" s="46">
        <f t="shared" si="30"/>
        <v>0</v>
      </c>
    </row>
    <row r="645" spans="2:52" ht="20.100000000000001" customHeight="1">
      <c r="C645" s="102"/>
      <c r="D645" s="3"/>
      <c r="E645" s="12"/>
      <c r="F645" s="3"/>
      <c r="G645" s="3"/>
      <c r="H645" s="3"/>
      <c r="J645" s="3"/>
      <c r="K645" s="3"/>
      <c r="L645" s="4"/>
      <c r="M645" s="3"/>
      <c r="O645" s="58"/>
      <c r="Q645" s="64"/>
      <c r="R645" s="45"/>
      <c r="S645" s="45"/>
      <c r="U645" s="64"/>
      <c r="V645" s="45"/>
      <c r="W645" s="64"/>
      <c r="X645" s="64"/>
      <c r="Y645" s="45"/>
      <c r="Z645" s="45"/>
      <c r="AA645" s="105"/>
      <c r="AB645" s="105"/>
      <c r="AC645" s="105"/>
      <c r="AD645" s="64"/>
      <c r="AH645" s="64"/>
      <c r="AI645" s="45"/>
      <c r="AJ645" s="105"/>
      <c r="AK645" s="105"/>
      <c r="AL645" s="60"/>
      <c r="AM645" s="60"/>
      <c r="AN645" s="60"/>
      <c r="AO645" s="60"/>
      <c r="AP645" s="60"/>
      <c r="AQ645" s="60"/>
      <c r="AR645" s="60"/>
      <c r="AS645" s="60"/>
      <c r="AT645" s="45"/>
      <c r="AU645" s="45"/>
      <c r="AW645" s="45"/>
      <c r="AX645" s="46">
        <f t="shared" si="28"/>
        <v>0</v>
      </c>
      <c r="AY645" s="46">
        <f t="shared" si="29"/>
        <v>0</v>
      </c>
      <c r="AZ645" s="46">
        <f t="shared" si="30"/>
        <v>0</v>
      </c>
    </row>
    <row r="646" spans="2:52" ht="20.100000000000001" customHeight="1">
      <c r="C646" s="102"/>
      <c r="D646" s="3"/>
      <c r="E646" s="12"/>
      <c r="F646" s="3"/>
      <c r="G646" s="3"/>
      <c r="H646" s="3"/>
      <c r="J646" s="3"/>
      <c r="K646" s="3"/>
      <c r="L646" s="4"/>
      <c r="M646" s="3"/>
      <c r="O646" s="58"/>
      <c r="Q646" s="64"/>
      <c r="R646" s="45"/>
      <c r="S646" s="45"/>
      <c r="U646" s="64"/>
      <c r="V646" s="45"/>
      <c r="W646" s="64"/>
      <c r="X646" s="64"/>
      <c r="Y646" s="45"/>
      <c r="Z646" s="45"/>
      <c r="AA646" s="105"/>
      <c r="AB646" s="105"/>
      <c r="AC646" s="105"/>
      <c r="AD646" s="64"/>
      <c r="AG646" s="45"/>
      <c r="AH646" s="64"/>
      <c r="AI646" s="45"/>
      <c r="AJ646" s="105"/>
      <c r="AK646" s="105"/>
      <c r="AL646" s="60"/>
      <c r="AM646" s="60"/>
      <c r="AN646" s="60"/>
      <c r="AO646" s="60"/>
      <c r="AP646" s="60"/>
      <c r="AQ646" s="60"/>
      <c r="AR646" s="60"/>
      <c r="AS646" s="60"/>
      <c r="AT646" s="45"/>
      <c r="AU646" s="45"/>
      <c r="AW646" s="45"/>
      <c r="AX646" s="46">
        <f t="shared" si="28"/>
        <v>0</v>
      </c>
      <c r="AY646" s="46">
        <f t="shared" si="29"/>
        <v>0</v>
      </c>
      <c r="AZ646" s="46">
        <f t="shared" si="30"/>
        <v>0</v>
      </c>
    </row>
    <row r="647" spans="2:52" ht="20.100000000000001" customHeight="1">
      <c r="C647" s="102"/>
      <c r="D647" s="3"/>
      <c r="E647" s="67"/>
      <c r="F647" s="3"/>
      <c r="G647" s="3"/>
      <c r="H647" s="3"/>
      <c r="J647" s="3"/>
      <c r="K647" s="3"/>
      <c r="L647" s="4"/>
      <c r="M647" s="3"/>
      <c r="O647" s="58"/>
      <c r="Q647" s="64"/>
      <c r="R647" s="45"/>
      <c r="S647" s="45"/>
      <c r="U647" s="64"/>
      <c r="V647" s="45"/>
      <c r="W647" s="64"/>
      <c r="X647" s="64"/>
      <c r="Y647" s="45"/>
      <c r="Z647" s="45"/>
      <c r="AA647" s="105"/>
      <c r="AB647" s="105"/>
      <c r="AC647" s="105"/>
      <c r="AD647" s="64"/>
      <c r="AG647" s="45"/>
      <c r="AH647" s="64"/>
      <c r="AI647" s="45"/>
      <c r="AJ647" s="105"/>
      <c r="AK647" s="105"/>
      <c r="AL647" s="60"/>
      <c r="AM647" s="60"/>
      <c r="AN647" s="60"/>
      <c r="AO647" s="60"/>
      <c r="AP647" s="60"/>
      <c r="AQ647" s="60"/>
      <c r="AR647" s="60"/>
      <c r="AS647" s="60"/>
      <c r="AT647" s="45"/>
      <c r="AU647" s="45"/>
      <c r="AW647" s="45"/>
      <c r="AX647" s="46">
        <f t="shared" si="28"/>
        <v>0</v>
      </c>
      <c r="AY647" s="46">
        <f t="shared" si="29"/>
        <v>0</v>
      </c>
      <c r="AZ647" s="46">
        <f t="shared" si="30"/>
        <v>0</v>
      </c>
    </row>
    <row r="648" spans="2:52" ht="20.100000000000001" customHeight="1">
      <c r="C648" s="102"/>
      <c r="D648" s="3"/>
      <c r="E648" s="67"/>
      <c r="F648" s="3"/>
      <c r="G648" s="3"/>
      <c r="H648" s="3"/>
      <c r="J648" s="3"/>
      <c r="K648" s="3"/>
      <c r="L648" s="4"/>
      <c r="M648" s="3"/>
      <c r="O648" s="58"/>
      <c r="Q648" s="64"/>
      <c r="R648" s="45"/>
      <c r="S648" s="45"/>
      <c r="U648" s="64"/>
      <c r="V648" s="45"/>
      <c r="W648" s="64"/>
      <c r="X648" s="64"/>
      <c r="Y648" s="45"/>
      <c r="Z648" s="45"/>
      <c r="AA648" s="105"/>
      <c r="AB648" s="105"/>
      <c r="AC648" s="105"/>
      <c r="AD648" s="64"/>
      <c r="AH648" s="64"/>
      <c r="AI648" s="45"/>
      <c r="AJ648" s="105"/>
      <c r="AK648" s="105"/>
      <c r="AL648" s="60"/>
      <c r="AM648" s="60"/>
      <c r="AN648" s="60"/>
      <c r="AO648" s="60"/>
      <c r="AP648" s="60"/>
      <c r="AQ648" s="60"/>
      <c r="AR648" s="60"/>
      <c r="AS648" s="60"/>
      <c r="AT648" s="45"/>
      <c r="AU648" s="45"/>
      <c r="AW648" s="45"/>
      <c r="AX648" s="46">
        <f t="shared" si="28"/>
        <v>0</v>
      </c>
      <c r="AY648" s="46">
        <f t="shared" si="29"/>
        <v>0</v>
      </c>
      <c r="AZ648" s="46">
        <f t="shared" si="30"/>
        <v>0</v>
      </c>
    </row>
    <row r="649" spans="2:52" ht="20.100000000000001" customHeight="1">
      <c r="C649" s="102"/>
      <c r="D649" s="3"/>
      <c r="E649" s="12"/>
      <c r="F649" s="3"/>
      <c r="G649" s="3"/>
      <c r="H649" s="3"/>
      <c r="J649" s="3"/>
      <c r="K649" s="3"/>
      <c r="L649" s="4"/>
      <c r="M649" s="3"/>
      <c r="O649" s="58"/>
      <c r="Q649" s="64"/>
      <c r="R649" s="45"/>
      <c r="S649" s="45"/>
      <c r="U649" s="64"/>
      <c r="V649" s="45"/>
      <c r="W649" s="64"/>
      <c r="X649" s="64"/>
      <c r="Y649" s="45"/>
      <c r="Z649" s="45"/>
      <c r="AA649" s="105"/>
      <c r="AB649" s="105"/>
      <c r="AC649" s="105"/>
      <c r="AD649" s="64"/>
      <c r="AG649" s="45"/>
      <c r="AH649" s="64"/>
      <c r="AI649" s="45"/>
      <c r="AJ649" s="105"/>
      <c r="AK649" s="105"/>
      <c r="AL649" s="60"/>
      <c r="AM649" s="60"/>
      <c r="AN649" s="60"/>
      <c r="AO649" s="60"/>
      <c r="AP649" s="60"/>
      <c r="AQ649" s="60"/>
      <c r="AR649" s="60"/>
      <c r="AS649" s="60"/>
      <c r="AT649" s="45"/>
      <c r="AU649" s="45"/>
      <c r="AW649" s="45"/>
      <c r="AX649" s="46">
        <f t="shared" si="28"/>
        <v>0</v>
      </c>
      <c r="AY649" s="46">
        <f t="shared" si="29"/>
        <v>0</v>
      </c>
      <c r="AZ649" s="46">
        <f t="shared" si="30"/>
        <v>0</v>
      </c>
    </row>
    <row r="650" spans="2:52" ht="20.100000000000001" customHeight="1">
      <c r="C650" s="102"/>
      <c r="D650" s="3"/>
      <c r="E650" s="67"/>
      <c r="F650" s="3"/>
      <c r="G650" s="3"/>
      <c r="H650" s="3"/>
      <c r="J650" s="3"/>
      <c r="K650" s="3"/>
      <c r="L650" s="4"/>
      <c r="M650" s="3"/>
      <c r="O650" s="58"/>
      <c r="Q650" s="64"/>
      <c r="R650" s="45"/>
      <c r="S650" s="45"/>
      <c r="U650" s="64"/>
      <c r="V650" s="45"/>
      <c r="W650" s="64"/>
      <c r="X650" s="64"/>
      <c r="Y650" s="45"/>
      <c r="Z650" s="45"/>
      <c r="AA650" s="105"/>
      <c r="AB650" s="105"/>
      <c r="AC650" s="105"/>
      <c r="AD650" s="64"/>
      <c r="AG650" s="45"/>
      <c r="AH650" s="64"/>
      <c r="AI650" s="45"/>
      <c r="AJ650" s="105"/>
      <c r="AK650" s="105"/>
      <c r="AL650" s="60"/>
      <c r="AM650" s="60"/>
      <c r="AN650" s="60"/>
      <c r="AO650" s="60"/>
      <c r="AP650" s="60"/>
      <c r="AQ650" s="60"/>
      <c r="AR650" s="60"/>
      <c r="AS650" s="60"/>
      <c r="AT650" s="45"/>
      <c r="AU650" s="45"/>
      <c r="AW650" s="45"/>
      <c r="AX650" s="46">
        <f t="shared" si="28"/>
        <v>0</v>
      </c>
      <c r="AY650" s="46">
        <f t="shared" si="29"/>
        <v>0</v>
      </c>
      <c r="AZ650" s="46">
        <f t="shared" si="30"/>
        <v>0</v>
      </c>
    </row>
    <row r="651" spans="2:52" ht="20.100000000000001" customHeight="1">
      <c r="C651" s="102"/>
      <c r="D651" s="3"/>
      <c r="E651" s="12"/>
      <c r="F651" s="3"/>
      <c r="G651" s="3"/>
      <c r="H651" s="3"/>
      <c r="J651" s="3"/>
      <c r="K651" s="3"/>
      <c r="L651" s="4"/>
      <c r="M651" s="3"/>
      <c r="O651" s="58"/>
      <c r="Q651" s="64"/>
      <c r="R651" s="45"/>
      <c r="S651" s="45"/>
      <c r="U651" s="64"/>
      <c r="V651" s="45"/>
      <c r="W651" s="64"/>
      <c r="X651" s="64"/>
      <c r="Y651" s="45"/>
      <c r="Z651" s="45"/>
      <c r="AA651" s="105"/>
      <c r="AB651" s="105"/>
      <c r="AC651" s="105"/>
      <c r="AD651" s="64"/>
      <c r="AG651" s="45"/>
      <c r="AH651" s="64"/>
      <c r="AI651" s="45"/>
      <c r="AJ651" s="105"/>
      <c r="AK651" s="105"/>
      <c r="AL651" s="60"/>
      <c r="AM651" s="60"/>
      <c r="AN651" s="60"/>
      <c r="AO651" s="60"/>
      <c r="AP651" s="60"/>
      <c r="AQ651" s="60"/>
      <c r="AR651" s="60"/>
      <c r="AS651" s="60"/>
      <c r="AT651" s="45"/>
      <c r="AU651" s="45"/>
      <c r="AW651" s="45"/>
      <c r="AX651" s="46">
        <f t="shared" ref="AX651:AX714" si="31">IFERROR(SUM(Q651:AS651)-SUM(AT651:AU651)+AV651,"-")</f>
        <v>0</v>
      </c>
      <c r="AY651" s="46">
        <f t="shared" ref="AY651:AY714" si="32">IFERROR(SUM(Q651:AS651)-SUM(AT651:AT651),"-")</f>
        <v>0</v>
      </c>
      <c r="AZ651" s="46">
        <f t="shared" ref="AZ651:AZ714" si="33">SUM(Q651:AS651)</f>
        <v>0</v>
      </c>
    </row>
    <row r="652" spans="2:52" ht="20.100000000000001" customHeight="1">
      <c r="C652" s="102"/>
      <c r="D652" s="3"/>
      <c r="E652" s="67"/>
      <c r="F652" s="3"/>
      <c r="G652" s="3"/>
      <c r="H652" s="3"/>
      <c r="J652" s="3"/>
      <c r="K652" s="3"/>
      <c r="L652" s="4"/>
      <c r="M652" s="3"/>
      <c r="O652" s="58"/>
      <c r="Q652" s="64"/>
      <c r="R652" s="45"/>
      <c r="S652" s="45"/>
      <c r="U652" s="64"/>
      <c r="V652" s="45"/>
      <c r="W652" s="64"/>
      <c r="X652" s="64"/>
      <c r="Y652" s="45"/>
      <c r="Z652" s="45"/>
      <c r="AA652" s="105"/>
      <c r="AB652" s="105"/>
      <c r="AC652" s="105"/>
      <c r="AD652" s="64"/>
      <c r="AH652" s="64"/>
      <c r="AI652" s="45"/>
      <c r="AJ652" s="105"/>
      <c r="AK652" s="105"/>
      <c r="AL652" s="60"/>
      <c r="AM652" s="60"/>
      <c r="AN652" s="60"/>
      <c r="AO652" s="60"/>
      <c r="AP652" s="60"/>
      <c r="AQ652" s="60"/>
      <c r="AR652" s="60"/>
      <c r="AS652" s="60"/>
      <c r="AT652" s="45"/>
      <c r="AU652" s="45"/>
      <c r="AW652" s="45"/>
      <c r="AX652" s="46">
        <f t="shared" si="31"/>
        <v>0</v>
      </c>
      <c r="AY652" s="46">
        <f t="shared" si="32"/>
        <v>0</v>
      </c>
      <c r="AZ652" s="46">
        <f t="shared" si="33"/>
        <v>0</v>
      </c>
    </row>
    <row r="653" spans="2:52" ht="20.100000000000001" customHeight="1">
      <c r="C653" s="102"/>
      <c r="D653" s="3"/>
      <c r="E653" s="12"/>
      <c r="F653" s="3"/>
      <c r="G653" s="3"/>
      <c r="H653" s="3"/>
      <c r="J653" s="3"/>
      <c r="K653" s="3"/>
      <c r="L653" s="4"/>
      <c r="M653" s="3"/>
      <c r="O653" s="58"/>
      <c r="Q653" s="64"/>
      <c r="R653" s="45"/>
      <c r="S653" s="45"/>
      <c r="U653" s="64"/>
      <c r="V653" s="45"/>
      <c r="W653" s="64"/>
      <c r="X653" s="64"/>
      <c r="Y653" s="45"/>
      <c r="Z653" s="45"/>
      <c r="AA653" s="105"/>
      <c r="AB653" s="105"/>
      <c r="AC653" s="105"/>
      <c r="AD653" s="64"/>
      <c r="AG653" s="45"/>
      <c r="AH653" s="64"/>
      <c r="AI653" s="45"/>
      <c r="AJ653" s="105"/>
      <c r="AK653" s="105"/>
      <c r="AL653" s="60"/>
      <c r="AM653" s="60"/>
      <c r="AN653" s="60"/>
      <c r="AO653" s="60"/>
      <c r="AP653" s="60"/>
      <c r="AQ653" s="60"/>
      <c r="AR653" s="60"/>
      <c r="AS653" s="60"/>
      <c r="AT653" s="45"/>
      <c r="AU653" s="45"/>
      <c r="AW653" s="45"/>
      <c r="AX653" s="46">
        <f t="shared" si="31"/>
        <v>0</v>
      </c>
      <c r="AY653" s="46">
        <f t="shared" si="32"/>
        <v>0</v>
      </c>
      <c r="AZ653" s="46">
        <f t="shared" si="33"/>
        <v>0</v>
      </c>
    </row>
    <row r="654" spans="2:52" ht="20.100000000000001" customHeight="1">
      <c r="C654" s="102"/>
      <c r="D654" s="3"/>
      <c r="E654" s="12"/>
      <c r="F654" s="3"/>
      <c r="G654" s="3"/>
      <c r="H654" s="3"/>
      <c r="J654" s="3"/>
      <c r="K654" s="3"/>
      <c r="L654" s="4"/>
      <c r="M654" s="3"/>
      <c r="O654" s="58"/>
      <c r="Q654" s="64"/>
      <c r="R654" s="45"/>
      <c r="S654" s="45"/>
      <c r="U654" s="64"/>
      <c r="V654" s="45"/>
      <c r="W654" s="64"/>
      <c r="X654" s="64"/>
      <c r="Y654" s="45"/>
      <c r="Z654" s="45"/>
      <c r="AA654" s="105"/>
      <c r="AB654" s="105"/>
      <c r="AC654" s="105"/>
      <c r="AD654" s="64"/>
      <c r="AH654" s="64"/>
      <c r="AI654" s="45"/>
      <c r="AJ654" s="105"/>
      <c r="AK654" s="105"/>
      <c r="AL654" s="60"/>
      <c r="AM654" s="60"/>
      <c r="AN654" s="60"/>
      <c r="AO654" s="60"/>
      <c r="AP654" s="60"/>
      <c r="AQ654" s="60"/>
      <c r="AR654" s="60"/>
      <c r="AS654" s="60"/>
      <c r="AT654" s="45"/>
      <c r="AU654" s="45"/>
      <c r="AW654" s="45"/>
      <c r="AX654" s="46">
        <f t="shared" si="31"/>
        <v>0</v>
      </c>
      <c r="AY654" s="46">
        <f t="shared" si="32"/>
        <v>0</v>
      </c>
      <c r="AZ654" s="46">
        <f t="shared" si="33"/>
        <v>0</v>
      </c>
    </row>
    <row r="655" spans="2:52" ht="20.100000000000001" customHeight="1">
      <c r="B655" s="61"/>
      <c r="C655" s="103"/>
      <c r="D655" s="3"/>
      <c r="E655" s="12"/>
      <c r="F655" s="3"/>
      <c r="G655" s="3"/>
      <c r="H655" s="3"/>
      <c r="J655" s="3"/>
      <c r="K655" s="3"/>
      <c r="L655" s="4"/>
      <c r="M655" s="3"/>
      <c r="O655" s="58"/>
      <c r="Q655" s="64"/>
      <c r="R655" s="45"/>
      <c r="S655" s="45"/>
      <c r="U655" s="64"/>
      <c r="V655" s="45"/>
      <c r="W655" s="64"/>
      <c r="X655" s="64"/>
      <c r="Y655" s="45"/>
      <c r="Z655" s="45"/>
      <c r="AA655" s="105"/>
      <c r="AB655" s="105"/>
      <c r="AC655" s="105"/>
      <c r="AD655" s="64"/>
      <c r="AE655" s="62"/>
      <c r="AG655" s="45"/>
      <c r="AH655" s="64"/>
      <c r="AI655" s="45"/>
      <c r="AJ655" s="105"/>
      <c r="AK655" s="105"/>
      <c r="AL655" s="60"/>
      <c r="AM655" s="60"/>
      <c r="AN655" s="60"/>
      <c r="AO655" s="60"/>
      <c r="AP655" s="60"/>
      <c r="AQ655" s="60"/>
      <c r="AR655" s="60"/>
      <c r="AS655" s="60"/>
      <c r="AT655" s="45"/>
      <c r="AU655" s="45"/>
      <c r="AW655" s="45"/>
      <c r="AX655" s="46">
        <f t="shared" si="31"/>
        <v>0</v>
      </c>
      <c r="AY655" s="46">
        <f t="shared" si="32"/>
        <v>0</v>
      </c>
      <c r="AZ655" s="46">
        <f t="shared" si="33"/>
        <v>0</v>
      </c>
    </row>
    <row r="656" spans="2:52" ht="20.100000000000001" customHeight="1">
      <c r="C656" s="102"/>
      <c r="D656" s="3"/>
      <c r="E656" s="12"/>
      <c r="F656" s="3"/>
      <c r="G656" s="3"/>
      <c r="H656" s="3"/>
      <c r="J656" s="3"/>
      <c r="K656" s="3"/>
      <c r="L656" s="4"/>
      <c r="M656" s="3"/>
      <c r="O656" s="58"/>
      <c r="Q656" s="64"/>
      <c r="R656" s="45"/>
      <c r="S656" s="45"/>
      <c r="U656" s="64"/>
      <c r="V656" s="45"/>
      <c r="W656" s="64"/>
      <c r="X656" s="64"/>
      <c r="Y656" s="45"/>
      <c r="Z656" s="45"/>
      <c r="AA656" s="105"/>
      <c r="AB656" s="105"/>
      <c r="AC656" s="105"/>
      <c r="AD656" s="64"/>
      <c r="AG656" s="45"/>
      <c r="AH656" s="64"/>
      <c r="AI656" s="45"/>
      <c r="AJ656" s="105"/>
      <c r="AK656" s="105"/>
      <c r="AL656" s="60"/>
      <c r="AM656" s="60"/>
      <c r="AN656" s="60"/>
      <c r="AO656" s="60"/>
      <c r="AP656" s="60"/>
      <c r="AQ656" s="60"/>
      <c r="AR656" s="60"/>
      <c r="AS656" s="60"/>
      <c r="AT656" s="45"/>
      <c r="AU656" s="45"/>
      <c r="AW656" s="45"/>
      <c r="AX656" s="46">
        <f t="shared" si="31"/>
        <v>0</v>
      </c>
      <c r="AY656" s="46">
        <f t="shared" si="32"/>
        <v>0</v>
      </c>
      <c r="AZ656" s="46">
        <f t="shared" si="33"/>
        <v>0</v>
      </c>
    </row>
    <row r="657" spans="3:52" ht="20.100000000000001" customHeight="1">
      <c r="C657" s="102"/>
      <c r="D657" s="3"/>
      <c r="E657" s="12"/>
      <c r="F657" s="3"/>
      <c r="G657" s="3"/>
      <c r="H657" s="3"/>
      <c r="J657" s="3"/>
      <c r="K657" s="3"/>
      <c r="L657" s="4"/>
      <c r="M657" s="3"/>
      <c r="O657" s="58"/>
      <c r="Q657" s="64"/>
      <c r="R657" s="45"/>
      <c r="S657" s="45"/>
      <c r="U657" s="64"/>
      <c r="V657" s="45"/>
      <c r="W657" s="64"/>
      <c r="X657" s="64"/>
      <c r="Y657" s="45"/>
      <c r="Z657" s="45"/>
      <c r="AA657" s="105"/>
      <c r="AB657" s="105"/>
      <c r="AC657" s="105"/>
      <c r="AD657" s="64"/>
      <c r="AG657" s="45"/>
      <c r="AH657" s="64"/>
      <c r="AI657" s="45"/>
      <c r="AJ657" s="105"/>
      <c r="AK657" s="105"/>
      <c r="AL657" s="60"/>
      <c r="AM657" s="60"/>
      <c r="AN657" s="60"/>
      <c r="AO657" s="60"/>
      <c r="AP657" s="60"/>
      <c r="AQ657" s="60"/>
      <c r="AR657" s="60"/>
      <c r="AS657" s="60"/>
      <c r="AT657" s="45"/>
      <c r="AU657" s="45"/>
      <c r="AW657" s="45"/>
      <c r="AX657" s="46">
        <f t="shared" si="31"/>
        <v>0</v>
      </c>
      <c r="AY657" s="46">
        <f t="shared" si="32"/>
        <v>0</v>
      </c>
      <c r="AZ657" s="46">
        <f t="shared" si="33"/>
        <v>0</v>
      </c>
    </row>
    <row r="658" spans="3:52" ht="20.100000000000001" customHeight="1">
      <c r="C658" s="102"/>
      <c r="D658" s="3"/>
      <c r="E658" s="12"/>
      <c r="F658" s="3"/>
      <c r="G658" s="3"/>
      <c r="H658" s="3"/>
      <c r="J658" s="3"/>
      <c r="K658" s="3"/>
      <c r="L658" s="4"/>
      <c r="M658" s="3"/>
      <c r="O658" s="58"/>
      <c r="Q658" s="64"/>
      <c r="R658" s="45"/>
      <c r="S658" s="45"/>
      <c r="U658" s="64"/>
      <c r="V658" s="45"/>
      <c r="W658" s="64"/>
      <c r="X658" s="64"/>
      <c r="Y658" s="45"/>
      <c r="Z658" s="45"/>
      <c r="AA658" s="105"/>
      <c r="AB658" s="105"/>
      <c r="AC658" s="105"/>
      <c r="AD658" s="64"/>
      <c r="AG658" s="45"/>
      <c r="AH658" s="64"/>
      <c r="AI658" s="45"/>
      <c r="AJ658" s="105"/>
      <c r="AK658" s="105"/>
      <c r="AL658" s="60"/>
      <c r="AM658" s="60"/>
      <c r="AN658" s="60"/>
      <c r="AO658" s="60"/>
      <c r="AP658" s="60"/>
      <c r="AQ658" s="60"/>
      <c r="AR658" s="60"/>
      <c r="AS658" s="60"/>
      <c r="AT658" s="45"/>
      <c r="AU658" s="45"/>
      <c r="AW658" s="45"/>
      <c r="AX658" s="46">
        <f t="shared" si="31"/>
        <v>0</v>
      </c>
      <c r="AY658" s="46">
        <f t="shared" si="32"/>
        <v>0</v>
      </c>
      <c r="AZ658" s="46">
        <f t="shared" si="33"/>
        <v>0</v>
      </c>
    </row>
    <row r="659" spans="3:52" ht="20.100000000000001" customHeight="1">
      <c r="C659" s="102"/>
      <c r="D659" s="3"/>
      <c r="E659" s="12"/>
      <c r="F659" s="3"/>
      <c r="G659" s="3"/>
      <c r="H659" s="3"/>
      <c r="J659" s="3"/>
      <c r="K659" s="3"/>
      <c r="L659" s="4"/>
      <c r="M659" s="3"/>
      <c r="O659" s="58"/>
      <c r="Q659" s="64"/>
      <c r="R659" s="45"/>
      <c r="S659" s="45"/>
      <c r="U659" s="64"/>
      <c r="V659" s="45"/>
      <c r="W659" s="64"/>
      <c r="X659" s="64"/>
      <c r="Y659" s="45"/>
      <c r="Z659" s="45"/>
      <c r="AA659" s="105"/>
      <c r="AB659" s="105"/>
      <c r="AC659" s="105"/>
      <c r="AD659" s="64"/>
      <c r="AH659" s="64"/>
      <c r="AI659" s="45"/>
      <c r="AJ659" s="105"/>
      <c r="AK659" s="105"/>
      <c r="AL659" s="60"/>
      <c r="AM659" s="60"/>
      <c r="AN659" s="60"/>
      <c r="AO659" s="60"/>
      <c r="AP659" s="60"/>
      <c r="AQ659" s="60"/>
      <c r="AR659" s="60"/>
      <c r="AS659" s="60"/>
      <c r="AT659" s="45"/>
      <c r="AU659" s="45"/>
      <c r="AW659" s="45"/>
      <c r="AX659" s="46">
        <f t="shared" si="31"/>
        <v>0</v>
      </c>
      <c r="AY659" s="46">
        <f t="shared" si="32"/>
        <v>0</v>
      </c>
      <c r="AZ659" s="46">
        <f t="shared" si="33"/>
        <v>0</v>
      </c>
    </row>
    <row r="660" spans="3:52" ht="20.100000000000001" customHeight="1">
      <c r="C660" s="102"/>
      <c r="D660" s="3"/>
      <c r="E660" s="12"/>
      <c r="F660" s="3"/>
      <c r="G660" s="3"/>
      <c r="H660" s="3"/>
      <c r="J660" s="3"/>
      <c r="K660" s="3"/>
      <c r="L660" s="4"/>
      <c r="M660" s="3"/>
      <c r="O660" s="58"/>
      <c r="Q660" s="64"/>
      <c r="R660" s="45"/>
      <c r="S660" s="45"/>
      <c r="U660" s="64"/>
      <c r="V660" s="45"/>
      <c r="W660" s="64"/>
      <c r="X660" s="64"/>
      <c r="Y660" s="45"/>
      <c r="Z660" s="45"/>
      <c r="AA660" s="105"/>
      <c r="AB660" s="105"/>
      <c r="AC660" s="105"/>
      <c r="AD660" s="64"/>
      <c r="AH660" s="64"/>
      <c r="AI660" s="45"/>
      <c r="AJ660" s="105"/>
      <c r="AK660" s="105"/>
      <c r="AL660" s="60"/>
      <c r="AM660" s="60"/>
      <c r="AN660" s="60"/>
      <c r="AO660" s="60"/>
      <c r="AP660" s="60"/>
      <c r="AQ660" s="60"/>
      <c r="AR660" s="60"/>
      <c r="AS660" s="60"/>
      <c r="AT660" s="45"/>
      <c r="AU660" s="45"/>
      <c r="AW660" s="45"/>
      <c r="AX660" s="46">
        <f t="shared" si="31"/>
        <v>0</v>
      </c>
      <c r="AY660" s="46">
        <f t="shared" si="32"/>
        <v>0</v>
      </c>
      <c r="AZ660" s="46">
        <f t="shared" si="33"/>
        <v>0</v>
      </c>
    </row>
    <row r="661" spans="3:52" ht="20.100000000000001" customHeight="1">
      <c r="C661" s="102"/>
      <c r="D661" s="3"/>
      <c r="E661" s="12"/>
      <c r="F661" s="3"/>
      <c r="G661" s="3"/>
      <c r="H661" s="3"/>
      <c r="J661" s="3"/>
      <c r="K661" s="3"/>
      <c r="L661" s="4"/>
      <c r="M661" s="3"/>
      <c r="O661" s="58"/>
      <c r="Q661" s="64"/>
      <c r="R661" s="45"/>
      <c r="S661" s="45"/>
      <c r="U661" s="64"/>
      <c r="V661" s="45"/>
      <c r="W661" s="64"/>
      <c r="X661" s="64"/>
      <c r="Y661" s="45"/>
      <c r="Z661" s="45"/>
      <c r="AA661" s="105"/>
      <c r="AB661" s="105"/>
      <c r="AC661" s="105"/>
      <c r="AD661" s="64"/>
      <c r="AH661" s="64"/>
      <c r="AI661" s="45"/>
      <c r="AJ661" s="105"/>
      <c r="AK661" s="105"/>
      <c r="AL661" s="60"/>
      <c r="AM661" s="60"/>
      <c r="AN661" s="60"/>
      <c r="AO661" s="60"/>
      <c r="AP661" s="60"/>
      <c r="AQ661" s="60"/>
      <c r="AR661" s="60"/>
      <c r="AS661" s="60"/>
      <c r="AT661" s="45"/>
      <c r="AU661" s="45"/>
      <c r="AW661" s="45"/>
      <c r="AX661" s="46">
        <f t="shared" si="31"/>
        <v>0</v>
      </c>
      <c r="AY661" s="46">
        <f t="shared" si="32"/>
        <v>0</v>
      </c>
      <c r="AZ661" s="46">
        <f t="shared" si="33"/>
        <v>0</v>
      </c>
    </row>
    <row r="662" spans="3:52" ht="20.100000000000001" customHeight="1">
      <c r="C662" s="102"/>
      <c r="D662" s="3"/>
      <c r="E662" s="12"/>
      <c r="F662" s="3"/>
      <c r="G662" s="3"/>
      <c r="H662" s="3"/>
      <c r="J662" s="3"/>
      <c r="K662" s="3"/>
      <c r="L662" s="4"/>
      <c r="M662" s="3"/>
      <c r="O662" s="58"/>
      <c r="Q662" s="64"/>
      <c r="R662" s="45"/>
      <c r="S662" s="45"/>
      <c r="U662" s="64"/>
      <c r="V662" s="45"/>
      <c r="W662" s="64"/>
      <c r="X662" s="64"/>
      <c r="Y662" s="45"/>
      <c r="Z662" s="45"/>
      <c r="AA662" s="105"/>
      <c r="AB662" s="105"/>
      <c r="AC662" s="105"/>
      <c r="AD662" s="64"/>
      <c r="AG662" s="45"/>
      <c r="AH662" s="64"/>
      <c r="AI662" s="45"/>
      <c r="AJ662" s="105"/>
      <c r="AK662" s="105"/>
      <c r="AL662" s="60"/>
      <c r="AM662" s="60"/>
      <c r="AN662" s="60"/>
      <c r="AO662" s="60"/>
      <c r="AP662" s="60"/>
      <c r="AQ662" s="60"/>
      <c r="AR662" s="60"/>
      <c r="AS662" s="60"/>
      <c r="AT662" s="45"/>
      <c r="AU662" s="45"/>
      <c r="AW662" s="45"/>
      <c r="AX662" s="46">
        <f t="shared" si="31"/>
        <v>0</v>
      </c>
      <c r="AY662" s="46">
        <f t="shared" si="32"/>
        <v>0</v>
      </c>
      <c r="AZ662" s="46">
        <f t="shared" si="33"/>
        <v>0</v>
      </c>
    </row>
    <row r="663" spans="3:52" ht="20.100000000000001" customHeight="1">
      <c r="C663" s="102"/>
      <c r="D663" s="3"/>
      <c r="E663" s="12"/>
      <c r="F663" s="3"/>
      <c r="G663" s="3"/>
      <c r="H663" s="3"/>
      <c r="J663" s="3"/>
      <c r="K663" s="3"/>
      <c r="L663" s="4"/>
      <c r="M663" s="3"/>
      <c r="O663" s="58"/>
      <c r="Q663" s="64"/>
      <c r="R663" s="45"/>
      <c r="S663" s="45"/>
      <c r="U663" s="64"/>
      <c r="V663" s="45"/>
      <c r="W663" s="64"/>
      <c r="X663" s="64"/>
      <c r="Y663" s="45"/>
      <c r="Z663" s="45"/>
      <c r="AA663" s="105"/>
      <c r="AB663" s="105"/>
      <c r="AC663" s="105"/>
      <c r="AD663" s="64"/>
      <c r="AG663" s="45"/>
      <c r="AH663" s="64"/>
      <c r="AI663" s="45"/>
      <c r="AJ663" s="105"/>
      <c r="AK663" s="105"/>
      <c r="AL663" s="60"/>
      <c r="AM663" s="60"/>
      <c r="AN663" s="60"/>
      <c r="AO663" s="60"/>
      <c r="AP663" s="60"/>
      <c r="AQ663" s="60"/>
      <c r="AR663" s="60"/>
      <c r="AS663" s="60"/>
      <c r="AT663" s="45"/>
      <c r="AU663" s="45"/>
      <c r="AW663" s="45"/>
      <c r="AX663" s="46">
        <f t="shared" si="31"/>
        <v>0</v>
      </c>
      <c r="AY663" s="46">
        <f t="shared" si="32"/>
        <v>0</v>
      </c>
      <c r="AZ663" s="46">
        <f t="shared" si="33"/>
        <v>0</v>
      </c>
    </row>
    <row r="664" spans="3:52" ht="20.100000000000001" customHeight="1">
      <c r="C664" s="102"/>
      <c r="D664" s="3"/>
      <c r="E664" s="12"/>
      <c r="F664" s="3"/>
      <c r="G664" s="3"/>
      <c r="H664" s="3"/>
      <c r="J664" s="3"/>
      <c r="K664" s="3"/>
      <c r="L664" s="4"/>
      <c r="M664" s="3"/>
      <c r="O664" s="58"/>
      <c r="Q664" s="64"/>
      <c r="R664" s="45"/>
      <c r="S664" s="45"/>
      <c r="U664" s="64"/>
      <c r="V664" s="45"/>
      <c r="W664" s="64"/>
      <c r="X664" s="64"/>
      <c r="Y664" s="45"/>
      <c r="Z664" s="45"/>
      <c r="AA664" s="105"/>
      <c r="AB664" s="105"/>
      <c r="AC664" s="105"/>
      <c r="AD664" s="64"/>
      <c r="AH664" s="64"/>
      <c r="AI664" s="45"/>
      <c r="AJ664" s="105"/>
      <c r="AK664" s="105"/>
      <c r="AL664" s="60"/>
      <c r="AM664" s="60"/>
      <c r="AN664" s="60"/>
      <c r="AO664" s="60"/>
      <c r="AP664" s="60"/>
      <c r="AQ664" s="60"/>
      <c r="AR664" s="60"/>
      <c r="AS664" s="60"/>
      <c r="AT664" s="45"/>
      <c r="AU664" s="45"/>
      <c r="AW664" s="45"/>
      <c r="AX664" s="46">
        <f t="shared" si="31"/>
        <v>0</v>
      </c>
      <c r="AY664" s="46">
        <f t="shared" si="32"/>
        <v>0</v>
      </c>
      <c r="AZ664" s="46">
        <f t="shared" si="33"/>
        <v>0</v>
      </c>
    </row>
    <row r="665" spans="3:52" ht="20.100000000000001" customHeight="1">
      <c r="C665" s="102"/>
      <c r="D665" s="3"/>
      <c r="E665" s="12"/>
      <c r="F665" s="3"/>
      <c r="G665" s="3"/>
      <c r="H665" s="3"/>
      <c r="J665" s="3"/>
      <c r="K665" s="3"/>
      <c r="L665" s="4"/>
      <c r="M665" s="3"/>
      <c r="O665" s="58"/>
      <c r="Q665" s="64"/>
      <c r="R665" s="45"/>
      <c r="S665" s="45"/>
      <c r="U665" s="64"/>
      <c r="V665" s="45"/>
      <c r="W665" s="64"/>
      <c r="X665" s="64"/>
      <c r="Y665" s="45"/>
      <c r="Z665" s="45"/>
      <c r="AA665" s="105"/>
      <c r="AB665" s="105"/>
      <c r="AC665" s="105"/>
      <c r="AD665" s="64"/>
      <c r="AG665" s="45"/>
      <c r="AH665" s="64"/>
      <c r="AI665" s="45"/>
      <c r="AJ665" s="105"/>
      <c r="AK665" s="105"/>
      <c r="AL665" s="60"/>
      <c r="AM665" s="60"/>
      <c r="AN665" s="60"/>
      <c r="AO665" s="60"/>
      <c r="AP665" s="60"/>
      <c r="AQ665" s="60"/>
      <c r="AR665" s="60"/>
      <c r="AS665" s="60"/>
      <c r="AT665" s="45"/>
      <c r="AU665" s="45"/>
      <c r="AW665" s="45"/>
      <c r="AX665" s="46">
        <f t="shared" si="31"/>
        <v>0</v>
      </c>
      <c r="AY665" s="46">
        <f t="shared" si="32"/>
        <v>0</v>
      </c>
      <c r="AZ665" s="46">
        <f t="shared" si="33"/>
        <v>0</v>
      </c>
    </row>
    <row r="666" spans="3:52" ht="20.100000000000001" customHeight="1">
      <c r="C666" s="102"/>
      <c r="D666" s="3"/>
      <c r="E666" s="12"/>
      <c r="F666" s="3"/>
      <c r="G666" s="3"/>
      <c r="H666" s="3"/>
      <c r="J666" s="3"/>
      <c r="K666" s="3"/>
      <c r="L666" s="4"/>
      <c r="M666" s="3"/>
      <c r="O666" s="58"/>
      <c r="Q666" s="64"/>
      <c r="R666" s="45"/>
      <c r="S666" s="45"/>
      <c r="U666" s="64"/>
      <c r="V666" s="45"/>
      <c r="W666" s="64"/>
      <c r="X666" s="64"/>
      <c r="Y666" s="45"/>
      <c r="Z666" s="45"/>
      <c r="AA666" s="105"/>
      <c r="AB666" s="105"/>
      <c r="AC666" s="105"/>
      <c r="AD666" s="64"/>
      <c r="AG666" s="45"/>
      <c r="AH666" s="64"/>
      <c r="AI666" s="45"/>
      <c r="AJ666" s="105"/>
      <c r="AK666" s="105"/>
      <c r="AL666" s="60"/>
      <c r="AM666" s="60"/>
      <c r="AN666" s="60"/>
      <c r="AO666" s="60"/>
      <c r="AP666" s="60"/>
      <c r="AQ666" s="60"/>
      <c r="AR666" s="60"/>
      <c r="AS666" s="60"/>
      <c r="AT666" s="45"/>
      <c r="AU666" s="45"/>
      <c r="AW666" s="45"/>
      <c r="AX666" s="46">
        <f t="shared" si="31"/>
        <v>0</v>
      </c>
      <c r="AY666" s="46">
        <f t="shared" si="32"/>
        <v>0</v>
      </c>
      <c r="AZ666" s="46">
        <f t="shared" si="33"/>
        <v>0</v>
      </c>
    </row>
    <row r="667" spans="3:52" ht="20.100000000000001" customHeight="1">
      <c r="C667" s="102"/>
      <c r="D667" s="3"/>
      <c r="E667" s="12"/>
      <c r="F667" s="3"/>
      <c r="G667" s="3"/>
      <c r="H667" s="3"/>
      <c r="J667" s="3"/>
      <c r="K667" s="3"/>
      <c r="L667" s="4"/>
      <c r="M667" s="3"/>
      <c r="O667" s="58"/>
      <c r="Q667" s="64"/>
      <c r="R667" s="45"/>
      <c r="S667" s="45"/>
      <c r="U667" s="64"/>
      <c r="V667" s="45"/>
      <c r="W667" s="64"/>
      <c r="X667" s="64"/>
      <c r="Y667" s="45"/>
      <c r="Z667" s="45"/>
      <c r="AA667" s="105"/>
      <c r="AB667" s="105"/>
      <c r="AC667" s="105"/>
      <c r="AD667" s="64"/>
      <c r="AH667" s="64"/>
      <c r="AI667" s="45"/>
      <c r="AJ667" s="105"/>
      <c r="AK667" s="105"/>
      <c r="AL667" s="60"/>
      <c r="AM667" s="60"/>
      <c r="AN667" s="60"/>
      <c r="AO667" s="60"/>
      <c r="AP667" s="60"/>
      <c r="AQ667" s="60"/>
      <c r="AR667" s="60"/>
      <c r="AS667" s="60"/>
      <c r="AT667" s="45"/>
      <c r="AU667" s="45"/>
      <c r="AW667" s="45"/>
      <c r="AX667" s="46">
        <f t="shared" si="31"/>
        <v>0</v>
      </c>
      <c r="AY667" s="46">
        <f t="shared" si="32"/>
        <v>0</v>
      </c>
      <c r="AZ667" s="46">
        <f t="shared" si="33"/>
        <v>0</v>
      </c>
    </row>
    <row r="668" spans="3:52" ht="20.100000000000001" customHeight="1">
      <c r="C668" s="102"/>
      <c r="D668" s="3"/>
      <c r="E668" s="12"/>
      <c r="F668" s="3"/>
      <c r="G668" s="3"/>
      <c r="H668" s="3"/>
      <c r="J668" s="3"/>
      <c r="K668" s="3"/>
      <c r="L668" s="4"/>
      <c r="M668" s="3"/>
      <c r="O668" s="58"/>
      <c r="Q668" s="64"/>
      <c r="R668" s="45"/>
      <c r="S668" s="45"/>
      <c r="U668" s="64"/>
      <c r="V668" s="45"/>
      <c r="W668" s="64"/>
      <c r="X668" s="64"/>
      <c r="Y668" s="45"/>
      <c r="Z668" s="45"/>
      <c r="AA668" s="105"/>
      <c r="AB668" s="105"/>
      <c r="AC668" s="105"/>
      <c r="AD668" s="64"/>
      <c r="AG668" s="45"/>
      <c r="AH668" s="64"/>
      <c r="AI668" s="45"/>
      <c r="AJ668" s="105"/>
      <c r="AK668" s="105"/>
      <c r="AL668" s="60"/>
      <c r="AM668" s="60"/>
      <c r="AN668" s="60"/>
      <c r="AO668" s="60"/>
      <c r="AP668" s="60"/>
      <c r="AQ668" s="60"/>
      <c r="AR668" s="60"/>
      <c r="AS668" s="60"/>
      <c r="AT668" s="45"/>
      <c r="AU668" s="45"/>
      <c r="AW668" s="45"/>
      <c r="AX668" s="46">
        <f t="shared" si="31"/>
        <v>0</v>
      </c>
      <c r="AY668" s="46">
        <f t="shared" si="32"/>
        <v>0</v>
      </c>
      <c r="AZ668" s="46">
        <f t="shared" si="33"/>
        <v>0</v>
      </c>
    </row>
    <row r="669" spans="3:52" ht="20.100000000000001" customHeight="1">
      <c r="C669" s="102"/>
      <c r="D669" s="3"/>
      <c r="E669" s="12"/>
      <c r="F669" s="3"/>
      <c r="G669" s="3"/>
      <c r="H669" s="3"/>
      <c r="J669" s="3"/>
      <c r="K669" s="3"/>
      <c r="L669" s="4"/>
      <c r="M669" s="3"/>
      <c r="O669" s="58"/>
      <c r="Q669" s="64"/>
      <c r="R669" s="45"/>
      <c r="S669" s="45"/>
      <c r="U669" s="64"/>
      <c r="V669" s="45"/>
      <c r="W669" s="64"/>
      <c r="X669" s="64"/>
      <c r="Y669" s="45"/>
      <c r="Z669" s="45"/>
      <c r="AA669" s="105"/>
      <c r="AB669" s="105"/>
      <c r="AC669" s="105"/>
      <c r="AD669" s="64"/>
      <c r="AG669" s="45"/>
      <c r="AH669" s="64"/>
      <c r="AI669" s="45"/>
      <c r="AJ669" s="105"/>
      <c r="AK669" s="105"/>
      <c r="AL669" s="60"/>
      <c r="AM669" s="60"/>
      <c r="AN669" s="60"/>
      <c r="AO669" s="60"/>
      <c r="AP669" s="60"/>
      <c r="AQ669" s="60"/>
      <c r="AR669" s="60"/>
      <c r="AS669" s="60"/>
      <c r="AT669" s="45"/>
      <c r="AU669" s="45"/>
      <c r="AW669" s="45"/>
      <c r="AX669" s="46">
        <f t="shared" si="31"/>
        <v>0</v>
      </c>
      <c r="AY669" s="46">
        <f t="shared" si="32"/>
        <v>0</v>
      </c>
      <c r="AZ669" s="46">
        <f t="shared" si="33"/>
        <v>0</v>
      </c>
    </row>
    <row r="670" spans="3:52" ht="20.100000000000001" customHeight="1">
      <c r="C670" s="102"/>
      <c r="D670" s="3"/>
      <c r="E670" s="67"/>
      <c r="F670" s="3"/>
      <c r="G670" s="3"/>
      <c r="H670" s="3"/>
      <c r="J670" s="3"/>
      <c r="K670" s="3"/>
      <c r="L670" s="4"/>
      <c r="M670" s="3"/>
      <c r="O670" s="58"/>
      <c r="Q670" s="64"/>
      <c r="R670" s="45"/>
      <c r="S670" s="45"/>
      <c r="U670" s="64"/>
      <c r="V670" s="45"/>
      <c r="W670" s="64"/>
      <c r="X670" s="64"/>
      <c r="Y670" s="45"/>
      <c r="Z670" s="45"/>
      <c r="AA670" s="105"/>
      <c r="AB670" s="105"/>
      <c r="AC670" s="105"/>
      <c r="AD670" s="64"/>
      <c r="AH670" s="64"/>
      <c r="AI670" s="45"/>
      <c r="AJ670" s="105"/>
      <c r="AK670" s="105"/>
      <c r="AL670" s="60"/>
      <c r="AM670" s="60"/>
      <c r="AN670" s="60"/>
      <c r="AO670" s="60"/>
      <c r="AP670" s="60"/>
      <c r="AQ670" s="60"/>
      <c r="AR670" s="60"/>
      <c r="AS670" s="60"/>
      <c r="AT670" s="45"/>
      <c r="AU670" s="45"/>
      <c r="AW670" s="45"/>
      <c r="AX670" s="46">
        <f t="shared" si="31"/>
        <v>0</v>
      </c>
      <c r="AY670" s="46">
        <f t="shared" si="32"/>
        <v>0</v>
      </c>
      <c r="AZ670" s="46">
        <f t="shared" si="33"/>
        <v>0</v>
      </c>
    </row>
    <row r="671" spans="3:52" ht="20.100000000000001" customHeight="1">
      <c r="C671" s="102"/>
      <c r="D671" s="3"/>
      <c r="E671" s="12"/>
      <c r="F671" s="3"/>
      <c r="G671" s="3"/>
      <c r="H671" s="3"/>
      <c r="J671" s="3"/>
      <c r="K671" s="3"/>
      <c r="L671" s="4"/>
      <c r="M671" s="3"/>
      <c r="O671" s="58"/>
      <c r="Q671" s="64"/>
      <c r="R671" s="45"/>
      <c r="S671" s="45"/>
      <c r="U671" s="64"/>
      <c r="V671" s="45"/>
      <c r="W671" s="64"/>
      <c r="X671" s="64"/>
      <c r="Y671" s="45"/>
      <c r="Z671" s="45"/>
      <c r="AA671" s="105"/>
      <c r="AB671" s="105"/>
      <c r="AC671" s="105"/>
      <c r="AD671" s="64"/>
      <c r="AG671" s="45"/>
      <c r="AH671" s="64"/>
      <c r="AI671" s="45"/>
      <c r="AJ671" s="105"/>
      <c r="AK671" s="105"/>
      <c r="AL671" s="60"/>
      <c r="AM671" s="60"/>
      <c r="AN671" s="60"/>
      <c r="AO671" s="60"/>
      <c r="AP671" s="60"/>
      <c r="AQ671" s="60"/>
      <c r="AR671" s="60"/>
      <c r="AS671" s="60"/>
      <c r="AT671" s="45"/>
      <c r="AU671" s="45"/>
      <c r="AW671" s="45"/>
      <c r="AX671" s="46">
        <f t="shared" si="31"/>
        <v>0</v>
      </c>
      <c r="AY671" s="46">
        <f t="shared" si="32"/>
        <v>0</v>
      </c>
      <c r="AZ671" s="46">
        <f t="shared" si="33"/>
        <v>0</v>
      </c>
    </row>
    <row r="672" spans="3:52" ht="20.100000000000001" customHeight="1">
      <c r="C672" s="102"/>
      <c r="D672" s="3"/>
      <c r="E672" s="12"/>
      <c r="F672" s="3"/>
      <c r="G672" s="3"/>
      <c r="H672" s="3"/>
      <c r="J672" s="3"/>
      <c r="K672" s="3"/>
      <c r="L672" s="4"/>
      <c r="M672" s="3"/>
      <c r="O672" s="58"/>
      <c r="Q672" s="64"/>
      <c r="R672" s="45"/>
      <c r="S672" s="45"/>
      <c r="U672" s="64"/>
      <c r="V672" s="45"/>
      <c r="W672" s="64"/>
      <c r="X672" s="64"/>
      <c r="Y672" s="45"/>
      <c r="Z672" s="45"/>
      <c r="AA672" s="105"/>
      <c r="AB672" s="105"/>
      <c r="AC672" s="105"/>
      <c r="AD672" s="64"/>
      <c r="AG672" s="45"/>
      <c r="AH672" s="64"/>
      <c r="AI672" s="45"/>
      <c r="AJ672" s="105"/>
      <c r="AK672" s="105"/>
      <c r="AL672" s="60"/>
      <c r="AM672" s="60"/>
      <c r="AN672" s="60"/>
      <c r="AO672" s="60"/>
      <c r="AP672" s="60"/>
      <c r="AQ672" s="60"/>
      <c r="AR672" s="60"/>
      <c r="AS672" s="60"/>
      <c r="AT672" s="45"/>
      <c r="AU672" s="45"/>
      <c r="AW672" s="45"/>
      <c r="AX672" s="46">
        <f t="shared" si="31"/>
        <v>0</v>
      </c>
      <c r="AY672" s="46">
        <f t="shared" si="32"/>
        <v>0</v>
      </c>
      <c r="AZ672" s="46">
        <f t="shared" si="33"/>
        <v>0</v>
      </c>
    </row>
    <row r="673" spans="3:52" ht="20.100000000000001" customHeight="1">
      <c r="C673" s="102"/>
      <c r="D673" s="3"/>
      <c r="E673" s="12"/>
      <c r="F673" s="3"/>
      <c r="G673" s="3"/>
      <c r="H673" s="3"/>
      <c r="J673" s="3"/>
      <c r="K673" s="3"/>
      <c r="L673" s="4"/>
      <c r="M673" s="3"/>
      <c r="O673" s="58"/>
      <c r="Q673" s="64"/>
      <c r="R673" s="45"/>
      <c r="S673" s="45"/>
      <c r="U673" s="64"/>
      <c r="V673" s="45"/>
      <c r="W673" s="64"/>
      <c r="X673" s="64"/>
      <c r="Y673" s="45"/>
      <c r="Z673" s="45"/>
      <c r="AA673" s="105"/>
      <c r="AB673" s="105"/>
      <c r="AC673" s="105"/>
      <c r="AD673" s="64"/>
      <c r="AG673" s="45"/>
      <c r="AH673" s="64"/>
      <c r="AI673" s="45"/>
      <c r="AJ673" s="105"/>
      <c r="AK673" s="105"/>
      <c r="AL673" s="60"/>
      <c r="AM673" s="60"/>
      <c r="AN673" s="60"/>
      <c r="AO673" s="60"/>
      <c r="AP673" s="60"/>
      <c r="AQ673" s="60"/>
      <c r="AR673" s="60"/>
      <c r="AS673" s="60"/>
      <c r="AT673" s="45"/>
      <c r="AU673" s="45"/>
      <c r="AW673" s="45"/>
      <c r="AX673" s="46">
        <f t="shared" si="31"/>
        <v>0</v>
      </c>
      <c r="AY673" s="46">
        <f t="shared" si="32"/>
        <v>0</v>
      </c>
      <c r="AZ673" s="46">
        <f t="shared" si="33"/>
        <v>0</v>
      </c>
    </row>
    <row r="674" spans="3:52" ht="20.100000000000001" customHeight="1">
      <c r="C674" s="102"/>
      <c r="D674" s="3"/>
      <c r="E674" s="12"/>
      <c r="F674" s="3"/>
      <c r="G674" s="3"/>
      <c r="H674" s="3"/>
      <c r="J674" s="3"/>
      <c r="K674" s="3"/>
      <c r="L674" s="4"/>
      <c r="M674" s="3"/>
      <c r="O674" s="58"/>
      <c r="Q674" s="64"/>
      <c r="R674" s="45"/>
      <c r="S674" s="45"/>
      <c r="U674" s="64"/>
      <c r="V674" s="45"/>
      <c r="W674" s="64"/>
      <c r="X674" s="64"/>
      <c r="Y674" s="45"/>
      <c r="Z674" s="45"/>
      <c r="AA674" s="105"/>
      <c r="AB674" s="105"/>
      <c r="AC674" s="105"/>
      <c r="AD674" s="64"/>
      <c r="AG674" s="45"/>
      <c r="AH674" s="64"/>
      <c r="AI674" s="45"/>
      <c r="AJ674" s="105"/>
      <c r="AK674" s="105"/>
      <c r="AL674" s="60"/>
      <c r="AM674" s="60"/>
      <c r="AN674" s="60"/>
      <c r="AO674" s="60"/>
      <c r="AP674" s="60"/>
      <c r="AQ674" s="60"/>
      <c r="AR674" s="60"/>
      <c r="AS674" s="60"/>
      <c r="AT674" s="45"/>
      <c r="AU674" s="45"/>
      <c r="AW674" s="45"/>
      <c r="AX674" s="46">
        <f t="shared" si="31"/>
        <v>0</v>
      </c>
      <c r="AY674" s="46">
        <f t="shared" si="32"/>
        <v>0</v>
      </c>
      <c r="AZ674" s="46">
        <f t="shared" si="33"/>
        <v>0</v>
      </c>
    </row>
    <row r="675" spans="3:52" ht="20.100000000000001" customHeight="1">
      <c r="C675" s="102"/>
      <c r="D675" s="3"/>
      <c r="E675" s="12"/>
      <c r="F675" s="3"/>
      <c r="G675" s="3"/>
      <c r="H675" s="3"/>
      <c r="J675" s="3"/>
      <c r="K675" s="3"/>
      <c r="L675" s="4"/>
      <c r="M675" s="3"/>
      <c r="O675" s="58"/>
      <c r="Q675" s="64"/>
      <c r="R675" s="45"/>
      <c r="S675" s="45"/>
      <c r="U675" s="64"/>
      <c r="V675" s="45"/>
      <c r="W675" s="64"/>
      <c r="X675" s="64"/>
      <c r="Y675" s="45"/>
      <c r="Z675" s="45"/>
      <c r="AA675" s="105"/>
      <c r="AB675" s="105"/>
      <c r="AC675" s="105"/>
      <c r="AD675" s="64"/>
      <c r="AG675" s="45"/>
      <c r="AH675" s="64"/>
      <c r="AI675" s="45"/>
      <c r="AJ675" s="105"/>
      <c r="AK675" s="105"/>
      <c r="AL675" s="60"/>
      <c r="AM675" s="60"/>
      <c r="AN675" s="60"/>
      <c r="AO675" s="60"/>
      <c r="AP675" s="60"/>
      <c r="AQ675" s="60"/>
      <c r="AR675" s="60"/>
      <c r="AS675" s="60"/>
      <c r="AT675" s="45"/>
      <c r="AU675" s="45"/>
      <c r="AW675" s="45"/>
      <c r="AX675" s="46">
        <f t="shared" si="31"/>
        <v>0</v>
      </c>
      <c r="AY675" s="46">
        <f t="shared" si="32"/>
        <v>0</v>
      </c>
      <c r="AZ675" s="46">
        <f t="shared" si="33"/>
        <v>0</v>
      </c>
    </row>
    <row r="676" spans="3:52" ht="20.100000000000001" customHeight="1">
      <c r="C676" s="102"/>
      <c r="D676" s="3"/>
      <c r="E676" s="12"/>
      <c r="F676" s="3"/>
      <c r="G676" s="3"/>
      <c r="H676" s="3"/>
      <c r="J676" s="3"/>
      <c r="K676" s="3"/>
      <c r="L676" s="4"/>
      <c r="M676" s="3"/>
      <c r="O676" s="58"/>
      <c r="Q676" s="64"/>
      <c r="R676" s="45"/>
      <c r="S676" s="45"/>
      <c r="U676" s="64"/>
      <c r="V676" s="45"/>
      <c r="W676" s="64"/>
      <c r="X676" s="64"/>
      <c r="Y676" s="45"/>
      <c r="Z676" s="45"/>
      <c r="AA676" s="105"/>
      <c r="AB676" s="105"/>
      <c r="AC676" s="105"/>
      <c r="AD676" s="64"/>
      <c r="AG676" s="45"/>
      <c r="AH676" s="64"/>
      <c r="AI676" s="45"/>
      <c r="AJ676" s="105"/>
      <c r="AK676" s="105"/>
      <c r="AL676" s="60"/>
      <c r="AM676" s="60"/>
      <c r="AN676" s="60"/>
      <c r="AO676" s="60"/>
      <c r="AP676" s="60"/>
      <c r="AQ676" s="60"/>
      <c r="AR676" s="60"/>
      <c r="AS676" s="60"/>
      <c r="AT676" s="45"/>
      <c r="AU676" s="45"/>
      <c r="AW676" s="45"/>
      <c r="AX676" s="46">
        <f t="shared" si="31"/>
        <v>0</v>
      </c>
      <c r="AY676" s="46">
        <f t="shared" si="32"/>
        <v>0</v>
      </c>
      <c r="AZ676" s="46">
        <f t="shared" si="33"/>
        <v>0</v>
      </c>
    </row>
    <row r="677" spans="3:52" ht="20.100000000000001" customHeight="1">
      <c r="C677" s="102"/>
      <c r="D677" s="3"/>
      <c r="E677" s="12"/>
      <c r="F677" s="3"/>
      <c r="G677" s="3"/>
      <c r="H677" s="3"/>
      <c r="J677" s="3"/>
      <c r="K677" s="3"/>
      <c r="L677" s="4"/>
      <c r="M677" s="3"/>
      <c r="O677" s="58"/>
      <c r="Q677" s="64"/>
      <c r="R677" s="45"/>
      <c r="S677" s="45"/>
      <c r="U677" s="64"/>
      <c r="V677" s="45"/>
      <c r="W677" s="64"/>
      <c r="X677" s="64"/>
      <c r="Y677" s="45"/>
      <c r="Z677" s="45"/>
      <c r="AA677" s="105"/>
      <c r="AB677" s="105"/>
      <c r="AC677" s="105"/>
      <c r="AD677" s="64"/>
      <c r="AG677" s="45"/>
      <c r="AH677" s="64"/>
      <c r="AI677" s="45"/>
      <c r="AJ677" s="105"/>
      <c r="AK677" s="105"/>
      <c r="AL677" s="60"/>
      <c r="AM677" s="60"/>
      <c r="AN677" s="60"/>
      <c r="AO677" s="60"/>
      <c r="AP677" s="60"/>
      <c r="AQ677" s="60"/>
      <c r="AR677" s="60"/>
      <c r="AS677" s="60"/>
      <c r="AT677" s="45"/>
      <c r="AU677" s="45"/>
      <c r="AW677" s="45"/>
      <c r="AX677" s="46">
        <f t="shared" si="31"/>
        <v>0</v>
      </c>
      <c r="AY677" s="46">
        <f t="shared" si="32"/>
        <v>0</v>
      </c>
      <c r="AZ677" s="46">
        <f t="shared" si="33"/>
        <v>0</v>
      </c>
    </row>
    <row r="678" spans="3:52" ht="20.100000000000001" customHeight="1">
      <c r="C678" s="102"/>
      <c r="D678" s="3"/>
      <c r="E678" s="12"/>
      <c r="F678" s="3"/>
      <c r="G678" s="3"/>
      <c r="H678" s="3"/>
      <c r="J678" s="3"/>
      <c r="K678" s="3"/>
      <c r="L678" s="4"/>
      <c r="M678" s="3"/>
      <c r="O678" s="58"/>
      <c r="Q678" s="64"/>
      <c r="R678" s="45"/>
      <c r="S678" s="45"/>
      <c r="U678" s="64"/>
      <c r="V678" s="45"/>
      <c r="W678" s="64"/>
      <c r="X678" s="64"/>
      <c r="Y678" s="45"/>
      <c r="Z678" s="45"/>
      <c r="AA678" s="105"/>
      <c r="AB678" s="105"/>
      <c r="AC678" s="105"/>
      <c r="AD678" s="64"/>
      <c r="AG678" s="45"/>
      <c r="AH678" s="64"/>
      <c r="AI678" s="45"/>
      <c r="AJ678" s="105"/>
      <c r="AK678" s="105"/>
      <c r="AL678" s="60"/>
      <c r="AM678" s="60"/>
      <c r="AN678" s="60"/>
      <c r="AO678" s="60"/>
      <c r="AP678" s="60"/>
      <c r="AQ678" s="60"/>
      <c r="AR678" s="60"/>
      <c r="AS678" s="60"/>
      <c r="AT678" s="45"/>
      <c r="AU678" s="45"/>
      <c r="AW678" s="45"/>
      <c r="AX678" s="46">
        <f t="shared" si="31"/>
        <v>0</v>
      </c>
      <c r="AY678" s="46">
        <f t="shared" si="32"/>
        <v>0</v>
      </c>
      <c r="AZ678" s="46">
        <f t="shared" si="33"/>
        <v>0</v>
      </c>
    </row>
    <row r="679" spans="3:52" ht="20.100000000000001" customHeight="1">
      <c r="C679" s="102"/>
      <c r="D679" s="3"/>
      <c r="E679" s="12"/>
      <c r="F679" s="3"/>
      <c r="G679" s="3"/>
      <c r="H679" s="3"/>
      <c r="J679" s="3"/>
      <c r="K679" s="3"/>
      <c r="L679" s="4"/>
      <c r="M679" s="3"/>
      <c r="O679" s="58"/>
      <c r="Q679" s="64"/>
      <c r="R679" s="45"/>
      <c r="S679" s="45"/>
      <c r="U679" s="64"/>
      <c r="V679" s="45"/>
      <c r="W679" s="64"/>
      <c r="X679" s="64"/>
      <c r="Y679" s="45"/>
      <c r="Z679" s="45"/>
      <c r="AA679" s="105"/>
      <c r="AB679" s="105"/>
      <c r="AC679" s="105"/>
      <c r="AD679" s="64"/>
      <c r="AG679" s="45"/>
      <c r="AH679" s="64"/>
      <c r="AI679" s="45"/>
      <c r="AJ679" s="105"/>
      <c r="AK679" s="105"/>
      <c r="AL679" s="60"/>
      <c r="AM679" s="60"/>
      <c r="AN679" s="60"/>
      <c r="AO679" s="60"/>
      <c r="AP679" s="60"/>
      <c r="AQ679" s="60"/>
      <c r="AR679" s="60"/>
      <c r="AS679" s="60"/>
      <c r="AT679" s="45"/>
      <c r="AU679" s="45"/>
      <c r="AW679" s="45"/>
      <c r="AX679" s="46">
        <f t="shared" si="31"/>
        <v>0</v>
      </c>
      <c r="AY679" s="46">
        <f t="shared" si="32"/>
        <v>0</v>
      </c>
      <c r="AZ679" s="46">
        <f t="shared" si="33"/>
        <v>0</v>
      </c>
    </row>
    <row r="680" spans="3:52" ht="20.100000000000001" customHeight="1">
      <c r="C680" s="102"/>
      <c r="D680" s="3"/>
      <c r="E680" s="12"/>
      <c r="F680" s="3"/>
      <c r="G680" s="3"/>
      <c r="H680" s="3"/>
      <c r="J680" s="3"/>
      <c r="K680" s="3"/>
      <c r="L680" s="4"/>
      <c r="M680" s="3"/>
      <c r="O680" s="58"/>
      <c r="Q680" s="64"/>
      <c r="R680" s="45"/>
      <c r="S680" s="45"/>
      <c r="U680" s="64"/>
      <c r="V680" s="45"/>
      <c r="W680" s="64"/>
      <c r="X680" s="64"/>
      <c r="Y680" s="45"/>
      <c r="Z680" s="45"/>
      <c r="AA680" s="105"/>
      <c r="AB680" s="105"/>
      <c r="AC680" s="105"/>
      <c r="AD680" s="64"/>
      <c r="AH680" s="64"/>
      <c r="AI680" s="45"/>
      <c r="AJ680" s="105"/>
      <c r="AK680" s="105"/>
      <c r="AL680" s="60"/>
      <c r="AM680" s="60"/>
      <c r="AN680" s="60"/>
      <c r="AO680" s="60"/>
      <c r="AP680" s="60"/>
      <c r="AQ680" s="60"/>
      <c r="AR680" s="60"/>
      <c r="AS680" s="60"/>
      <c r="AT680" s="45"/>
      <c r="AU680" s="45"/>
      <c r="AW680" s="45"/>
      <c r="AX680" s="46">
        <f t="shared" si="31"/>
        <v>0</v>
      </c>
      <c r="AY680" s="46">
        <f t="shared" si="32"/>
        <v>0</v>
      </c>
      <c r="AZ680" s="46">
        <f t="shared" si="33"/>
        <v>0</v>
      </c>
    </row>
    <row r="681" spans="3:52" ht="20.100000000000001" customHeight="1">
      <c r="C681" s="102"/>
      <c r="D681" s="3"/>
      <c r="E681" s="12"/>
      <c r="F681" s="3"/>
      <c r="G681" s="3"/>
      <c r="H681" s="3"/>
      <c r="J681" s="3"/>
      <c r="K681" s="3"/>
      <c r="L681" s="4"/>
      <c r="M681" s="3"/>
      <c r="O681" s="58"/>
      <c r="Q681" s="64"/>
      <c r="R681" s="45"/>
      <c r="S681" s="45"/>
      <c r="U681" s="64"/>
      <c r="V681" s="45"/>
      <c r="W681" s="64"/>
      <c r="X681" s="64"/>
      <c r="Y681" s="45"/>
      <c r="Z681" s="45"/>
      <c r="AA681" s="105"/>
      <c r="AB681" s="105"/>
      <c r="AC681" s="105"/>
      <c r="AD681" s="64"/>
      <c r="AG681" s="45"/>
      <c r="AH681" s="64"/>
      <c r="AI681" s="45"/>
      <c r="AJ681" s="105"/>
      <c r="AK681" s="105"/>
      <c r="AL681" s="60"/>
      <c r="AM681" s="60"/>
      <c r="AN681" s="60"/>
      <c r="AO681" s="60"/>
      <c r="AP681" s="60"/>
      <c r="AQ681" s="60"/>
      <c r="AR681" s="60"/>
      <c r="AS681" s="60"/>
      <c r="AT681" s="45"/>
      <c r="AU681" s="45"/>
      <c r="AW681" s="45"/>
      <c r="AX681" s="46">
        <f t="shared" si="31"/>
        <v>0</v>
      </c>
      <c r="AY681" s="46">
        <f t="shared" si="32"/>
        <v>0</v>
      </c>
      <c r="AZ681" s="46">
        <f t="shared" si="33"/>
        <v>0</v>
      </c>
    </row>
    <row r="682" spans="3:52" ht="20.100000000000001" customHeight="1">
      <c r="C682" s="102"/>
      <c r="D682" s="3"/>
      <c r="E682" s="12"/>
      <c r="F682" s="3"/>
      <c r="G682" s="3"/>
      <c r="H682" s="3"/>
      <c r="J682" s="3"/>
      <c r="K682" s="3"/>
      <c r="L682" s="4"/>
      <c r="M682" s="3"/>
      <c r="O682" s="58"/>
      <c r="Q682" s="64"/>
      <c r="R682" s="45"/>
      <c r="S682" s="45"/>
      <c r="U682" s="64"/>
      <c r="V682" s="45"/>
      <c r="W682" s="64"/>
      <c r="X682" s="64"/>
      <c r="Y682" s="45"/>
      <c r="Z682" s="45"/>
      <c r="AA682" s="105"/>
      <c r="AB682" s="105"/>
      <c r="AC682" s="105"/>
      <c r="AD682" s="64"/>
      <c r="AH682" s="64"/>
      <c r="AI682" s="45"/>
      <c r="AJ682" s="105"/>
      <c r="AK682" s="105"/>
      <c r="AL682" s="60"/>
      <c r="AM682" s="60"/>
      <c r="AN682" s="60"/>
      <c r="AO682" s="60"/>
      <c r="AP682" s="60"/>
      <c r="AQ682" s="60"/>
      <c r="AR682" s="60"/>
      <c r="AS682" s="60"/>
      <c r="AT682" s="45"/>
      <c r="AU682" s="45"/>
      <c r="AW682" s="45"/>
      <c r="AX682" s="46">
        <f t="shared" si="31"/>
        <v>0</v>
      </c>
      <c r="AY682" s="46">
        <f t="shared" si="32"/>
        <v>0</v>
      </c>
      <c r="AZ682" s="46">
        <f t="shared" si="33"/>
        <v>0</v>
      </c>
    </row>
    <row r="683" spans="3:52" ht="20.100000000000001" customHeight="1">
      <c r="C683" s="102"/>
      <c r="D683" s="3"/>
      <c r="E683" s="12"/>
      <c r="F683" s="3"/>
      <c r="G683" s="3"/>
      <c r="H683" s="3"/>
      <c r="J683" s="3"/>
      <c r="K683" s="3"/>
      <c r="L683" s="4"/>
      <c r="M683" s="3"/>
      <c r="O683" s="58"/>
      <c r="Q683" s="64"/>
      <c r="R683" s="45"/>
      <c r="S683" s="45"/>
      <c r="U683" s="64"/>
      <c r="V683" s="45"/>
      <c r="W683" s="64"/>
      <c r="X683" s="64"/>
      <c r="Y683" s="45"/>
      <c r="Z683" s="45"/>
      <c r="AA683" s="105"/>
      <c r="AB683" s="105"/>
      <c r="AC683" s="105"/>
      <c r="AD683" s="64"/>
      <c r="AG683" s="45"/>
      <c r="AH683" s="64"/>
      <c r="AI683" s="45"/>
      <c r="AJ683" s="105"/>
      <c r="AK683" s="105"/>
      <c r="AL683" s="60"/>
      <c r="AM683" s="60"/>
      <c r="AN683" s="60"/>
      <c r="AO683" s="60"/>
      <c r="AP683" s="60"/>
      <c r="AQ683" s="60"/>
      <c r="AR683" s="60"/>
      <c r="AS683" s="60"/>
      <c r="AT683" s="45"/>
      <c r="AU683" s="45"/>
      <c r="AW683" s="45"/>
      <c r="AX683" s="46">
        <f t="shared" si="31"/>
        <v>0</v>
      </c>
      <c r="AY683" s="46">
        <f t="shared" si="32"/>
        <v>0</v>
      </c>
      <c r="AZ683" s="46">
        <f t="shared" si="33"/>
        <v>0</v>
      </c>
    </row>
    <row r="684" spans="3:52" ht="20.100000000000001" customHeight="1">
      <c r="C684" s="102"/>
      <c r="D684" s="3"/>
      <c r="E684" s="12"/>
      <c r="F684" s="3"/>
      <c r="G684" s="3"/>
      <c r="H684" s="3"/>
      <c r="J684" s="3"/>
      <c r="K684" s="3"/>
      <c r="L684" s="4"/>
      <c r="M684" s="3"/>
      <c r="O684" s="58"/>
      <c r="Q684" s="64"/>
      <c r="R684" s="45"/>
      <c r="S684" s="45"/>
      <c r="U684" s="64"/>
      <c r="V684" s="45"/>
      <c r="W684" s="64"/>
      <c r="X684" s="64"/>
      <c r="Y684" s="45"/>
      <c r="Z684" s="45"/>
      <c r="AA684" s="105"/>
      <c r="AB684" s="105"/>
      <c r="AC684" s="105"/>
      <c r="AD684" s="64"/>
      <c r="AG684" s="45"/>
      <c r="AH684" s="64"/>
      <c r="AI684" s="45"/>
      <c r="AJ684" s="105"/>
      <c r="AK684" s="105"/>
      <c r="AL684" s="60"/>
      <c r="AM684" s="60"/>
      <c r="AN684" s="60"/>
      <c r="AO684" s="60"/>
      <c r="AP684" s="60"/>
      <c r="AQ684" s="60"/>
      <c r="AR684" s="60"/>
      <c r="AS684" s="60"/>
      <c r="AT684" s="45"/>
      <c r="AU684" s="45"/>
      <c r="AW684" s="45"/>
      <c r="AX684" s="46">
        <f t="shared" si="31"/>
        <v>0</v>
      </c>
      <c r="AY684" s="46">
        <f t="shared" si="32"/>
        <v>0</v>
      </c>
      <c r="AZ684" s="46">
        <f t="shared" si="33"/>
        <v>0</v>
      </c>
    </row>
    <row r="685" spans="3:52" ht="20.100000000000001" customHeight="1">
      <c r="C685" s="102"/>
      <c r="D685" s="3"/>
      <c r="E685" s="67"/>
      <c r="F685" s="3"/>
      <c r="G685" s="3"/>
      <c r="H685" s="3"/>
      <c r="J685" s="3"/>
      <c r="K685" s="3"/>
      <c r="L685" s="4"/>
      <c r="M685" s="3"/>
      <c r="O685" s="58"/>
      <c r="Q685" s="64"/>
      <c r="R685" s="45"/>
      <c r="S685" s="45"/>
      <c r="U685" s="64"/>
      <c r="V685" s="45"/>
      <c r="W685" s="64"/>
      <c r="X685" s="64"/>
      <c r="Y685" s="45"/>
      <c r="Z685" s="45"/>
      <c r="AA685" s="105"/>
      <c r="AB685" s="105"/>
      <c r="AC685" s="105"/>
      <c r="AD685" s="64"/>
      <c r="AG685" s="45"/>
      <c r="AH685" s="64"/>
      <c r="AI685" s="45"/>
      <c r="AJ685" s="105"/>
      <c r="AK685" s="105"/>
      <c r="AL685" s="60"/>
      <c r="AM685" s="60"/>
      <c r="AN685" s="60"/>
      <c r="AO685" s="60"/>
      <c r="AP685" s="60"/>
      <c r="AQ685" s="60"/>
      <c r="AR685" s="60"/>
      <c r="AS685" s="60"/>
      <c r="AT685" s="45"/>
      <c r="AU685" s="45"/>
      <c r="AW685" s="45"/>
      <c r="AX685" s="46">
        <f t="shared" si="31"/>
        <v>0</v>
      </c>
      <c r="AY685" s="46">
        <f t="shared" si="32"/>
        <v>0</v>
      </c>
      <c r="AZ685" s="46">
        <f t="shared" si="33"/>
        <v>0</v>
      </c>
    </row>
    <row r="686" spans="3:52" ht="20.100000000000001" customHeight="1">
      <c r="C686" s="102"/>
      <c r="D686" s="3"/>
      <c r="E686" s="12"/>
      <c r="F686" s="3"/>
      <c r="G686" s="3"/>
      <c r="H686" s="3"/>
      <c r="J686" s="3"/>
      <c r="K686" s="3"/>
      <c r="L686" s="4"/>
      <c r="M686" s="3"/>
      <c r="O686" s="58"/>
      <c r="Q686" s="64"/>
      <c r="R686" s="45"/>
      <c r="S686" s="45"/>
      <c r="U686" s="64"/>
      <c r="V686" s="45"/>
      <c r="W686" s="64"/>
      <c r="X686" s="64"/>
      <c r="Y686" s="45"/>
      <c r="Z686" s="45"/>
      <c r="AA686" s="105"/>
      <c r="AB686" s="105"/>
      <c r="AC686" s="105"/>
      <c r="AD686" s="64"/>
      <c r="AG686" s="45"/>
      <c r="AH686" s="64"/>
      <c r="AI686" s="45"/>
      <c r="AJ686" s="105"/>
      <c r="AK686" s="105"/>
      <c r="AL686" s="60"/>
      <c r="AM686" s="60"/>
      <c r="AN686" s="60"/>
      <c r="AO686" s="60"/>
      <c r="AP686" s="60"/>
      <c r="AQ686" s="60"/>
      <c r="AR686" s="60"/>
      <c r="AS686" s="60"/>
      <c r="AT686" s="45"/>
      <c r="AU686" s="45"/>
      <c r="AW686" s="45"/>
      <c r="AX686" s="46">
        <f t="shared" si="31"/>
        <v>0</v>
      </c>
      <c r="AY686" s="46">
        <f t="shared" si="32"/>
        <v>0</v>
      </c>
      <c r="AZ686" s="46">
        <f t="shared" si="33"/>
        <v>0</v>
      </c>
    </row>
    <row r="687" spans="3:52" ht="20.100000000000001" customHeight="1">
      <c r="C687" s="102"/>
      <c r="D687" s="3"/>
      <c r="E687" s="12"/>
      <c r="F687" s="3"/>
      <c r="G687" s="3"/>
      <c r="H687" s="3"/>
      <c r="J687" s="3"/>
      <c r="K687" s="3"/>
      <c r="L687" s="4"/>
      <c r="M687" s="3"/>
      <c r="O687" s="58"/>
      <c r="Q687" s="64"/>
      <c r="R687" s="45"/>
      <c r="S687" s="45"/>
      <c r="U687" s="64"/>
      <c r="V687" s="45"/>
      <c r="W687" s="64"/>
      <c r="X687" s="64"/>
      <c r="Y687" s="45"/>
      <c r="Z687" s="45"/>
      <c r="AA687" s="105"/>
      <c r="AB687" s="105"/>
      <c r="AC687" s="105"/>
      <c r="AD687" s="64"/>
      <c r="AH687" s="64"/>
      <c r="AI687" s="45"/>
      <c r="AJ687" s="105"/>
      <c r="AK687" s="105"/>
      <c r="AL687" s="60"/>
      <c r="AM687" s="60"/>
      <c r="AN687" s="60"/>
      <c r="AO687" s="60"/>
      <c r="AP687" s="60"/>
      <c r="AQ687" s="60"/>
      <c r="AR687" s="60"/>
      <c r="AS687" s="60"/>
      <c r="AT687" s="45"/>
      <c r="AU687" s="45"/>
      <c r="AW687" s="45"/>
      <c r="AX687" s="46">
        <f t="shared" si="31"/>
        <v>0</v>
      </c>
      <c r="AY687" s="46">
        <f t="shared" si="32"/>
        <v>0</v>
      </c>
      <c r="AZ687" s="46">
        <f t="shared" si="33"/>
        <v>0</v>
      </c>
    </row>
    <row r="688" spans="3:52" ht="20.100000000000001" customHeight="1">
      <c r="C688" s="102"/>
      <c r="D688" s="3"/>
      <c r="E688" s="12"/>
      <c r="F688" s="3"/>
      <c r="G688" s="3"/>
      <c r="H688" s="3"/>
      <c r="J688" s="3"/>
      <c r="K688" s="3"/>
      <c r="L688" s="4"/>
      <c r="M688" s="3"/>
      <c r="O688" s="58"/>
      <c r="Q688" s="64"/>
      <c r="R688" s="45"/>
      <c r="S688" s="45"/>
      <c r="U688" s="64"/>
      <c r="V688" s="45"/>
      <c r="W688" s="64"/>
      <c r="X688" s="64"/>
      <c r="Y688" s="45"/>
      <c r="Z688" s="45"/>
      <c r="AA688" s="105"/>
      <c r="AB688" s="105"/>
      <c r="AC688" s="105"/>
      <c r="AD688" s="64"/>
      <c r="AG688" s="45"/>
      <c r="AH688" s="64"/>
      <c r="AI688" s="45"/>
      <c r="AJ688" s="105"/>
      <c r="AK688" s="105"/>
      <c r="AL688" s="60"/>
      <c r="AM688" s="60"/>
      <c r="AN688" s="60"/>
      <c r="AO688" s="60"/>
      <c r="AP688" s="60"/>
      <c r="AQ688" s="60"/>
      <c r="AR688" s="60"/>
      <c r="AS688" s="60"/>
      <c r="AT688" s="45"/>
      <c r="AU688" s="45"/>
      <c r="AW688" s="45"/>
      <c r="AX688" s="46">
        <f t="shared" si="31"/>
        <v>0</v>
      </c>
      <c r="AY688" s="46">
        <f t="shared" si="32"/>
        <v>0</v>
      </c>
      <c r="AZ688" s="46">
        <f t="shared" si="33"/>
        <v>0</v>
      </c>
    </row>
    <row r="689" spans="3:52" ht="20.100000000000001" customHeight="1">
      <c r="C689" s="102"/>
      <c r="D689" s="3"/>
      <c r="E689" s="12"/>
      <c r="F689" s="3"/>
      <c r="G689" s="3"/>
      <c r="H689" s="3"/>
      <c r="J689" s="3"/>
      <c r="K689" s="3"/>
      <c r="L689" s="4"/>
      <c r="M689" s="3"/>
      <c r="O689" s="58"/>
      <c r="Q689" s="64"/>
      <c r="R689" s="45"/>
      <c r="S689" s="45"/>
      <c r="U689" s="64"/>
      <c r="V689" s="45"/>
      <c r="W689" s="64"/>
      <c r="X689" s="64"/>
      <c r="Y689" s="45"/>
      <c r="Z689" s="45"/>
      <c r="AA689" s="105"/>
      <c r="AB689" s="105"/>
      <c r="AC689" s="105"/>
      <c r="AD689" s="64"/>
      <c r="AG689" s="45"/>
      <c r="AH689" s="64"/>
      <c r="AI689" s="45"/>
      <c r="AJ689" s="105"/>
      <c r="AK689" s="105"/>
      <c r="AL689" s="60"/>
      <c r="AM689" s="60"/>
      <c r="AN689" s="60"/>
      <c r="AO689" s="60"/>
      <c r="AP689" s="60"/>
      <c r="AQ689" s="60"/>
      <c r="AR689" s="60"/>
      <c r="AS689" s="60"/>
      <c r="AT689" s="45"/>
      <c r="AU689" s="45"/>
      <c r="AW689" s="45"/>
      <c r="AX689" s="46">
        <f t="shared" si="31"/>
        <v>0</v>
      </c>
      <c r="AY689" s="46">
        <f t="shared" si="32"/>
        <v>0</v>
      </c>
      <c r="AZ689" s="46">
        <f t="shared" si="33"/>
        <v>0</v>
      </c>
    </row>
    <row r="690" spans="3:52" ht="20.100000000000001" customHeight="1">
      <c r="C690" s="102"/>
      <c r="D690" s="3"/>
      <c r="E690" s="12"/>
      <c r="F690" s="3"/>
      <c r="G690" s="3"/>
      <c r="H690" s="3"/>
      <c r="J690" s="3"/>
      <c r="K690" s="3"/>
      <c r="L690" s="4"/>
      <c r="M690" s="3"/>
      <c r="O690" s="58"/>
      <c r="Q690" s="64"/>
      <c r="R690" s="45"/>
      <c r="S690" s="45"/>
      <c r="U690" s="64"/>
      <c r="V690" s="45"/>
      <c r="W690" s="64"/>
      <c r="X690" s="64"/>
      <c r="Y690" s="45"/>
      <c r="Z690" s="45"/>
      <c r="AA690" s="105"/>
      <c r="AB690" s="105"/>
      <c r="AC690" s="105"/>
      <c r="AD690" s="64"/>
      <c r="AG690" s="45"/>
      <c r="AH690" s="64"/>
      <c r="AI690" s="45"/>
      <c r="AJ690" s="105"/>
      <c r="AK690" s="105"/>
      <c r="AL690" s="60"/>
      <c r="AM690" s="60"/>
      <c r="AN690" s="60"/>
      <c r="AO690" s="60"/>
      <c r="AP690" s="60"/>
      <c r="AQ690" s="60"/>
      <c r="AR690" s="60"/>
      <c r="AS690" s="60"/>
      <c r="AT690" s="45"/>
      <c r="AU690" s="45"/>
      <c r="AW690" s="45"/>
      <c r="AX690" s="46">
        <f t="shared" si="31"/>
        <v>0</v>
      </c>
      <c r="AY690" s="46">
        <f t="shared" si="32"/>
        <v>0</v>
      </c>
      <c r="AZ690" s="46">
        <f t="shared" si="33"/>
        <v>0</v>
      </c>
    </row>
    <row r="691" spans="3:52" ht="20.100000000000001" customHeight="1">
      <c r="C691" s="102"/>
      <c r="D691" s="3"/>
      <c r="E691" s="67"/>
      <c r="F691" s="3"/>
      <c r="G691" s="3"/>
      <c r="H691" s="3"/>
      <c r="J691" s="3"/>
      <c r="K691" s="3"/>
      <c r="L691" s="4"/>
      <c r="M691" s="3"/>
      <c r="O691" s="58"/>
      <c r="Q691" s="64"/>
      <c r="R691" s="45"/>
      <c r="S691" s="45"/>
      <c r="U691" s="64"/>
      <c r="V691" s="45"/>
      <c r="W691" s="64"/>
      <c r="X691" s="64"/>
      <c r="Y691" s="45"/>
      <c r="Z691" s="45"/>
      <c r="AA691" s="105"/>
      <c r="AB691" s="105"/>
      <c r="AC691" s="105"/>
      <c r="AD691" s="64"/>
      <c r="AG691" s="45"/>
      <c r="AH691" s="64"/>
      <c r="AI691" s="45"/>
      <c r="AJ691" s="105"/>
      <c r="AK691" s="105"/>
      <c r="AL691" s="60"/>
      <c r="AM691" s="60"/>
      <c r="AN691" s="60"/>
      <c r="AO691" s="60"/>
      <c r="AP691" s="60"/>
      <c r="AQ691" s="60"/>
      <c r="AR691" s="60"/>
      <c r="AS691" s="60"/>
      <c r="AT691" s="45"/>
      <c r="AU691" s="45"/>
      <c r="AW691" s="45"/>
      <c r="AX691" s="46">
        <f t="shared" si="31"/>
        <v>0</v>
      </c>
      <c r="AY691" s="46">
        <f t="shared" si="32"/>
        <v>0</v>
      </c>
      <c r="AZ691" s="46">
        <f t="shared" si="33"/>
        <v>0</v>
      </c>
    </row>
    <row r="692" spans="3:52" ht="20.100000000000001" customHeight="1">
      <c r="C692" s="102"/>
      <c r="D692" s="3"/>
      <c r="E692" s="12"/>
      <c r="F692" s="3"/>
      <c r="G692" s="3"/>
      <c r="H692" s="3"/>
      <c r="J692" s="3"/>
      <c r="K692" s="3"/>
      <c r="L692" s="4"/>
      <c r="M692" s="3"/>
      <c r="O692" s="58"/>
      <c r="Q692" s="64"/>
      <c r="R692" s="45"/>
      <c r="S692" s="45"/>
      <c r="U692" s="64"/>
      <c r="V692" s="45"/>
      <c r="W692" s="64"/>
      <c r="X692" s="64"/>
      <c r="Y692" s="45"/>
      <c r="Z692" s="45"/>
      <c r="AA692" s="105"/>
      <c r="AB692" s="105"/>
      <c r="AC692" s="105"/>
      <c r="AD692" s="64"/>
      <c r="AH692" s="64"/>
      <c r="AI692" s="45"/>
      <c r="AJ692" s="105"/>
      <c r="AK692" s="105"/>
      <c r="AL692" s="60"/>
      <c r="AM692" s="60"/>
      <c r="AN692" s="60"/>
      <c r="AO692" s="60"/>
      <c r="AP692" s="60"/>
      <c r="AQ692" s="60"/>
      <c r="AR692" s="60"/>
      <c r="AS692" s="60"/>
      <c r="AT692" s="45"/>
      <c r="AU692" s="45"/>
      <c r="AW692" s="45"/>
      <c r="AX692" s="46">
        <f t="shared" si="31"/>
        <v>0</v>
      </c>
      <c r="AY692" s="46">
        <f t="shared" si="32"/>
        <v>0</v>
      </c>
      <c r="AZ692" s="46">
        <f t="shared" si="33"/>
        <v>0</v>
      </c>
    </row>
    <row r="693" spans="3:52" ht="20.100000000000001" customHeight="1">
      <c r="C693" s="102"/>
      <c r="D693" s="3"/>
      <c r="E693" s="12"/>
      <c r="F693" s="3"/>
      <c r="G693" s="3"/>
      <c r="H693" s="3"/>
      <c r="J693" s="3"/>
      <c r="K693" s="3"/>
      <c r="L693" s="4"/>
      <c r="M693" s="3"/>
      <c r="O693" s="58"/>
      <c r="Q693" s="64"/>
      <c r="R693" s="45"/>
      <c r="S693" s="45"/>
      <c r="U693" s="64"/>
      <c r="V693" s="45"/>
      <c r="W693" s="64"/>
      <c r="X693" s="64"/>
      <c r="Y693" s="45"/>
      <c r="Z693" s="45"/>
      <c r="AA693" s="105"/>
      <c r="AB693" s="105"/>
      <c r="AC693" s="105"/>
      <c r="AD693" s="64"/>
      <c r="AG693" s="45"/>
      <c r="AH693" s="64"/>
      <c r="AI693" s="45"/>
      <c r="AJ693" s="105"/>
      <c r="AK693" s="105"/>
      <c r="AL693" s="60"/>
      <c r="AM693" s="60"/>
      <c r="AN693" s="60"/>
      <c r="AO693" s="60"/>
      <c r="AP693" s="60"/>
      <c r="AQ693" s="60"/>
      <c r="AR693" s="60"/>
      <c r="AS693" s="60"/>
      <c r="AT693" s="45"/>
      <c r="AU693" s="45"/>
      <c r="AW693" s="45"/>
      <c r="AX693" s="46">
        <f t="shared" si="31"/>
        <v>0</v>
      </c>
      <c r="AY693" s="46">
        <f t="shared" si="32"/>
        <v>0</v>
      </c>
      <c r="AZ693" s="46">
        <f t="shared" si="33"/>
        <v>0</v>
      </c>
    </row>
    <row r="694" spans="3:52" ht="20.100000000000001" customHeight="1">
      <c r="C694" s="102"/>
      <c r="D694" s="3"/>
      <c r="E694" s="67"/>
      <c r="F694" s="3"/>
      <c r="G694" s="3"/>
      <c r="H694" s="3"/>
      <c r="J694" s="3"/>
      <c r="K694" s="3"/>
      <c r="L694" s="4"/>
      <c r="M694" s="3"/>
      <c r="O694" s="58"/>
      <c r="Q694" s="64"/>
      <c r="R694" s="45"/>
      <c r="S694" s="45"/>
      <c r="U694" s="64"/>
      <c r="V694" s="45"/>
      <c r="W694" s="64"/>
      <c r="X694" s="64"/>
      <c r="Y694" s="45"/>
      <c r="Z694" s="45"/>
      <c r="AA694" s="105"/>
      <c r="AB694" s="105"/>
      <c r="AC694" s="105"/>
      <c r="AD694" s="64"/>
      <c r="AG694" s="45"/>
      <c r="AH694" s="64"/>
      <c r="AI694" s="45"/>
      <c r="AJ694" s="105"/>
      <c r="AK694" s="105"/>
      <c r="AL694" s="60"/>
      <c r="AM694" s="60"/>
      <c r="AN694" s="60"/>
      <c r="AO694" s="60"/>
      <c r="AP694" s="60"/>
      <c r="AQ694" s="60"/>
      <c r="AR694" s="60"/>
      <c r="AS694" s="60"/>
      <c r="AT694" s="45"/>
      <c r="AU694" s="45"/>
      <c r="AW694" s="45"/>
      <c r="AX694" s="46">
        <f t="shared" si="31"/>
        <v>0</v>
      </c>
      <c r="AY694" s="46">
        <f t="shared" si="32"/>
        <v>0</v>
      </c>
      <c r="AZ694" s="46">
        <f t="shared" si="33"/>
        <v>0</v>
      </c>
    </row>
    <row r="695" spans="3:52" ht="20.100000000000001" customHeight="1">
      <c r="C695" s="102"/>
      <c r="D695" s="3"/>
      <c r="E695" s="12"/>
      <c r="F695" s="3"/>
      <c r="G695" s="3"/>
      <c r="H695" s="3"/>
      <c r="J695" s="3"/>
      <c r="K695" s="3"/>
      <c r="L695" s="4"/>
      <c r="M695" s="3"/>
      <c r="O695" s="58"/>
      <c r="Q695" s="64"/>
      <c r="R695" s="45"/>
      <c r="S695" s="45"/>
      <c r="U695" s="64"/>
      <c r="V695" s="45"/>
      <c r="W695" s="64"/>
      <c r="X695" s="64"/>
      <c r="Y695" s="45"/>
      <c r="Z695" s="45"/>
      <c r="AA695" s="105"/>
      <c r="AB695" s="105"/>
      <c r="AC695" s="105"/>
      <c r="AD695" s="64"/>
      <c r="AG695" s="45"/>
      <c r="AH695" s="64"/>
      <c r="AI695" s="45"/>
      <c r="AJ695" s="105"/>
      <c r="AK695" s="105"/>
      <c r="AL695" s="60"/>
      <c r="AM695" s="60"/>
      <c r="AN695" s="60"/>
      <c r="AO695" s="60"/>
      <c r="AP695" s="60"/>
      <c r="AQ695" s="60"/>
      <c r="AR695" s="60"/>
      <c r="AS695" s="60"/>
      <c r="AT695" s="45"/>
      <c r="AU695" s="45"/>
      <c r="AW695" s="45"/>
      <c r="AX695" s="46">
        <f t="shared" si="31"/>
        <v>0</v>
      </c>
      <c r="AY695" s="46">
        <f t="shared" si="32"/>
        <v>0</v>
      </c>
      <c r="AZ695" s="46">
        <f t="shared" si="33"/>
        <v>0</v>
      </c>
    </row>
    <row r="696" spans="3:52" ht="20.100000000000001" customHeight="1">
      <c r="C696" s="102"/>
      <c r="D696" s="3"/>
      <c r="F696" s="3"/>
      <c r="G696" s="3"/>
      <c r="H696" s="3"/>
      <c r="J696" s="3"/>
      <c r="K696" s="3"/>
      <c r="L696" s="4"/>
      <c r="M696" s="3"/>
      <c r="O696" s="58"/>
      <c r="Q696" s="64"/>
      <c r="R696" s="45"/>
      <c r="S696" s="45"/>
      <c r="U696" s="64"/>
      <c r="V696" s="45"/>
      <c r="W696" s="64"/>
      <c r="X696" s="64"/>
      <c r="Y696" s="45"/>
      <c r="Z696" s="45"/>
      <c r="AA696" s="105"/>
      <c r="AB696" s="105"/>
      <c r="AC696" s="105"/>
      <c r="AD696" s="64"/>
      <c r="AG696" s="45"/>
      <c r="AH696" s="64"/>
      <c r="AI696" s="45"/>
      <c r="AJ696" s="105"/>
      <c r="AK696" s="105"/>
      <c r="AL696" s="60"/>
      <c r="AM696" s="60"/>
      <c r="AN696" s="60"/>
      <c r="AO696" s="60"/>
      <c r="AP696" s="60"/>
      <c r="AQ696" s="60"/>
      <c r="AR696" s="60"/>
      <c r="AS696" s="60"/>
      <c r="AT696" s="45"/>
      <c r="AU696" s="45"/>
      <c r="AW696" s="45"/>
      <c r="AX696" s="46">
        <f t="shared" si="31"/>
        <v>0</v>
      </c>
      <c r="AY696" s="46">
        <f t="shared" si="32"/>
        <v>0</v>
      </c>
      <c r="AZ696" s="46">
        <f t="shared" si="33"/>
        <v>0</v>
      </c>
    </row>
    <row r="697" spans="3:52" ht="20.100000000000001" customHeight="1">
      <c r="C697" s="102"/>
      <c r="D697" s="3"/>
      <c r="F697" s="3"/>
      <c r="G697" s="3"/>
      <c r="H697" s="3"/>
      <c r="J697" s="3"/>
      <c r="K697" s="3"/>
      <c r="L697" s="4"/>
      <c r="M697" s="3"/>
      <c r="O697" s="58"/>
      <c r="Q697" s="64"/>
      <c r="R697" s="45"/>
      <c r="S697" s="45"/>
      <c r="U697" s="64"/>
      <c r="V697" s="45"/>
      <c r="W697" s="64"/>
      <c r="X697" s="64"/>
      <c r="Y697" s="45"/>
      <c r="Z697" s="45"/>
      <c r="AA697" s="105"/>
      <c r="AB697" s="105"/>
      <c r="AC697" s="105"/>
      <c r="AD697" s="64"/>
      <c r="AH697" s="64"/>
      <c r="AI697" s="45"/>
      <c r="AJ697" s="105"/>
      <c r="AK697" s="105"/>
      <c r="AL697" s="60"/>
      <c r="AM697" s="60"/>
      <c r="AN697" s="60"/>
      <c r="AO697" s="60"/>
      <c r="AP697" s="60"/>
      <c r="AQ697" s="60"/>
      <c r="AR697" s="60"/>
      <c r="AS697" s="60"/>
      <c r="AT697" s="45"/>
      <c r="AU697" s="45"/>
      <c r="AW697" s="45"/>
      <c r="AX697" s="46">
        <f t="shared" si="31"/>
        <v>0</v>
      </c>
      <c r="AY697" s="46">
        <f t="shared" si="32"/>
        <v>0</v>
      </c>
      <c r="AZ697" s="46">
        <f t="shared" si="33"/>
        <v>0</v>
      </c>
    </row>
    <row r="698" spans="3:52" ht="20.100000000000001" customHeight="1">
      <c r="C698" s="102"/>
      <c r="D698" s="3"/>
      <c r="F698" s="3"/>
      <c r="G698" s="3"/>
      <c r="H698" s="3"/>
      <c r="J698" s="3"/>
      <c r="K698" s="3"/>
      <c r="L698" s="4"/>
      <c r="M698" s="3"/>
      <c r="O698" s="58"/>
      <c r="Q698" s="64"/>
      <c r="R698" s="45"/>
      <c r="S698" s="45"/>
      <c r="U698" s="64"/>
      <c r="V698" s="45"/>
      <c r="W698" s="64"/>
      <c r="X698" s="64"/>
      <c r="Y698" s="45"/>
      <c r="Z698" s="45"/>
      <c r="AA698" s="105"/>
      <c r="AB698" s="105"/>
      <c r="AC698" s="105"/>
      <c r="AD698" s="64"/>
      <c r="AH698" s="64"/>
      <c r="AI698" s="45"/>
      <c r="AJ698" s="105"/>
      <c r="AK698" s="105"/>
      <c r="AL698" s="60"/>
      <c r="AM698" s="60"/>
      <c r="AN698" s="60"/>
      <c r="AO698" s="60"/>
      <c r="AP698" s="60"/>
      <c r="AQ698" s="60"/>
      <c r="AR698" s="60"/>
      <c r="AS698" s="60"/>
      <c r="AT698" s="45"/>
      <c r="AU698" s="45"/>
      <c r="AW698" s="45"/>
      <c r="AX698" s="46">
        <f t="shared" si="31"/>
        <v>0</v>
      </c>
      <c r="AY698" s="46">
        <f t="shared" si="32"/>
        <v>0</v>
      </c>
      <c r="AZ698" s="46">
        <f t="shared" si="33"/>
        <v>0</v>
      </c>
    </row>
    <row r="699" spans="3:52" ht="20.100000000000001" customHeight="1">
      <c r="C699" s="102"/>
      <c r="D699" s="3"/>
      <c r="F699" s="3"/>
      <c r="G699" s="3"/>
      <c r="H699" s="3"/>
      <c r="J699" s="3"/>
      <c r="K699" s="3"/>
      <c r="L699" s="4"/>
      <c r="M699" s="3"/>
      <c r="O699" s="58"/>
      <c r="Q699" s="64"/>
      <c r="R699" s="45"/>
      <c r="S699" s="45"/>
      <c r="U699" s="64"/>
      <c r="V699" s="45"/>
      <c r="W699" s="64"/>
      <c r="X699" s="64"/>
      <c r="Y699" s="45"/>
      <c r="Z699" s="45"/>
      <c r="AA699" s="105"/>
      <c r="AB699" s="105"/>
      <c r="AC699" s="105"/>
      <c r="AD699" s="64"/>
      <c r="AG699" s="45"/>
      <c r="AH699" s="64"/>
      <c r="AI699" s="45"/>
      <c r="AJ699" s="105"/>
      <c r="AK699" s="105"/>
      <c r="AL699" s="60"/>
      <c r="AM699" s="60"/>
      <c r="AN699" s="60"/>
      <c r="AO699" s="60"/>
      <c r="AP699" s="60"/>
      <c r="AQ699" s="60"/>
      <c r="AR699" s="60"/>
      <c r="AS699" s="60"/>
      <c r="AT699" s="45"/>
      <c r="AU699" s="45"/>
      <c r="AW699" s="45"/>
      <c r="AX699" s="46">
        <f t="shared" si="31"/>
        <v>0</v>
      </c>
      <c r="AY699" s="46">
        <f t="shared" si="32"/>
        <v>0</v>
      </c>
      <c r="AZ699" s="46">
        <f t="shared" si="33"/>
        <v>0</v>
      </c>
    </row>
    <row r="700" spans="3:52" ht="20.100000000000001" customHeight="1">
      <c r="C700" s="102"/>
      <c r="D700" s="3"/>
      <c r="E700" s="68"/>
      <c r="F700" s="3"/>
      <c r="G700" s="3"/>
      <c r="H700" s="3"/>
      <c r="J700" s="3"/>
      <c r="K700" s="3"/>
      <c r="L700" s="4"/>
      <c r="M700" s="3"/>
      <c r="O700" s="58"/>
      <c r="Q700" s="64"/>
      <c r="R700" s="45"/>
      <c r="S700" s="45"/>
      <c r="U700" s="64"/>
      <c r="V700" s="45"/>
      <c r="W700" s="64"/>
      <c r="X700" s="64"/>
      <c r="Y700" s="45"/>
      <c r="Z700" s="45"/>
      <c r="AA700" s="105"/>
      <c r="AB700" s="105"/>
      <c r="AC700" s="105"/>
      <c r="AD700" s="64"/>
      <c r="AG700" s="45"/>
      <c r="AH700" s="64"/>
      <c r="AI700" s="45"/>
      <c r="AJ700" s="105"/>
      <c r="AK700" s="105"/>
      <c r="AL700" s="60"/>
      <c r="AM700" s="60"/>
      <c r="AN700" s="60"/>
      <c r="AO700" s="60"/>
      <c r="AP700" s="60"/>
      <c r="AQ700" s="60"/>
      <c r="AR700" s="60"/>
      <c r="AS700" s="60"/>
      <c r="AT700" s="45"/>
      <c r="AU700" s="45"/>
      <c r="AW700" s="45"/>
      <c r="AX700" s="46">
        <f t="shared" si="31"/>
        <v>0</v>
      </c>
      <c r="AY700" s="46">
        <f t="shared" si="32"/>
        <v>0</v>
      </c>
      <c r="AZ700" s="46">
        <f t="shared" si="33"/>
        <v>0</v>
      </c>
    </row>
    <row r="701" spans="3:52" ht="20.100000000000001" customHeight="1">
      <c r="C701" s="102"/>
      <c r="D701" s="3"/>
      <c r="F701" s="3"/>
      <c r="G701" s="3"/>
      <c r="H701" s="3"/>
      <c r="J701" s="3"/>
      <c r="K701" s="3"/>
      <c r="L701" s="4"/>
      <c r="M701" s="3"/>
      <c r="O701" s="58"/>
      <c r="Q701" s="64"/>
      <c r="R701" s="45"/>
      <c r="S701" s="45"/>
      <c r="U701" s="64"/>
      <c r="V701" s="45"/>
      <c r="W701" s="64"/>
      <c r="X701" s="64"/>
      <c r="Y701" s="45"/>
      <c r="Z701" s="45"/>
      <c r="AA701" s="105"/>
      <c r="AB701" s="105"/>
      <c r="AC701" s="105"/>
      <c r="AD701" s="64"/>
      <c r="AG701" s="45"/>
      <c r="AH701" s="64"/>
      <c r="AI701" s="45"/>
      <c r="AJ701" s="105"/>
      <c r="AK701" s="105"/>
      <c r="AL701" s="60"/>
      <c r="AM701" s="60"/>
      <c r="AN701" s="60"/>
      <c r="AO701" s="60"/>
      <c r="AP701" s="60"/>
      <c r="AQ701" s="60"/>
      <c r="AR701" s="60"/>
      <c r="AS701" s="60"/>
      <c r="AT701" s="45"/>
      <c r="AU701" s="45"/>
      <c r="AW701" s="45"/>
      <c r="AX701" s="46">
        <f t="shared" si="31"/>
        <v>0</v>
      </c>
      <c r="AY701" s="46">
        <f t="shared" si="32"/>
        <v>0</v>
      </c>
      <c r="AZ701" s="46">
        <f t="shared" si="33"/>
        <v>0</v>
      </c>
    </row>
    <row r="702" spans="3:52" ht="20.100000000000001" customHeight="1">
      <c r="C702" s="102"/>
      <c r="D702" s="3"/>
      <c r="E702" s="68"/>
      <c r="F702" s="3"/>
      <c r="G702" s="3"/>
      <c r="H702" s="3"/>
      <c r="J702" s="3"/>
      <c r="K702" s="3"/>
      <c r="L702" s="4"/>
      <c r="M702" s="3"/>
      <c r="O702" s="58"/>
      <c r="Q702" s="64"/>
      <c r="R702" s="45"/>
      <c r="S702" s="45"/>
      <c r="U702" s="64"/>
      <c r="V702" s="45"/>
      <c r="W702" s="64"/>
      <c r="X702" s="64"/>
      <c r="Y702" s="45"/>
      <c r="Z702" s="45"/>
      <c r="AA702" s="105"/>
      <c r="AB702" s="105"/>
      <c r="AC702" s="105"/>
      <c r="AD702" s="64"/>
      <c r="AG702" s="45"/>
      <c r="AH702" s="64"/>
      <c r="AI702" s="45"/>
      <c r="AJ702" s="105"/>
      <c r="AK702" s="105"/>
      <c r="AL702" s="60"/>
      <c r="AM702" s="60"/>
      <c r="AN702" s="60"/>
      <c r="AO702" s="60"/>
      <c r="AP702" s="60"/>
      <c r="AQ702" s="60"/>
      <c r="AR702" s="60"/>
      <c r="AS702" s="60"/>
      <c r="AT702" s="45"/>
      <c r="AU702" s="45"/>
      <c r="AW702" s="45"/>
      <c r="AX702" s="46">
        <f t="shared" si="31"/>
        <v>0</v>
      </c>
      <c r="AY702" s="46">
        <f t="shared" si="32"/>
        <v>0</v>
      </c>
      <c r="AZ702" s="46">
        <f t="shared" si="33"/>
        <v>0</v>
      </c>
    </row>
    <row r="703" spans="3:52" ht="20.100000000000001" customHeight="1">
      <c r="C703" s="102"/>
      <c r="D703" s="3"/>
      <c r="E703" s="68"/>
      <c r="F703" s="3"/>
      <c r="G703" s="3"/>
      <c r="H703" s="3"/>
      <c r="J703" s="3"/>
      <c r="K703" s="3"/>
      <c r="L703" s="4"/>
      <c r="M703" s="3"/>
      <c r="O703" s="58"/>
      <c r="Q703" s="64"/>
      <c r="R703" s="45"/>
      <c r="S703" s="45"/>
      <c r="U703" s="64"/>
      <c r="V703" s="45"/>
      <c r="W703" s="64"/>
      <c r="X703" s="64"/>
      <c r="Y703" s="45"/>
      <c r="Z703" s="45"/>
      <c r="AA703" s="105"/>
      <c r="AB703" s="105"/>
      <c r="AC703" s="105"/>
      <c r="AD703" s="64"/>
      <c r="AG703" s="45"/>
      <c r="AH703" s="64"/>
      <c r="AI703" s="45"/>
      <c r="AJ703" s="105"/>
      <c r="AK703" s="105"/>
      <c r="AL703" s="60"/>
      <c r="AM703" s="60"/>
      <c r="AN703" s="60"/>
      <c r="AO703" s="60"/>
      <c r="AP703" s="60"/>
      <c r="AQ703" s="60"/>
      <c r="AR703" s="60"/>
      <c r="AS703" s="60"/>
      <c r="AT703" s="45"/>
      <c r="AU703" s="45"/>
      <c r="AW703" s="45"/>
      <c r="AX703" s="46">
        <f t="shared" si="31"/>
        <v>0</v>
      </c>
      <c r="AY703" s="46">
        <f t="shared" si="32"/>
        <v>0</v>
      </c>
      <c r="AZ703" s="46">
        <f t="shared" si="33"/>
        <v>0</v>
      </c>
    </row>
    <row r="704" spans="3:52" ht="20.100000000000001" customHeight="1">
      <c r="C704" s="102"/>
      <c r="D704" s="3"/>
      <c r="F704" s="3"/>
      <c r="G704" s="3"/>
      <c r="H704" s="3"/>
      <c r="J704" s="3"/>
      <c r="K704" s="3"/>
      <c r="L704" s="4"/>
      <c r="M704" s="3"/>
      <c r="O704" s="58"/>
      <c r="Q704" s="64"/>
      <c r="R704" s="45"/>
      <c r="S704" s="45"/>
      <c r="U704" s="64"/>
      <c r="V704" s="45"/>
      <c r="W704" s="64"/>
      <c r="X704" s="64"/>
      <c r="Y704" s="45"/>
      <c r="Z704" s="45"/>
      <c r="AA704" s="105"/>
      <c r="AB704" s="105"/>
      <c r="AC704" s="105"/>
      <c r="AD704" s="64"/>
      <c r="AH704" s="64"/>
      <c r="AI704" s="45"/>
      <c r="AJ704" s="105"/>
      <c r="AK704" s="105"/>
      <c r="AL704" s="60"/>
      <c r="AM704" s="60"/>
      <c r="AN704" s="60"/>
      <c r="AO704" s="60"/>
      <c r="AP704" s="60"/>
      <c r="AQ704" s="60"/>
      <c r="AR704" s="60"/>
      <c r="AS704" s="60"/>
      <c r="AT704" s="45"/>
      <c r="AU704" s="45"/>
      <c r="AW704" s="45"/>
      <c r="AX704" s="46">
        <f t="shared" si="31"/>
        <v>0</v>
      </c>
      <c r="AY704" s="46">
        <f t="shared" si="32"/>
        <v>0</v>
      </c>
      <c r="AZ704" s="46">
        <f t="shared" si="33"/>
        <v>0</v>
      </c>
    </row>
    <row r="705" spans="3:52" ht="20.100000000000001" customHeight="1">
      <c r="C705" s="102"/>
      <c r="D705" s="3"/>
      <c r="E705" s="68"/>
      <c r="F705" s="3"/>
      <c r="G705" s="3"/>
      <c r="H705" s="3"/>
      <c r="J705" s="3"/>
      <c r="K705" s="3"/>
      <c r="L705" s="4"/>
      <c r="M705" s="3"/>
      <c r="O705" s="58"/>
      <c r="Q705" s="64"/>
      <c r="R705" s="45"/>
      <c r="S705" s="45"/>
      <c r="U705" s="64"/>
      <c r="V705" s="45"/>
      <c r="W705" s="64"/>
      <c r="X705" s="64"/>
      <c r="Y705" s="45"/>
      <c r="Z705" s="45"/>
      <c r="AA705" s="105"/>
      <c r="AB705" s="105"/>
      <c r="AC705" s="105"/>
      <c r="AD705" s="64"/>
      <c r="AG705" s="45"/>
      <c r="AH705" s="64"/>
      <c r="AI705" s="45"/>
      <c r="AJ705" s="105"/>
      <c r="AK705" s="105"/>
      <c r="AL705" s="60"/>
      <c r="AM705" s="60"/>
      <c r="AN705" s="60"/>
      <c r="AO705" s="60"/>
      <c r="AP705" s="60"/>
      <c r="AQ705" s="60"/>
      <c r="AR705" s="60"/>
      <c r="AS705" s="60"/>
      <c r="AT705" s="45"/>
      <c r="AU705" s="45"/>
      <c r="AW705" s="45"/>
      <c r="AX705" s="46">
        <f t="shared" si="31"/>
        <v>0</v>
      </c>
      <c r="AY705" s="46">
        <f t="shared" si="32"/>
        <v>0</v>
      </c>
      <c r="AZ705" s="46">
        <f t="shared" si="33"/>
        <v>0</v>
      </c>
    </row>
    <row r="706" spans="3:52" ht="20.100000000000001" customHeight="1">
      <c r="C706" s="102"/>
      <c r="D706" s="3"/>
      <c r="E706" s="68"/>
      <c r="F706" s="3"/>
      <c r="G706" s="3"/>
      <c r="H706" s="3"/>
      <c r="J706" s="3"/>
      <c r="K706" s="3"/>
      <c r="L706" s="4"/>
      <c r="M706" s="3"/>
      <c r="O706" s="58"/>
      <c r="Q706" s="64"/>
      <c r="R706" s="45"/>
      <c r="S706" s="45"/>
      <c r="U706" s="64"/>
      <c r="V706" s="45"/>
      <c r="W706" s="64"/>
      <c r="X706" s="64"/>
      <c r="Y706" s="45"/>
      <c r="Z706" s="45"/>
      <c r="AA706" s="105"/>
      <c r="AB706" s="105"/>
      <c r="AC706" s="105"/>
      <c r="AD706" s="64"/>
      <c r="AG706" s="45"/>
      <c r="AH706" s="64"/>
      <c r="AI706" s="45"/>
      <c r="AJ706" s="105"/>
      <c r="AK706" s="105"/>
      <c r="AL706" s="60"/>
      <c r="AM706" s="60"/>
      <c r="AN706" s="60"/>
      <c r="AO706" s="60"/>
      <c r="AP706" s="60"/>
      <c r="AQ706" s="60"/>
      <c r="AR706" s="60"/>
      <c r="AS706" s="60"/>
      <c r="AT706" s="45"/>
      <c r="AU706" s="45"/>
      <c r="AW706" s="45"/>
      <c r="AX706" s="46">
        <f t="shared" si="31"/>
        <v>0</v>
      </c>
      <c r="AY706" s="46">
        <f t="shared" si="32"/>
        <v>0</v>
      </c>
      <c r="AZ706" s="46">
        <f t="shared" si="33"/>
        <v>0</v>
      </c>
    </row>
    <row r="707" spans="3:52" ht="20.100000000000001" customHeight="1">
      <c r="C707" s="102"/>
      <c r="D707" s="3"/>
      <c r="E707" s="68"/>
      <c r="F707" s="3"/>
      <c r="G707" s="3"/>
      <c r="H707" s="3"/>
      <c r="J707" s="3"/>
      <c r="K707" s="3"/>
      <c r="L707" s="4"/>
      <c r="M707" s="3"/>
      <c r="O707" s="58"/>
      <c r="Q707" s="64"/>
      <c r="R707" s="45"/>
      <c r="S707" s="45"/>
      <c r="U707" s="64"/>
      <c r="V707" s="45"/>
      <c r="W707" s="64"/>
      <c r="X707" s="64"/>
      <c r="Y707" s="45"/>
      <c r="Z707" s="45"/>
      <c r="AA707" s="105"/>
      <c r="AB707" s="105"/>
      <c r="AC707" s="105"/>
      <c r="AD707" s="64"/>
      <c r="AG707" s="45"/>
      <c r="AH707" s="64"/>
      <c r="AI707" s="45"/>
      <c r="AJ707" s="105"/>
      <c r="AK707" s="105"/>
      <c r="AL707" s="60"/>
      <c r="AM707" s="60"/>
      <c r="AN707" s="60"/>
      <c r="AO707" s="60"/>
      <c r="AP707" s="60"/>
      <c r="AQ707" s="60"/>
      <c r="AR707" s="60"/>
      <c r="AS707" s="60"/>
      <c r="AT707" s="45"/>
      <c r="AU707" s="45"/>
      <c r="AW707" s="45"/>
      <c r="AX707" s="46">
        <f t="shared" si="31"/>
        <v>0</v>
      </c>
      <c r="AY707" s="46">
        <f t="shared" si="32"/>
        <v>0</v>
      </c>
      <c r="AZ707" s="46">
        <f t="shared" si="33"/>
        <v>0</v>
      </c>
    </row>
    <row r="708" spans="3:52" ht="20.100000000000001" customHeight="1">
      <c r="C708" s="102"/>
      <c r="D708" s="3"/>
      <c r="E708" s="68"/>
      <c r="F708" s="3"/>
      <c r="G708" s="3"/>
      <c r="H708" s="3"/>
      <c r="J708" s="3"/>
      <c r="K708" s="3"/>
      <c r="L708" s="4"/>
      <c r="M708" s="3"/>
      <c r="O708" s="58"/>
      <c r="Q708" s="64"/>
      <c r="R708" s="45"/>
      <c r="S708" s="45"/>
      <c r="U708" s="64"/>
      <c r="V708" s="45"/>
      <c r="W708" s="64"/>
      <c r="X708" s="64"/>
      <c r="Y708" s="45"/>
      <c r="Z708" s="45"/>
      <c r="AA708" s="105"/>
      <c r="AB708" s="105"/>
      <c r="AC708" s="105"/>
      <c r="AD708" s="64"/>
      <c r="AG708" s="45"/>
      <c r="AH708" s="64"/>
      <c r="AI708" s="45"/>
      <c r="AJ708" s="105"/>
      <c r="AK708" s="105"/>
      <c r="AL708" s="60"/>
      <c r="AM708" s="60"/>
      <c r="AN708" s="60"/>
      <c r="AO708" s="60"/>
      <c r="AP708" s="60"/>
      <c r="AQ708" s="60"/>
      <c r="AR708" s="60"/>
      <c r="AS708" s="60"/>
      <c r="AT708" s="45"/>
      <c r="AU708" s="45"/>
      <c r="AW708" s="45"/>
      <c r="AX708" s="46">
        <f t="shared" si="31"/>
        <v>0</v>
      </c>
      <c r="AY708" s="46">
        <f t="shared" si="32"/>
        <v>0</v>
      </c>
      <c r="AZ708" s="46">
        <f t="shared" si="33"/>
        <v>0</v>
      </c>
    </row>
    <row r="709" spans="3:52" ht="20.100000000000001" customHeight="1">
      <c r="C709" s="102"/>
      <c r="D709" s="3"/>
      <c r="F709" s="3"/>
      <c r="G709" s="3"/>
      <c r="H709" s="3"/>
      <c r="J709" s="3"/>
      <c r="K709" s="3"/>
      <c r="L709" s="4"/>
      <c r="M709" s="3"/>
      <c r="O709" s="58"/>
      <c r="Q709" s="64"/>
      <c r="R709" s="45"/>
      <c r="S709" s="45"/>
      <c r="U709" s="64"/>
      <c r="V709" s="45"/>
      <c r="W709" s="64"/>
      <c r="X709" s="64"/>
      <c r="Y709" s="45"/>
      <c r="Z709" s="45"/>
      <c r="AA709" s="105"/>
      <c r="AB709" s="105"/>
      <c r="AC709" s="105"/>
      <c r="AD709" s="64"/>
      <c r="AG709" s="45"/>
      <c r="AH709" s="64"/>
      <c r="AI709" s="45"/>
      <c r="AJ709" s="105"/>
      <c r="AK709" s="105"/>
      <c r="AL709" s="60"/>
      <c r="AM709" s="60"/>
      <c r="AN709" s="60"/>
      <c r="AO709" s="60"/>
      <c r="AP709" s="60"/>
      <c r="AQ709" s="60"/>
      <c r="AR709" s="60"/>
      <c r="AS709" s="60"/>
      <c r="AT709" s="45"/>
      <c r="AU709" s="45"/>
      <c r="AW709" s="45"/>
      <c r="AX709" s="46">
        <f t="shared" si="31"/>
        <v>0</v>
      </c>
      <c r="AY709" s="46">
        <f t="shared" si="32"/>
        <v>0</v>
      </c>
      <c r="AZ709" s="46">
        <f t="shared" si="33"/>
        <v>0</v>
      </c>
    </row>
    <row r="710" spans="3:52" ht="20.100000000000001" customHeight="1">
      <c r="C710" s="102"/>
      <c r="D710" s="3"/>
      <c r="E710" s="68"/>
      <c r="F710" s="3"/>
      <c r="G710" s="3"/>
      <c r="H710" s="3"/>
      <c r="J710" s="3"/>
      <c r="K710" s="3"/>
      <c r="L710" s="4"/>
      <c r="M710" s="3"/>
      <c r="O710" s="58"/>
      <c r="Q710" s="64"/>
      <c r="R710" s="45"/>
      <c r="S710" s="45"/>
      <c r="U710" s="64"/>
      <c r="V710" s="45"/>
      <c r="W710" s="64"/>
      <c r="X710" s="64"/>
      <c r="Y710" s="45"/>
      <c r="Z710" s="45"/>
      <c r="AA710" s="105"/>
      <c r="AB710" s="105"/>
      <c r="AC710" s="105"/>
      <c r="AD710" s="64"/>
      <c r="AG710" s="45"/>
      <c r="AH710" s="64"/>
      <c r="AI710" s="45"/>
      <c r="AJ710" s="105"/>
      <c r="AK710" s="105"/>
      <c r="AL710" s="60"/>
      <c r="AM710" s="60"/>
      <c r="AN710" s="60"/>
      <c r="AO710" s="60"/>
      <c r="AP710" s="60"/>
      <c r="AQ710" s="60"/>
      <c r="AR710" s="60"/>
      <c r="AS710" s="60"/>
      <c r="AT710" s="45"/>
      <c r="AU710" s="45"/>
      <c r="AW710" s="45"/>
      <c r="AX710" s="46">
        <f t="shared" si="31"/>
        <v>0</v>
      </c>
      <c r="AY710" s="46">
        <f t="shared" si="32"/>
        <v>0</v>
      </c>
      <c r="AZ710" s="46">
        <f t="shared" si="33"/>
        <v>0</v>
      </c>
    </row>
    <row r="711" spans="3:52" ht="20.100000000000001" customHeight="1">
      <c r="C711" s="102"/>
      <c r="D711" s="3"/>
      <c r="E711" s="68"/>
      <c r="F711" s="3"/>
      <c r="G711" s="3"/>
      <c r="H711" s="3"/>
      <c r="J711" s="3"/>
      <c r="K711" s="3"/>
      <c r="L711" s="4"/>
      <c r="M711" s="3"/>
      <c r="O711" s="58"/>
      <c r="Q711" s="64"/>
      <c r="R711" s="45"/>
      <c r="S711" s="45"/>
      <c r="U711" s="64"/>
      <c r="V711" s="45"/>
      <c r="W711" s="64"/>
      <c r="X711" s="64"/>
      <c r="Y711" s="45"/>
      <c r="Z711" s="45"/>
      <c r="AA711" s="105"/>
      <c r="AB711" s="105"/>
      <c r="AC711" s="105"/>
      <c r="AD711" s="64"/>
      <c r="AG711" s="45"/>
      <c r="AH711" s="64"/>
      <c r="AI711" s="45"/>
      <c r="AJ711" s="105"/>
      <c r="AK711" s="105"/>
      <c r="AL711" s="60"/>
      <c r="AM711" s="60"/>
      <c r="AN711" s="60"/>
      <c r="AO711" s="60"/>
      <c r="AP711" s="60"/>
      <c r="AQ711" s="60"/>
      <c r="AR711" s="60"/>
      <c r="AS711" s="60"/>
      <c r="AT711" s="45"/>
      <c r="AU711" s="45"/>
      <c r="AW711" s="45"/>
      <c r="AX711" s="46">
        <f t="shared" si="31"/>
        <v>0</v>
      </c>
      <c r="AY711" s="46">
        <f t="shared" si="32"/>
        <v>0</v>
      </c>
      <c r="AZ711" s="46">
        <f t="shared" si="33"/>
        <v>0</v>
      </c>
    </row>
    <row r="712" spans="3:52" ht="20.100000000000001" customHeight="1">
      <c r="C712" s="102"/>
      <c r="D712" s="3"/>
      <c r="E712" s="68"/>
      <c r="F712" s="3"/>
      <c r="G712" s="3"/>
      <c r="H712" s="3"/>
      <c r="J712" s="3"/>
      <c r="K712" s="3"/>
      <c r="L712" s="4"/>
      <c r="M712" s="3"/>
      <c r="O712" s="58"/>
      <c r="Q712" s="64"/>
      <c r="R712" s="45"/>
      <c r="S712" s="45"/>
      <c r="U712" s="64"/>
      <c r="V712" s="45"/>
      <c r="W712" s="64"/>
      <c r="X712" s="64"/>
      <c r="Y712" s="45"/>
      <c r="Z712" s="45"/>
      <c r="AA712" s="105"/>
      <c r="AB712" s="105"/>
      <c r="AC712" s="105"/>
      <c r="AD712" s="64"/>
      <c r="AG712" s="45"/>
      <c r="AH712" s="64"/>
      <c r="AI712" s="45"/>
      <c r="AJ712" s="105"/>
      <c r="AK712" s="105"/>
      <c r="AL712" s="60"/>
      <c r="AM712" s="60"/>
      <c r="AN712" s="60"/>
      <c r="AO712" s="60"/>
      <c r="AP712" s="60"/>
      <c r="AQ712" s="60"/>
      <c r="AR712" s="60"/>
      <c r="AS712" s="60"/>
      <c r="AT712" s="45"/>
      <c r="AU712" s="45"/>
      <c r="AW712" s="45"/>
      <c r="AX712" s="46">
        <f t="shared" si="31"/>
        <v>0</v>
      </c>
      <c r="AY712" s="46">
        <f t="shared" si="32"/>
        <v>0</v>
      </c>
      <c r="AZ712" s="46">
        <f t="shared" si="33"/>
        <v>0</v>
      </c>
    </row>
    <row r="713" spans="3:52" ht="20.100000000000001" customHeight="1">
      <c r="C713" s="102"/>
      <c r="D713" s="3"/>
      <c r="F713" s="3"/>
      <c r="G713" s="3"/>
      <c r="H713" s="3"/>
      <c r="J713" s="3"/>
      <c r="K713" s="3"/>
      <c r="L713" s="4"/>
      <c r="M713" s="3"/>
      <c r="O713" s="58"/>
      <c r="Q713" s="64"/>
      <c r="R713" s="45"/>
      <c r="S713" s="45"/>
      <c r="U713" s="64"/>
      <c r="V713" s="45"/>
      <c r="W713" s="64"/>
      <c r="X713" s="64"/>
      <c r="Y713" s="45"/>
      <c r="Z713" s="45"/>
      <c r="AA713" s="105"/>
      <c r="AB713" s="105"/>
      <c r="AC713" s="105"/>
      <c r="AD713" s="64"/>
      <c r="AG713" s="45"/>
      <c r="AH713" s="64"/>
      <c r="AI713" s="45"/>
      <c r="AJ713" s="105"/>
      <c r="AK713" s="105"/>
      <c r="AL713" s="60"/>
      <c r="AM713" s="60"/>
      <c r="AN713" s="60"/>
      <c r="AO713" s="60"/>
      <c r="AP713" s="60"/>
      <c r="AQ713" s="60"/>
      <c r="AR713" s="60"/>
      <c r="AS713" s="60"/>
      <c r="AT713" s="45"/>
      <c r="AU713" s="45"/>
      <c r="AW713" s="45"/>
      <c r="AX713" s="46">
        <f t="shared" si="31"/>
        <v>0</v>
      </c>
      <c r="AY713" s="46">
        <f t="shared" si="32"/>
        <v>0</v>
      </c>
      <c r="AZ713" s="46">
        <f t="shared" si="33"/>
        <v>0</v>
      </c>
    </row>
    <row r="714" spans="3:52" ht="20.100000000000001" customHeight="1">
      <c r="C714" s="102"/>
      <c r="D714" s="3"/>
      <c r="F714" s="3"/>
      <c r="G714" s="3"/>
      <c r="H714" s="3"/>
      <c r="J714" s="3"/>
      <c r="K714" s="3"/>
      <c r="L714" s="4"/>
      <c r="M714" s="3"/>
      <c r="O714" s="58"/>
      <c r="Q714" s="64"/>
      <c r="R714" s="45"/>
      <c r="S714" s="45"/>
      <c r="U714" s="64"/>
      <c r="V714" s="45"/>
      <c r="W714" s="64"/>
      <c r="X714" s="64"/>
      <c r="Y714" s="45"/>
      <c r="Z714" s="45"/>
      <c r="AA714" s="105"/>
      <c r="AB714" s="105"/>
      <c r="AC714" s="105"/>
      <c r="AD714" s="64"/>
      <c r="AG714" s="45"/>
      <c r="AH714" s="64"/>
      <c r="AI714" s="45"/>
      <c r="AJ714" s="105"/>
      <c r="AK714" s="105"/>
      <c r="AL714" s="60"/>
      <c r="AM714" s="60"/>
      <c r="AN714" s="60"/>
      <c r="AO714" s="60"/>
      <c r="AP714" s="60"/>
      <c r="AQ714" s="60"/>
      <c r="AR714" s="60"/>
      <c r="AS714" s="60"/>
      <c r="AT714" s="45"/>
      <c r="AU714" s="45"/>
      <c r="AW714" s="45"/>
      <c r="AX714" s="46">
        <f t="shared" si="31"/>
        <v>0</v>
      </c>
      <c r="AY714" s="46">
        <f t="shared" si="32"/>
        <v>0</v>
      </c>
      <c r="AZ714" s="46">
        <f t="shared" si="33"/>
        <v>0</v>
      </c>
    </row>
    <row r="715" spans="3:52" ht="20.100000000000001" customHeight="1">
      <c r="C715" s="102"/>
      <c r="D715" s="3"/>
      <c r="F715" s="3"/>
      <c r="G715" s="3"/>
      <c r="H715" s="3"/>
      <c r="J715" s="3"/>
      <c r="K715" s="3"/>
      <c r="L715" s="4"/>
      <c r="M715" s="3"/>
      <c r="O715" s="58"/>
      <c r="Q715" s="64"/>
      <c r="R715" s="45"/>
      <c r="S715" s="45"/>
      <c r="U715" s="64"/>
      <c r="V715" s="45"/>
      <c r="W715" s="64"/>
      <c r="X715" s="64"/>
      <c r="Y715" s="45"/>
      <c r="Z715" s="45"/>
      <c r="AA715" s="105"/>
      <c r="AB715" s="105"/>
      <c r="AC715" s="105"/>
      <c r="AD715" s="64"/>
      <c r="AG715" s="45"/>
      <c r="AH715" s="64"/>
      <c r="AI715" s="45"/>
      <c r="AJ715" s="105"/>
      <c r="AK715" s="105"/>
      <c r="AL715" s="60"/>
      <c r="AM715" s="60"/>
      <c r="AN715" s="60"/>
      <c r="AO715" s="60"/>
      <c r="AP715" s="60"/>
      <c r="AQ715" s="60"/>
      <c r="AR715" s="60"/>
      <c r="AS715" s="60"/>
      <c r="AT715" s="45"/>
      <c r="AU715" s="45"/>
      <c r="AW715" s="45"/>
      <c r="AX715" s="46">
        <f t="shared" ref="AX715:AX778" si="34">IFERROR(SUM(Q715:AS715)-SUM(AT715:AU715)+AV715,"-")</f>
        <v>0</v>
      </c>
      <c r="AY715" s="46">
        <f t="shared" ref="AY715:AY778" si="35">IFERROR(SUM(Q715:AS715)-SUM(AT715:AT715),"-")</f>
        <v>0</v>
      </c>
      <c r="AZ715" s="46">
        <f t="shared" ref="AZ715:AZ778" si="36">SUM(Q715:AS715)</f>
        <v>0</v>
      </c>
    </row>
    <row r="716" spans="3:52" ht="20.100000000000001" customHeight="1">
      <c r="C716" s="102"/>
      <c r="D716" s="3"/>
      <c r="E716" s="68"/>
      <c r="F716" s="3"/>
      <c r="G716" s="3"/>
      <c r="H716" s="3"/>
      <c r="J716" s="3"/>
      <c r="K716" s="3"/>
      <c r="L716" s="4"/>
      <c r="M716" s="3"/>
      <c r="O716" s="58"/>
      <c r="Q716" s="64"/>
      <c r="R716" s="45"/>
      <c r="S716" s="45"/>
      <c r="U716" s="64"/>
      <c r="V716" s="45"/>
      <c r="W716" s="64"/>
      <c r="X716" s="64"/>
      <c r="Y716" s="45"/>
      <c r="Z716" s="45"/>
      <c r="AA716" s="105"/>
      <c r="AB716" s="105"/>
      <c r="AC716" s="105"/>
      <c r="AD716" s="64"/>
      <c r="AG716" s="45"/>
      <c r="AH716" s="64"/>
      <c r="AI716" s="45"/>
      <c r="AJ716" s="105"/>
      <c r="AK716" s="105"/>
      <c r="AL716" s="60"/>
      <c r="AM716" s="60"/>
      <c r="AN716" s="60"/>
      <c r="AO716" s="60"/>
      <c r="AP716" s="60"/>
      <c r="AQ716" s="60"/>
      <c r="AR716" s="60"/>
      <c r="AS716" s="60"/>
      <c r="AT716" s="45"/>
      <c r="AU716" s="45"/>
      <c r="AW716" s="45"/>
      <c r="AX716" s="46">
        <f t="shared" si="34"/>
        <v>0</v>
      </c>
      <c r="AY716" s="46">
        <f t="shared" si="35"/>
        <v>0</v>
      </c>
      <c r="AZ716" s="46">
        <f t="shared" si="36"/>
        <v>0</v>
      </c>
    </row>
    <row r="717" spans="3:52" ht="20.100000000000001" customHeight="1">
      <c r="C717" s="102"/>
      <c r="D717" s="3"/>
      <c r="F717" s="3"/>
      <c r="G717" s="3"/>
      <c r="H717" s="3"/>
      <c r="J717" s="3"/>
      <c r="K717" s="3"/>
      <c r="L717" s="4"/>
      <c r="M717" s="3"/>
      <c r="O717" s="58"/>
      <c r="Q717" s="64"/>
      <c r="R717" s="45"/>
      <c r="S717" s="45"/>
      <c r="U717" s="64"/>
      <c r="V717" s="45"/>
      <c r="W717" s="64"/>
      <c r="X717" s="64"/>
      <c r="Y717" s="45"/>
      <c r="Z717" s="45"/>
      <c r="AA717" s="105"/>
      <c r="AB717" s="105"/>
      <c r="AC717" s="105"/>
      <c r="AD717" s="64"/>
      <c r="AG717" s="45"/>
      <c r="AH717" s="64"/>
      <c r="AI717" s="45"/>
      <c r="AJ717" s="105"/>
      <c r="AK717" s="105"/>
      <c r="AL717" s="60"/>
      <c r="AM717" s="60"/>
      <c r="AN717" s="60"/>
      <c r="AO717" s="60"/>
      <c r="AP717" s="60"/>
      <c r="AQ717" s="60"/>
      <c r="AR717" s="60"/>
      <c r="AS717" s="60"/>
      <c r="AT717" s="45"/>
      <c r="AU717" s="45"/>
      <c r="AW717" s="45"/>
      <c r="AX717" s="46">
        <f t="shared" si="34"/>
        <v>0</v>
      </c>
      <c r="AY717" s="46">
        <f t="shared" si="35"/>
        <v>0</v>
      </c>
      <c r="AZ717" s="46">
        <f t="shared" si="36"/>
        <v>0</v>
      </c>
    </row>
    <row r="718" spans="3:52" ht="20.100000000000001" customHeight="1">
      <c r="C718" s="102"/>
      <c r="D718" s="3"/>
      <c r="F718" s="3"/>
      <c r="G718" s="3"/>
      <c r="H718" s="3"/>
      <c r="J718" s="3"/>
      <c r="K718" s="3"/>
      <c r="L718" s="4"/>
      <c r="M718" s="3"/>
      <c r="O718" s="58"/>
      <c r="Q718" s="64"/>
      <c r="R718" s="45"/>
      <c r="S718" s="45"/>
      <c r="U718" s="64"/>
      <c r="V718" s="45"/>
      <c r="W718" s="64"/>
      <c r="X718" s="64"/>
      <c r="Y718" s="45"/>
      <c r="Z718" s="45"/>
      <c r="AA718" s="105"/>
      <c r="AB718" s="105"/>
      <c r="AC718" s="105"/>
      <c r="AD718" s="64"/>
      <c r="AG718" s="45"/>
      <c r="AH718" s="64"/>
      <c r="AI718" s="45"/>
      <c r="AJ718" s="105"/>
      <c r="AK718" s="105"/>
      <c r="AL718" s="60"/>
      <c r="AM718" s="60"/>
      <c r="AN718" s="60"/>
      <c r="AO718" s="60"/>
      <c r="AP718" s="60"/>
      <c r="AQ718" s="60"/>
      <c r="AR718" s="60"/>
      <c r="AS718" s="60"/>
      <c r="AT718" s="45"/>
      <c r="AU718" s="45"/>
      <c r="AW718" s="45"/>
      <c r="AX718" s="46">
        <f t="shared" si="34"/>
        <v>0</v>
      </c>
      <c r="AY718" s="46">
        <f t="shared" si="35"/>
        <v>0</v>
      </c>
      <c r="AZ718" s="46">
        <f t="shared" si="36"/>
        <v>0</v>
      </c>
    </row>
    <row r="719" spans="3:52" ht="20.100000000000001" customHeight="1">
      <c r="C719" s="102"/>
      <c r="D719" s="3"/>
      <c r="F719" s="3"/>
      <c r="G719" s="3"/>
      <c r="H719" s="3"/>
      <c r="J719" s="3"/>
      <c r="K719" s="3"/>
      <c r="L719" s="4"/>
      <c r="M719" s="3"/>
      <c r="O719" s="58"/>
      <c r="Q719" s="64"/>
      <c r="R719" s="45"/>
      <c r="S719" s="45"/>
      <c r="U719" s="64"/>
      <c r="V719" s="45"/>
      <c r="W719" s="64"/>
      <c r="X719" s="64"/>
      <c r="Y719" s="45"/>
      <c r="Z719" s="45"/>
      <c r="AA719" s="105"/>
      <c r="AB719" s="105"/>
      <c r="AC719" s="105"/>
      <c r="AD719" s="64"/>
      <c r="AG719" s="45"/>
      <c r="AH719" s="64"/>
      <c r="AI719" s="45"/>
      <c r="AJ719" s="105"/>
      <c r="AK719" s="105"/>
      <c r="AL719" s="60"/>
      <c r="AM719" s="60"/>
      <c r="AN719" s="60"/>
      <c r="AO719" s="60"/>
      <c r="AP719" s="60"/>
      <c r="AQ719" s="60"/>
      <c r="AR719" s="60"/>
      <c r="AS719" s="60"/>
      <c r="AT719" s="45"/>
      <c r="AU719" s="45"/>
      <c r="AW719" s="45"/>
      <c r="AX719" s="46">
        <f t="shared" si="34"/>
        <v>0</v>
      </c>
      <c r="AY719" s="46">
        <f t="shared" si="35"/>
        <v>0</v>
      </c>
      <c r="AZ719" s="46">
        <f t="shared" si="36"/>
        <v>0</v>
      </c>
    </row>
    <row r="720" spans="3:52" ht="20.100000000000001" customHeight="1">
      <c r="C720" s="102"/>
      <c r="D720" s="3"/>
      <c r="E720" s="68"/>
      <c r="F720" s="3"/>
      <c r="G720" s="3"/>
      <c r="H720" s="3"/>
      <c r="J720" s="3"/>
      <c r="K720" s="3"/>
      <c r="L720" s="4"/>
      <c r="M720" s="3"/>
      <c r="O720" s="58"/>
      <c r="Q720" s="64"/>
      <c r="R720" s="45"/>
      <c r="S720" s="45"/>
      <c r="U720" s="64"/>
      <c r="V720" s="45"/>
      <c r="W720" s="64"/>
      <c r="X720" s="64"/>
      <c r="Y720" s="45"/>
      <c r="Z720" s="45"/>
      <c r="AA720" s="105"/>
      <c r="AB720" s="105"/>
      <c r="AC720" s="105"/>
      <c r="AD720" s="64"/>
      <c r="AG720" s="45"/>
      <c r="AH720" s="64"/>
      <c r="AI720" s="45"/>
      <c r="AJ720" s="105"/>
      <c r="AK720" s="105"/>
      <c r="AL720" s="60"/>
      <c r="AM720" s="60"/>
      <c r="AN720" s="60"/>
      <c r="AO720" s="60"/>
      <c r="AP720" s="60"/>
      <c r="AQ720" s="60"/>
      <c r="AR720" s="60"/>
      <c r="AS720" s="60"/>
      <c r="AT720" s="45"/>
      <c r="AU720" s="45"/>
      <c r="AW720" s="45"/>
      <c r="AX720" s="46">
        <f t="shared" si="34"/>
        <v>0</v>
      </c>
      <c r="AY720" s="46">
        <f t="shared" si="35"/>
        <v>0</v>
      </c>
      <c r="AZ720" s="46">
        <f t="shared" si="36"/>
        <v>0</v>
      </c>
    </row>
    <row r="721" spans="3:52" ht="20.100000000000001" customHeight="1">
      <c r="C721" s="102"/>
      <c r="D721" s="3"/>
      <c r="F721" s="3"/>
      <c r="G721" s="3"/>
      <c r="H721" s="3"/>
      <c r="J721" s="3"/>
      <c r="K721" s="3"/>
      <c r="L721" s="4"/>
      <c r="M721" s="3"/>
      <c r="O721" s="58"/>
      <c r="Q721" s="64"/>
      <c r="R721" s="45"/>
      <c r="S721" s="45"/>
      <c r="U721" s="64"/>
      <c r="V721" s="45"/>
      <c r="W721" s="64"/>
      <c r="X721" s="64"/>
      <c r="Y721" s="45"/>
      <c r="Z721" s="45"/>
      <c r="AA721" s="105"/>
      <c r="AB721" s="105"/>
      <c r="AC721" s="105"/>
      <c r="AD721" s="64"/>
      <c r="AH721" s="64"/>
      <c r="AI721" s="45"/>
      <c r="AJ721" s="105"/>
      <c r="AK721" s="105"/>
      <c r="AL721" s="60"/>
      <c r="AM721" s="60"/>
      <c r="AN721" s="60"/>
      <c r="AO721" s="60"/>
      <c r="AP721" s="60"/>
      <c r="AQ721" s="60"/>
      <c r="AR721" s="60"/>
      <c r="AS721" s="60"/>
      <c r="AT721" s="45"/>
      <c r="AU721" s="45"/>
      <c r="AW721" s="45"/>
      <c r="AX721" s="46">
        <f t="shared" si="34"/>
        <v>0</v>
      </c>
      <c r="AY721" s="46">
        <f t="shared" si="35"/>
        <v>0</v>
      </c>
      <c r="AZ721" s="46">
        <f t="shared" si="36"/>
        <v>0</v>
      </c>
    </row>
    <row r="722" spans="3:52" ht="20.100000000000001" customHeight="1">
      <c r="C722" s="102"/>
      <c r="D722" s="3"/>
      <c r="F722" s="3"/>
      <c r="G722" s="3"/>
      <c r="H722" s="3"/>
      <c r="J722" s="3"/>
      <c r="K722" s="3"/>
      <c r="L722" s="4"/>
      <c r="M722" s="3"/>
      <c r="O722" s="58"/>
      <c r="Q722" s="64"/>
      <c r="R722" s="45"/>
      <c r="S722" s="45"/>
      <c r="U722" s="64"/>
      <c r="V722" s="45"/>
      <c r="W722" s="64"/>
      <c r="X722" s="64"/>
      <c r="Y722" s="45"/>
      <c r="Z722" s="45"/>
      <c r="AA722" s="105"/>
      <c r="AB722" s="105"/>
      <c r="AC722" s="105"/>
      <c r="AD722" s="64"/>
      <c r="AG722" s="45"/>
      <c r="AH722" s="64"/>
      <c r="AI722" s="45"/>
      <c r="AJ722" s="105"/>
      <c r="AK722" s="105"/>
      <c r="AL722" s="60"/>
      <c r="AM722" s="60"/>
      <c r="AN722" s="60"/>
      <c r="AO722" s="60"/>
      <c r="AP722" s="60"/>
      <c r="AQ722" s="60"/>
      <c r="AR722" s="60"/>
      <c r="AS722" s="60"/>
      <c r="AT722" s="45"/>
      <c r="AU722" s="45"/>
      <c r="AW722" s="45"/>
      <c r="AX722" s="46">
        <f t="shared" si="34"/>
        <v>0</v>
      </c>
      <c r="AY722" s="46">
        <f t="shared" si="35"/>
        <v>0</v>
      </c>
      <c r="AZ722" s="46">
        <f t="shared" si="36"/>
        <v>0</v>
      </c>
    </row>
    <row r="723" spans="3:52" ht="20.100000000000001" customHeight="1">
      <c r="C723" s="102"/>
      <c r="D723" s="3"/>
      <c r="E723" s="68"/>
      <c r="F723" s="3"/>
      <c r="G723" s="3"/>
      <c r="H723" s="3"/>
      <c r="J723" s="3"/>
      <c r="K723" s="3"/>
      <c r="L723" s="4"/>
      <c r="M723" s="3"/>
      <c r="O723" s="58"/>
      <c r="Q723" s="64"/>
      <c r="R723" s="45"/>
      <c r="S723" s="45"/>
      <c r="U723" s="64"/>
      <c r="V723" s="45"/>
      <c r="W723" s="64"/>
      <c r="X723" s="64"/>
      <c r="Y723" s="45"/>
      <c r="Z723" s="45"/>
      <c r="AA723" s="105"/>
      <c r="AB723" s="105"/>
      <c r="AC723" s="105"/>
      <c r="AD723" s="64"/>
      <c r="AG723" s="45"/>
      <c r="AH723" s="64"/>
      <c r="AI723" s="45"/>
      <c r="AJ723" s="105"/>
      <c r="AK723" s="105"/>
      <c r="AL723" s="60"/>
      <c r="AM723" s="60"/>
      <c r="AN723" s="60"/>
      <c r="AO723" s="60"/>
      <c r="AP723" s="60"/>
      <c r="AQ723" s="60"/>
      <c r="AR723" s="60"/>
      <c r="AS723" s="60"/>
      <c r="AT723" s="45"/>
      <c r="AU723" s="45"/>
      <c r="AW723" s="45"/>
      <c r="AX723" s="46">
        <f t="shared" si="34"/>
        <v>0</v>
      </c>
      <c r="AY723" s="46">
        <f t="shared" si="35"/>
        <v>0</v>
      </c>
      <c r="AZ723" s="46">
        <f t="shared" si="36"/>
        <v>0</v>
      </c>
    </row>
    <row r="724" spans="3:52" ht="20.100000000000001" customHeight="1">
      <c r="C724" s="102"/>
      <c r="D724" s="3"/>
      <c r="E724" s="68"/>
      <c r="F724" s="3"/>
      <c r="G724" s="3"/>
      <c r="H724" s="3"/>
      <c r="J724" s="3"/>
      <c r="K724" s="3"/>
      <c r="L724" s="4"/>
      <c r="M724" s="3"/>
      <c r="O724" s="58"/>
      <c r="Q724" s="64"/>
      <c r="R724" s="45"/>
      <c r="S724" s="45"/>
      <c r="U724" s="64"/>
      <c r="V724" s="45"/>
      <c r="W724" s="64"/>
      <c r="X724" s="64"/>
      <c r="Y724" s="45"/>
      <c r="Z724" s="45"/>
      <c r="AA724" s="105"/>
      <c r="AB724" s="105"/>
      <c r="AC724" s="105"/>
      <c r="AD724" s="64"/>
      <c r="AG724" s="45"/>
      <c r="AH724" s="64"/>
      <c r="AI724" s="45"/>
      <c r="AJ724" s="105"/>
      <c r="AK724" s="105"/>
      <c r="AL724" s="60"/>
      <c r="AM724" s="60"/>
      <c r="AN724" s="60"/>
      <c r="AO724" s="60"/>
      <c r="AP724" s="60"/>
      <c r="AQ724" s="60"/>
      <c r="AR724" s="60"/>
      <c r="AS724" s="60"/>
      <c r="AT724" s="45"/>
      <c r="AU724" s="45"/>
      <c r="AW724" s="45"/>
      <c r="AX724" s="46">
        <f t="shared" si="34"/>
        <v>0</v>
      </c>
      <c r="AY724" s="46">
        <f t="shared" si="35"/>
        <v>0</v>
      </c>
      <c r="AZ724" s="46">
        <f t="shared" si="36"/>
        <v>0</v>
      </c>
    </row>
    <row r="725" spans="3:52" ht="20.100000000000001" customHeight="1">
      <c r="C725" s="102"/>
      <c r="D725" s="3"/>
      <c r="E725" s="68"/>
      <c r="F725" s="3"/>
      <c r="G725" s="3"/>
      <c r="H725" s="3"/>
      <c r="J725" s="3"/>
      <c r="K725" s="3"/>
      <c r="L725" s="4"/>
      <c r="M725" s="3"/>
      <c r="O725" s="58"/>
      <c r="Q725" s="64"/>
      <c r="R725" s="45"/>
      <c r="S725" s="45"/>
      <c r="U725" s="64"/>
      <c r="V725" s="45"/>
      <c r="W725" s="64"/>
      <c r="X725" s="64"/>
      <c r="Y725" s="45"/>
      <c r="Z725" s="45"/>
      <c r="AA725" s="105"/>
      <c r="AB725" s="105"/>
      <c r="AC725" s="105"/>
      <c r="AD725" s="64"/>
      <c r="AG725" s="45"/>
      <c r="AH725" s="64"/>
      <c r="AI725" s="45"/>
      <c r="AJ725" s="105"/>
      <c r="AK725" s="105"/>
      <c r="AL725" s="60"/>
      <c r="AM725" s="60"/>
      <c r="AN725" s="60"/>
      <c r="AO725" s="60"/>
      <c r="AP725" s="60"/>
      <c r="AQ725" s="60"/>
      <c r="AR725" s="60"/>
      <c r="AS725" s="60"/>
      <c r="AT725" s="45"/>
      <c r="AU725" s="45"/>
      <c r="AW725" s="45"/>
      <c r="AX725" s="46">
        <f t="shared" si="34"/>
        <v>0</v>
      </c>
      <c r="AY725" s="46">
        <f t="shared" si="35"/>
        <v>0</v>
      </c>
      <c r="AZ725" s="46">
        <f t="shared" si="36"/>
        <v>0</v>
      </c>
    </row>
    <row r="726" spans="3:52" ht="20.100000000000001" customHeight="1">
      <c r="C726" s="102"/>
      <c r="D726" s="3"/>
      <c r="E726" s="68"/>
      <c r="F726" s="3"/>
      <c r="G726" s="3"/>
      <c r="H726" s="3"/>
      <c r="J726" s="3"/>
      <c r="K726" s="3"/>
      <c r="L726" s="4"/>
      <c r="M726" s="3"/>
      <c r="O726" s="58"/>
      <c r="Q726" s="64"/>
      <c r="R726" s="45"/>
      <c r="S726" s="45"/>
      <c r="U726" s="64"/>
      <c r="V726" s="45"/>
      <c r="W726" s="64"/>
      <c r="X726" s="64"/>
      <c r="Y726" s="45"/>
      <c r="Z726" s="45"/>
      <c r="AA726" s="105"/>
      <c r="AB726" s="105"/>
      <c r="AC726" s="105"/>
      <c r="AD726" s="64"/>
      <c r="AG726" s="45"/>
      <c r="AH726" s="64"/>
      <c r="AI726" s="45"/>
      <c r="AJ726" s="105"/>
      <c r="AK726" s="105"/>
      <c r="AL726" s="60"/>
      <c r="AM726" s="60"/>
      <c r="AN726" s="60"/>
      <c r="AO726" s="60"/>
      <c r="AP726" s="60"/>
      <c r="AQ726" s="60"/>
      <c r="AR726" s="60"/>
      <c r="AS726" s="60"/>
      <c r="AT726" s="45"/>
      <c r="AU726" s="45"/>
      <c r="AW726" s="45"/>
      <c r="AX726" s="46">
        <f t="shared" si="34"/>
        <v>0</v>
      </c>
      <c r="AY726" s="46">
        <f t="shared" si="35"/>
        <v>0</v>
      </c>
      <c r="AZ726" s="46">
        <f t="shared" si="36"/>
        <v>0</v>
      </c>
    </row>
    <row r="727" spans="3:52" ht="20.100000000000001" customHeight="1">
      <c r="C727" s="102"/>
      <c r="D727" s="3"/>
      <c r="E727" s="68"/>
      <c r="F727" s="3"/>
      <c r="G727" s="3"/>
      <c r="H727" s="3"/>
      <c r="J727" s="3"/>
      <c r="K727" s="3"/>
      <c r="L727" s="4"/>
      <c r="M727" s="3"/>
      <c r="O727" s="58"/>
      <c r="Q727" s="64"/>
      <c r="R727" s="45"/>
      <c r="S727" s="45"/>
      <c r="U727" s="64"/>
      <c r="V727" s="45"/>
      <c r="W727" s="64"/>
      <c r="X727" s="64"/>
      <c r="Y727" s="45"/>
      <c r="Z727" s="45"/>
      <c r="AA727" s="105"/>
      <c r="AB727" s="105"/>
      <c r="AC727" s="105"/>
      <c r="AD727" s="64"/>
      <c r="AG727" s="45"/>
      <c r="AH727" s="64"/>
      <c r="AI727" s="45"/>
      <c r="AJ727" s="105"/>
      <c r="AK727" s="105"/>
      <c r="AL727" s="60"/>
      <c r="AM727" s="60"/>
      <c r="AN727" s="60"/>
      <c r="AO727" s="60"/>
      <c r="AP727" s="60"/>
      <c r="AQ727" s="60"/>
      <c r="AR727" s="60"/>
      <c r="AS727" s="60"/>
      <c r="AT727" s="45"/>
      <c r="AU727" s="45"/>
      <c r="AW727" s="45"/>
      <c r="AX727" s="46">
        <f t="shared" si="34"/>
        <v>0</v>
      </c>
      <c r="AY727" s="46">
        <f t="shared" si="35"/>
        <v>0</v>
      </c>
      <c r="AZ727" s="46">
        <f t="shared" si="36"/>
        <v>0</v>
      </c>
    </row>
    <row r="728" spans="3:52" ht="20.100000000000001" customHeight="1">
      <c r="C728" s="102"/>
      <c r="D728" s="3"/>
      <c r="E728" s="68"/>
      <c r="F728" s="3"/>
      <c r="G728" s="3"/>
      <c r="H728" s="3"/>
      <c r="J728" s="3"/>
      <c r="K728" s="3"/>
      <c r="L728" s="4"/>
      <c r="M728" s="3"/>
      <c r="O728" s="58"/>
      <c r="Q728" s="64"/>
      <c r="R728" s="45"/>
      <c r="S728" s="45"/>
      <c r="U728" s="64"/>
      <c r="V728" s="45"/>
      <c r="W728" s="64"/>
      <c r="X728" s="64"/>
      <c r="Y728" s="45"/>
      <c r="Z728" s="45"/>
      <c r="AA728" s="105"/>
      <c r="AB728" s="105"/>
      <c r="AC728" s="105"/>
      <c r="AD728" s="64"/>
      <c r="AG728" s="45"/>
      <c r="AH728" s="64"/>
      <c r="AI728" s="45"/>
      <c r="AJ728" s="105"/>
      <c r="AK728" s="105"/>
      <c r="AL728" s="60"/>
      <c r="AM728" s="60"/>
      <c r="AN728" s="60"/>
      <c r="AO728" s="60"/>
      <c r="AP728" s="60"/>
      <c r="AQ728" s="60"/>
      <c r="AR728" s="60"/>
      <c r="AS728" s="60"/>
      <c r="AT728" s="45"/>
      <c r="AU728" s="45"/>
      <c r="AW728" s="45"/>
      <c r="AX728" s="46">
        <f t="shared" si="34"/>
        <v>0</v>
      </c>
      <c r="AY728" s="46">
        <f t="shared" si="35"/>
        <v>0</v>
      </c>
      <c r="AZ728" s="46">
        <f t="shared" si="36"/>
        <v>0</v>
      </c>
    </row>
    <row r="729" spans="3:52" ht="20.100000000000001" customHeight="1">
      <c r="C729" s="102"/>
      <c r="D729" s="3"/>
      <c r="F729" s="3"/>
      <c r="G729" s="3"/>
      <c r="H729" s="3"/>
      <c r="J729" s="3"/>
      <c r="K729" s="3"/>
      <c r="L729" s="4"/>
      <c r="M729" s="3"/>
      <c r="O729" s="58"/>
      <c r="Q729" s="64"/>
      <c r="R729" s="45"/>
      <c r="S729" s="45"/>
      <c r="U729" s="64"/>
      <c r="V729" s="45"/>
      <c r="W729" s="64"/>
      <c r="X729" s="64"/>
      <c r="Y729" s="45"/>
      <c r="Z729" s="45"/>
      <c r="AA729" s="105"/>
      <c r="AB729" s="105"/>
      <c r="AC729" s="105"/>
      <c r="AD729" s="64"/>
      <c r="AH729" s="64"/>
      <c r="AI729" s="45"/>
      <c r="AJ729" s="105"/>
      <c r="AK729" s="105"/>
      <c r="AL729" s="60"/>
      <c r="AM729" s="60"/>
      <c r="AN729" s="60"/>
      <c r="AO729" s="60"/>
      <c r="AP729" s="60"/>
      <c r="AQ729" s="60"/>
      <c r="AR729" s="60"/>
      <c r="AS729" s="60"/>
      <c r="AT729" s="45"/>
      <c r="AU729" s="45"/>
      <c r="AW729" s="45"/>
      <c r="AX729" s="46">
        <f t="shared" si="34"/>
        <v>0</v>
      </c>
      <c r="AY729" s="46">
        <f t="shared" si="35"/>
        <v>0</v>
      </c>
      <c r="AZ729" s="46">
        <f t="shared" si="36"/>
        <v>0</v>
      </c>
    </row>
    <row r="730" spans="3:52" ht="20.100000000000001" customHeight="1">
      <c r="C730" s="102"/>
      <c r="D730" s="3"/>
      <c r="E730" s="68"/>
      <c r="F730" s="3"/>
      <c r="G730" s="3"/>
      <c r="H730" s="3"/>
      <c r="J730" s="3"/>
      <c r="K730" s="3"/>
      <c r="L730" s="4"/>
      <c r="M730" s="3"/>
      <c r="O730" s="58"/>
      <c r="Q730" s="64"/>
      <c r="R730" s="45"/>
      <c r="S730" s="45"/>
      <c r="U730" s="64"/>
      <c r="V730" s="45"/>
      <c r="W730" s="64"/>
      <c r="X730" s="64"/>
      <c r="Y730" s="45"/>
      <c r="Z730" s="45"/>
      <c r="AA730" s="105"/>
      <c r="AB730" s="105"/>
      <c r="AC730" s="105"/>
      <c r="AD730" s="64"/>
      <c r="AG730" s="45"/>
      <c r="AH730" s="64"/>
      <c r="AI730" s="45"/>
      <c r="AJ730" s="105"/>
      <c r="AK730" s="105"/>
      <c r="AL730" s="60"/>
      <c r="AM730" s="60"/>
      <c r="AN730" s="60"/>
      <c r="AO730" s="60"/>
      <c r="AP730" s="60"/>
      <c r="AQ730" s="60"/>
      <c r="AR730" s="60"/>
      <c r="AS730" s="60"/>
      <c r="AT730" s="45"/>
      <c r="AU730" s="45"/>
      <c r="AW730" s="45"/>
      <c r="AX730" s="46">
        <f t="shared" si="34"/>
        <v>0</v>
      </c>
      <c r="AY730" s="46">
        <f t="shared" si="35"/>
        <v>0</v>
      </c>
      <c r="AZ730" s="46">
        <f t="shared" si="36"/>
        <v>0</v>
      </c>
    </row>
    <row r="731" spans="3:52" ht="20.100000000000001" customHeight="1">
      <c r="C731" s="102"/>
      <c r="D731" s="3"/>
      <c r="F731" s="3"/>
      <c r="G731" s="3"/>
      <c r="H731" s="3"/>
      <c r="J731" s="3"/>
      <c r="K731" s="3"/>
      <c r="L731" s="4"/>
      <c r="M731" s="3"/>
      <c r="O731" s="58"/>
      <c r="Q731" s="64"/>
      <c r="R731" s="45"/>
      <c r="S731" s="45"/>
      <c r="U731" s="64"/>
      <c r="V731" s="45"/>
      <c r="W731" s="64"/>
      <c r="X731" s="64"/>
      <c r="Y731" s="45"/>
      <c r="Z731" s="45"/>
      <c r="AA731" s="105"/>
      <c r="AB731" s="105"/>
      <c r="AC731" s="105"/>
      <c r="AD731" s="64"/>
      <c r="AG731" s="45"/>
      <c r="AH731" s="64"/>
      <c r="AI731" s="45"/>
      <c r="AJ731" s="105"/>
      <c r="AK731" s="105"/>
      <c r="AL731" s="60"/>
      <c r="AM731" s="60"/>
      <c r="AN731" s="60"/>
      <c r="AO731" s="60"/>
      <c r="AP731" s="60"/>
      <c r="AQ731" s="60"/>
      <c r="AR731" s="60"/>
      <c r="AS731" s="60"/>
      <c r="AT731" s="45"/>
      <c r="AU731" s="45"/>
      <c r="AW731" s="45"/>
      <c r="AX731" s="46">
        <f t="shared" si="34"/>
        <v>0</v>
      </c>
      <c r="AY731" s="46">
        <f t="shared" si="35"/>
        <v>0</v>
      </c>
      <c r="AZ731" s="46">
        <f t="shared" si="36"/>
        <v>0</v>
      </c>
    </row>
    <row r="732" spans="3:52" ht="20.100000000000001" customHeight="1">
      <c r="C732" s="102"/>
      <c r="D732" s="3"/>
      <c r="E732" s="68"/>
      <c r="F732" s="3"/>
      <c r="G732" s="3"/>
      <c r="H732" s="3"/>
      <c r="J732" s="3"/>
      <c r="K732" s="3"/>
      <c r="L732" s="4"/>
      <c r="M732" s="3"/>
      <c r="O732" s="58"/>
      <c r="Q732" s="64"/>
      <c r="R732" s="45"/>
      <c r="S732" s="45"/>
      <c r="U732" s="64"/>
      <c r="V732" s="45"/>
      <c r="W732" s="64"/>
      <c r="X732" s="64"/>
      <c r="Y732" s="45"/>
      <c r="Z732" s="45"/>
      <c r="AA732" s="105"/>
      <c r="AB732" s="105"/>
      <c r="AC732" s="105"/>
      <c r="AD732" s="64"/>
      <c r="AH732" s="64"/>
      <c r="AI732" s="45"/>
      <c r="AJ732" s="105"/>
      <c r="AK732" s="105"/>
      <c r="AL732" s="60"/>
      <c r="AM732" s="60"/>
      <c r="AN732" s="60"/>
      <c r="AO732" s="60"/>
      <c r="AP732" s="60"/>
      <c r="AQ732" s="60"/>
      <c r="AR732" s="60"/>
      <c r="AS732" s="60"/>
      <c r="AT732" s="45"/>
      <c r="AU732" s="45"/>
      <c r="AW732" s="45"/>
      <c r="AX732" s="46">
        <f t="shared" si="34"/>
        <v>0</v>
      </c>
      <c r="AY732" s="46">
        <f t="shared" si="35"/>
        <v>0</v>
      </c>
      <c r="AZ732" s="46">
        <f t="shared" si="36"/>
        <v>0</v>
      </c>
    </row>
    <row r="733" spans="3:52" ht="20.100000000000001" customHeight="1">
      <c r="C733" s="102"/>
      <c r="D733" s="3"/>
      <c r="F733" s="3"/>
      <c r="G733" s="3"/>
      <c r="H733" s="3"/>
      <c r="J733" s="3"/>
      <c r="K733" s="3"/>
      <c r="L733" s="4"/>
      <c r="M733" s="3"/>
      <c r="O733" s="58"/>
      <c r="Q733" s="64"/>
      <c r="R733" s="45"/>
      <c r="S733" s="45"/>
      <c r="U733" s="64"/>
      <c r="V733" s="45"/>
      <c r="W733" s="64"/>
      <c r="X733" s="64"/>
      <c r="Y733" s="45"/>
      <c r="Z733" s="45"/>
      <c r="AA733" s="105"/>
      <c r="AB733" s="105"/>
      <c r="AC733" s="105"/>
      <c r="AD733" s="64"/>
      <c r="AG733" s="45"/>
      <c r="AH733" s="64"/>
      <c r="AI733" s="45"/>
      <c r="AJ733" s="105"/>
      <c r="AK733" s="105"/>
      <c r="AL733" s="60"/>
      <c r="AM733" s="60"/>
      <c r="AN733" s="60"/>
      <c r="AO733" s="60"/>
      <c r="AP733" s="60"/>
      <c r="AQ733" s="60"/>
      <c r="AR733" s="60"/>
      <c r="AS733" s="60"/>
      <c r="AT733" s="45"/>
      <c r="AU733" s="45"/>
      <c r="AW733" s="45"/>
      <c r="AX733" s="46">
        <f t="shared" si="34"/>
        <v>0</v>
      </c>
      <c r="AY733" s="46">
        <f t="shared" si="35"/>
        <v>0</v>
      </c>
      <c r="AZ733" s="46">
        <f t="shared" si="36"/>
        <v>0</v>
      </c>
    </row>
    <row r="734" spans="3:52" ht="20.100000000000001" customHeight="1">
      <c r="C734" s="102"/>
      <c r="D734" s="3"/>
      <c r="F734" s="3"/>
      <c r="G734" s="3"/>
      <c r="H734" s="3"/>
      <c r="J734" s="3"/>
      <c r="K734" s="3"/>
      <c r="L734" s="4"/>
      <c r="M734" s="3"/>
      <c r="O734" s="58"/>
      <c r="Q734" s="64"/>
      <c r="R734" s="45"/>
      <c r="S734" s="45"/>
      <c r="U734" s="64"/>
      <c r="V734" s="45"/>
      <c r="W734" s="64"/>
      <c r="X734" s="64"/>
      <c r="Y734" s="45"/>
      <c r="Z734" s="45"/>
      <c r="AA734" s="105"/>
      <c r="AB734" s="105"/>
      <c r="AC734" s="105"/>
      <c r="AD734" s="64"/>
      <c r="AG734" s="45"/>
      <c r="AH734" s="64"/>
      <c r="AI734" s="45"/>
      <c r="AJ734" s="105"/>
      <c r="AK734" s="105"/>
      <c r="AL734" s="60"/>
      <c r="AM734" s="60"/>
      <c r="AN734" s="60"/>
      <c r="AO734" s="60"/>
      <c r="AP734" s="60"/>
      <c r="AQ734" s="60"/>
      <c r="AR734" s="60"/>
      <c r="AS734" s="60"/>
      <c r="AT734" s="45"/>
      <c r="AU734" s="45"/>
      <c r="AW734" s="45"/>
      <c r="AX734" s="46">
        <f t="shared" si="34"/>
        <v>0</v>
      </c>
      <c r="AY734" s="46">
        <f t="shared" si="35"/>
        <v>0</v>
      </c>
      <c r="AZ734" s="46">
        <f t="shared" si="36"/>
        <v>0</v>
      </c>
    </row>
    <row r="735" spans="3:52" ht="20.100000000000001" customHeight="1">
      <c r="C735" s="102"/>
      <c r="D735" s="3"/>
      <c r="E735" s="68"/>
      <c r="F735" s="3"/>
      <c r="G735" s="3"/>
      <c r="H735" s="3"/>
      <c r="J735" s="3"/>
      <c r="K735" s="3"/>
      <c r="L735" s="4"/>
      <c r="M735" s="3"/>
      <c r="O735" s="58"/>
      <c r="Q735" s="64"/>
      <c r="R735" s="45"/>
      <c r="S735" s="45"/>
      <c r="U735" s="64"/>
      <c r="V735" s="45"/>
      <c r="W735" s="64"/>
      <c r="X735" s="64"/>
      <c r="Y735" s="45"/>
      <c r="Z735" s="45"/>
      <c r="AA735" s="105"/>
      <c r="AB735" s="105"/>
      <c r="AC735" s="105"/>
      <c r="AD735" s="64"/>
      <c r="AH735" s="64"/>
      <c r="AI735" s="45"/>
      <c r="AJ735" s="105"/>
      <c r="AK735" s="105"/>
      <c r="AL735" s="60"/>
      <c r="AM735" s="60"/>
      <c r="AN735" s="60"/>
      <c r="AO735" s="60"/>
      <c r="AP735" s="60"/>
      <c r="AQ735" s="60"/>
      <c r="AR735" s="60"/>
      <c r="AS735" s="60"/>
      <c r="AT735" s="45"/>
      <c r="AU735" s="45"/>
      <c r="AW735" s="45"/>
      <c r="AX735" s="46">
        <f t="shared" si="34"/>
        <v>0</v>
      </c>
      <c r="AY735" s="46">
        <f t="shared" si="35"/>
        <v>0</v>
      </c>
      <c r="AZ735" s="46">
        <f t="shared" si="36"/>
        <v>0</v>
      </c>
    </row>
    <row r="736" spans="3:52" ht="20.100000000000001" customHeight="1">
      <c r="C736" s="102"/>
      <c r="D736" s="3"/>
      <c r="F736" s="3"/>
      <c r="G736" s="3"/>
      <c r="H736" s="3"/>
      <c r="J736" s="3"/>
      <c r="K736" s="3"/>
      <c r="L736" s="4"/>
      <c r="M736" s="3"/>
      <c r="O736" s="58"/>
      <c r="Q736" s="64"/>
      <c r="R736" s="45"/>
      <c r="S736" s="45"/>
      <c r="U736" s="64"/>
      <c r="V736" s="45"/>
      <c r="W736" s="64"/>
      <c r="X736" s="64"/>
      <c r="Y736" s="45"/>
      <c r="Z736" s="45"/>
      <c r="AA736" s="105"/>
      <c r="AB736" s="105"/>
      <c r="AC736" s="105"/>
      <c r="AD736" s="64"/>
      <c r="AG736" s="45"/>
      <c r="AH736" s="64"/>
      <c r="AI736" s="45"/>
      <c r="AJ736" s="105"/>
      <c r="AK736" s="105"/>
      <c r="AL736" s="60"/>
      <c r="AM736" s="60"/>
      <c r="AN736" s="60"/>
      <c r="AO736" s="60"/>
      <c r="AP736" s="60"/>
      <c r="AQ736" s="60"/>
      <c r="AR736" s="60"/>
      <c r="AS736" s="60"/>
      <c r="AT736" s="45"/>
      <c r="AU736" s="45"/>
      <c r="AW736" s="45"/>
      <c r="AX736" s="46">
        <f t="shared" si="34"/>
        <v>0</v>
      </c>
      <c r="AY736" s="46">
        <f t="shared" si="35"/>
        <v>0</v>
      </c>
      <c r="AZ736" s="46">
        <f t="shared" si="36"/>
        <v>0</v>
      </c>
    </row>
    <row r="737" spans="3:52" ht="20.100000000000001" customHeight="1">
      <c r="C737" s="102"/>
      <c r="D737" s="3"/>
      <c r="F737" s="3"/>
      <c r="G737" s="3"/>
      <c r="H737" s="3"/>
      <c r="J737" s="3"/>
      <c r="K737" s="3"/>
      <c r="L737" s="4"/>
      <c r="M737" s="3"/>
      <c r="O737" s="58"/>
      <c r="Q737" s="64"/>
      <c r="R737" s="45"/>
      <c r="S737" s="45"/>
      <c r="U737" s="64"/>
      <c r="V737" s="45"/>
      <c r="W737" s="64"/>
      <c r="X737" s="64"/>
      <c r="Y737" s="45"/>
      <c r="Z737" s="45"/>
      <c r="AA737" s="105"/>
      <c r="AB737" s="105"/>
      <c r="AC737" s="105"/>
      <c r="AD737" s="64"/>
      <c r="AG737" s="45"/>
      <c r="AH737" s="64"/>
      <c r="AI737" s="45"/>
      <c r="AJ737" s="105"/>
      <c r="AK737" s="105"/>
      <c r="AL737" s="60"/>
      <c r="AM737" s="60"/>
      <c r="AN737" s="60"/>
      <c r="AO737" s="60"/>
      <c r="AP737" s="60"/>
      <c r="AQ737" s="60"/>
      <c r="AR737" s="60"/>
      <c r="AS737" s="60"/>
      <c r="AT737" s="45"/>
      <c r="AU737" s="45"/>
      <c r="AW737" s="45"/>
      <c r="AX737" s="46">
        <f t="shared" si="34"/>
        <v>0</v>
      </c>
      <c r="AY737" s="46">
        <f t="shared" si="35"/>
        <v>0</v>
      </c>
      <c r="AZ737" s="46">
        <f t="shared" si="36"/>
        <v>0</v>
      </c>
    </row>
    <row r="738" spans="3:52" ht="20.100000000000001" customHeight="1">
      <c r="C738" s="102"/>
      <c r="D738" s="3"/>
      <c r="F738" s="3"/>
      <c r="G738" s="3"/>
      <c r="H738" s="3"/>
      <c r="J738" s="3"/>
      <c r="K738" s="3"/>
      <c r="L738" s="4"/>
      <c r="M738" s="3"/>
      <c r="O738" s="58"/>
      <c r="Q738" s="64"/>
      <c r="R738" s="45"/>
      <c r="S738" s="45"/>
      <c r="U738" s="64"/>
      <c r="V738" s="45"/>
      <c r="W738" s="64"/>
      <c r="X738" s="64"/>
      <c r="Y738" s="45"/>
      <c r="Z738" s="45"/>
      <c r="AA738" s="105"/>
      <c r="AB738" s="105"/>
      <c r="AC738" s="105"/>
      <c r="AD738" s="64"/>
      <c r="AG738" s="45"/>
      <c r="AH738" s="64"/>
      <c r="AI738" s="45"/>
      <c r="AJ738" s="105"/>
      <c r="AK738" s="105"/>
      <c r="AL738" s="60"/>
      <c r="AM738" s="60"/>
      <c r="AN738" s="60"/>
      <c r="AO738" s="60"/>
      <c r="AP738" s="60"/>
      <c r="AQ738" s="60"/>
      <c r="AR738" s="60"/>
      <c r="AS738" s="60"/>
      <c r="AT738" s="45"/>
      <c r="AU738" s="45"/>
      <c r="AW738" s="45"/>
      <c r="AX738" s="46">
        <f t="shared" si="34"/>
        <v>0</v>
      </c>
      <c r="AY738" s="46">
        <f t="shared" si="35"/>
        <v>0</v>
      </c>
      <c r="AZ738" s="46">
        <f t="shared" si="36"/>
        <v>0</v>
      </c>
    </row>
    <row r="739" spans="3:52" ht="20.100000000000001" customHeight="1">
      <c r="C739" s="102"/>
      <c r="D739" s="3"/>
      <c r="E739" s="68"/>
      <c r="F739" s="3"/>
      <c r="G739" s="3"/>
      <c r="H739" s="3"/>
      <c r="J739" s="3"/>
      <c r="K739" s="3"/>
      <c r="L739" s="4"/>
      <c r="M739" s="3"/>
      <c r="O739" s="58"/>
      <c r="Q739" s="64"/>
      <c r="R739" s="45"/>
      <c r="S739" s="45"/>
      <c r="U739" s="64"/>
      <c r="V739" s="45"/>
      <c r="W739" s="64"/>
      <c r="X739" s="64"/>
      <c r="Y739" s="45"/>
      <c r="Z739" s="45"/>
      <c r="AA739" s="105"/>
      <c r="AB739" s="105"/>
      <c r="AC739" s="105"/>
      <c r="AD739" s="64"/>
      <c r="AG739" s="45"/>
      <c r="AH739" s="64"/>
      <c r="AI739" s="45"/>
      <c r="AJ739" s="105"/>
      <c r="AK739" s="105"/>
      <c r="AL739" s="60"/>
      <c r="AM739" s="60"/>
      <c r="AN739" s="60"/>
      <c r="AO739" s="60"/>
      <c r="AP739" s="60"/>
      <c r="AQ739" s="60"/>
      <c r="AR739" s="60"/>
      <c r="AS739" s="60"/>
      <c r="AT739" s="45"/>
      <c r="AU739" s="45"/>
      <c r="AW739" s="45"/>
      <c r="AX739" s="46">
        <f t="shared" si="34"/>
        <v>0</v>
      </c>
      <c r="AY739" s="46">
        <f t="shared" si="35"/>
        <v>0</v>
      </c>
      <c r="AZ739" s="46">
        <f t="shared" si="36"/>
        <v>0</v>
      </c>
    </row>
    <row r="740" spans="3:52" ht="20.100000000000001" customHeight="1">
      <c r="C740" s="102"/>
      <c r="D740" s="3"/>
      <c r="E740" s="68"/>
      <c r="F740" s="3"/>
      <c r="G740" s="3"/>
      <c r="H740" s="3"/>
      <c r="J740" s="3"/>
      <c r="K740" s="3"/>
      <c r="L740" s="4"/>
      <c r="M740" s="3"/>
      <c r="O740" s="58"/>
      <c r="Q740" s="64"/>
      <c r="R740" s="45"/>
      <c r="S740" s="45"/>
      <c r="U740" s="64"/>
      <c r="V740" s="45"/>
      <c r="W740" s="64"/>
      <c r="X740" s="64"/>
      <c r="Y740" s="45"/>
      <c r="Z740" s="45"/>
      <c r="AA740" s="105"/>
      <c r="AB740" s="105"/>
      <c r="AC740" s="105"/>
      <c r="AD740" s="64"/>
      <c r="AG740" s="45"/>
      <c r="AH740" s="64"/>
      <c r="AI740" s="45"/>
      <c r="AJ740" s="105"/>
      <c r="AK740" s="105"/>
      <c r="AL740" s="60"/>
      <c r="AM740" s="60"/>
      <c r="AN740" s="60"/>
      <c r="AO740" s="60"/>
      <c r="AP740" s="60"/>
      <c r="AQ740" s="60"/>
      <c r="AR740" s="60"/>
      <c r="AS740" s="60"/>
      <c r="AT740" s="45"/>
      <c r="AU740" s="45"/>
      <c r="AW740" s="45"/>
      <c r="AX740" s="46">
        <f t="shared" si="34"/>
        <v>0</v>
      </c>
      <c r="AY740" s="46">
        <f t="shared" si="35"/>
        <v>0</v>
      </c>
      <c r="AZ740" s="46">
        <f t="shared" si="36"/>
        <v>0</v>
      </c>
    </row>
    <row r="741" spans="3:52" ht="20.100000000000001" customHeight="1">
      <c r="C741" s="102"/>
      <c r="D741" s="3"/>
      <c r="F741" s="3"/>
      <c r="G741" s="3"/>
      <c r="H741" s="3"/>
      <c r="J741" s="3"/>
      <c r="K741" s="3"/>
      <c r="L741" s="4"/>
      <c r="M741" s="3"/>
      <c r="O741" s="58"/>
      <c r="Q741" s="64"/>
      <c r="R741" s="45"/>
      <c r="S741" s="45"/>
      <c r="U741" s="64"/>
      <c r="V741" s="45"/>
      <c r="W741" s="64"/>
      <c r="X741" s="64"/>
      <c r="Y741" s="45"/>
      <c r="Z741" s="45"/>
      <c r="AA741" s="105"/>
      <c r="AB741" s="105"/>
      <c r="AC741" s="105"/>
      <c r="AD741" s="64"/>
      <c r="AG741" s="45"/>
      <c r="AH741" s="64"/>
      <c r="AI741" s="45"/>
      <c r="AJ741" s="105"/>
      <c r="AK741" s="105"/>
      <c r="AL741" s="60"/>
      <c r="AM741" s="60"/>
      <c r="AN741" s="60"/>
      <c r="AO741" s="60"/>
      <c r="AP741" s="60"/>
      <c r="AQ741" s="60"/>
      <c r="AR741" s="60"/>
      <c r="AS741" s="60"/>
      <c r="AT741" s="45"/>
      <c r="AU741" s="45"/>
      <c r="AW741" s="45"/>
      <c r="AX741" s="46">
        <f t="shared" si="34"/>
        <v>0</v>
      </c>
      <c r="AY741" s="46">
        <f t="shared" si="35"/>
        <v>0</v>
      </c>
      <c r="AZ741" s="46">
        <f t="shared" si="36"/>
        <v>0</v>
      </c>
    </row>
    <row r="742" spans="3:52" ht="20.100000000000001" customHeight="1">
      <c r="C742" s="102"/>
      <c r="D742" s="3"/>
      <c r="E742" s="68"/>
      <c r="F742" s="3"/>
      <c r="G742" s="3"/>
      <c r="H742" s="3"/>
      <c r="J742" s="3"/>
      <c r="K742" s="3"/>
      <c r="L742" s="4"/>
      <c r="M742" s="3"/>
      <c r="O742" s="58"/>
      <c r="Q742" s="64"/>
      <c r="R742" s="45"/>
      <c r="S742" s="45"/>
      <c r="U742" s="64"/>
      <c r="V742" s="45"/>
      <c r="W742" s="64"/>
      <c r="X742" s="64"/>
      <c r="Y742" s="45"/>
      <c r="Z742" s="45"/>
      <c r="AA742" s="105"/>
      <c r="AB742" s="105"/>
      <c r="AC742" s="105"/>
      <c r="AD742" s="64"/>
      <c r="AG742" s="45"/>
      <c r="AH742" s="64"/>
      <c r="AI742" s="45"/>
      <c r="AJ742" s="105"/>
      <c r="AK742" s="105"/>
      <c r="AL742" s="60"/>
      <c r="AM742" s="60"/>
      <c r="AN742" s="60"/>
      <c r="AO742" s="60"/>
      <c r="AP742" s="60"/>
      <c r="AQ742" s="60"/>
      <c r="AR742" s="60"/>
      <c r="AS742" s="60"/>
      <c r="AT742" s="45"/>
      <c r="AU742" s="45"/>
      <c r="AW742" s="45"/>
      <c r="AX742" s="46">
        <f t="shared" si="34"/>
        <v>0</v>
      </c>
      <c r="AY742" s="46">
        <f t="shared" si="35"/>
        <v>0</v>
      </c>
      <c r="AZ742" s="46">
        <f t="shared" si="36"/>
        <v>0</v>
      </c>
    </row>
    <row r="743" spans="3:52" ht="20.100000000000001" customHeight="1">
      <c r="C743" s="102"/>
      <c r="D743" s="3"/>
      <c r="F743" s="3"/>
      <c r="G743" s="3"/>
      <c r="H743" s="3"/>
      <c r="J743" s="3"/>
      <c r="K743" s="3"/>
      <c r="L743" s="4"/>
      <c r="M743" s="3"/>
      <c r="O743" s="58"/>
      <c r="Q743" s="64"/>
      <c r="R743" s="45"/>
      <c r="S743" s="45"/>
      <c r="U743" s="64"/>
      <c r="V743" s="45"/>
      <c r="W743" s="64"/>
      <c r="X743" s="64"/>
      <c r="Y743" s="45"/>
      <c r="Z743" s="45"/>
      <c r="AA743" s="105"/>
      <c r="AB743" s="105"/>
      <c r="AC743" s="105"/>
      <c r="AD743" s="64"/>
      <c r="AG743" s="45"/>
      <c r="AH743" s="64"/>
      <c r="AI743" s="45"/>
      <c r="AJ743" s="105"/>
      <c r="AK743" s="105"/>
      <c r="AL743" s="60"/>
      <c r="AM743" s="60"/>
      <c r="AN743" s="60"/>
      <c r="AO743" s="60"/>
      <c r="AP743" s="60"/>
      <c r="AQ743" s="60"/>
      <c r="AR743" s="60"/>
      <c r="AS743" s="60"/>
      <c r="AT743" s="45"/>
      <c r="AU743" s="45"/>
      <c r="AW743" s="45"/>
      <c r="AX743" s="46">
        <f t="shared" si="34"/>
        <v>0</v>
      </c>
      <c r="AY743" s="46">
        <f t="shared" si="35"/>
        <v>0</v>
      </c>
      <c r="AZ743" s="46">
        <f t="shared" si="36"/>
        <v>0</v>
      </c>
    </row>
    <row r="744" spans="3:52" ht="20.100000000000001" customHeight="1">
      <c r="C744" s="102"/>
      <c r="D744" s="3"/>
      <c r="E744" s="68"/>
      <c r="F744" s="3"/>
      <c r="G744" s="3"/>
      <c r="H744" s="3"/>
      <c r="J744" s="3"/>
      <c r="K744" s="3"/>
      <c r="L744" s="4"/>
      <c r="M744" s="3"/>
      <c r="O744" s="58"/>
      <c r="Q744" s="64"/>
      <c r="R744" s="45"/>
      <c r="S744" s="45"/>
      <c r="U744" s="64"/>
      <c r="V744" s="45"/>
      <c r="W744" s="64"/>
      <c r="X744" s="64"/>
      <c r="Y744" s="45"/>
      <c r="Z744" s="45"/>
      <c r="AA744" s="105"/>
      <c r="AB744" s="105"/>
      <c r="AC744" s="105"/>
      <c r="AD744" s="64"/>
      <c r="AG744" s="45"/>
      <c r="AH744" s="64"/>
      <c r="AI744" s="45"/>
      <c r="AJ744" s="105"/>
      <c r="AK744" s="105"/>
      <c r="AL744" s="60"/>
      <c r="AM744" s="60"/>
      <c r="AN744" s="60"/>
      <c r="AO744" s="60"/>
      <c r="AP744" s="60"/>
      <c r="AQ744" s="60"/>
      <c r="AR744" s="60"/>
      <c r="AS744" s="60"/>
      <c r="AT744" s="45"/>
      <c r="AU744" s="45"/>
      <c r="AW744" s="45"/>
      <c r="AX744" s="46">
        <f t="shared" si="34"/>
        <v>0</v>
      </c>
      <c r="AY744" s="46">
        <f t="shared" si="35"/>
        <v>0</v>
      </c>
      <c r="AZ744" s="46">
        <f t="shared" si="36"/>
        <v>0</v>
      </c>
    </row>
    <row r="745" spans="3:52" ht="20.100000000000001" customHeight="1">
      <c r="C745" s="102"/>
      <c r="D745" s="3"/>
      <c r="E745" s="68"/>
      <c r="F745" s="3"/>
      <c r="G745" s="3"/>
      <c r="H745" s="3"/>
      <c r="J745" s="3"/>
      <c r="K745" s="3"/>
      <c r="L745" s="4"/>
      <c r="M745" s="3"/>
      <c r="O745" s="58"/>
      <c r="Q745" s="64"/>
      <c r="R745" s="45"/>
      <c r="S745" s="45"/>
      <c r="U745" s="64"/>
      <c r="V745" s="45"/>
      <c r="W745" s="64"/>
      <c r="X745" s="64"/>
      <c r="Y745" s="45"/>
      <c r="Z745" s="45"/>
      <c r="AA745" s="105"/>
      <c r="AB745" s="105"/>
      <c r="AC745" s="105"/>
      <c r="AD745" s="64"/>
      <c r="AG745" s="45"/>
      <c r="AH745" s="64"/>
      <c r="AI745" s="45"/>
      <c r="AJ745" s="105"/>
      <c r="AK745" s="105"/>
      <c r="AL745" s="60"/>
      <c r="AM745" s="60"/>
      <c r="AN745" s="60"/>
      <c r="AO745" s="60"/>
      <c r="AP745" s="60"/>
      <c r="AQ745" s="60"/>
      <c r="AR745" s="60"/>
      <c r="AS745" s="60"/>
      <c r="AT745" s="45"/>
      <c r="AU745" s="45"/>
      <c r="AW745" s="45"/>
      <c r="AX745" s="46">
        <f t="shared" si="34"/>
        <v>0</v>
      </c>
      <c r="AY745" s="46">
        <f t="shared" si="35"/>
        <v>0</v>
      </c>
      <c r="AZ745" s="46">
        <f t="shared" si="36"/>
        <v>0</v>
      </c>
    </row>
    <row r="746" spans="3:52" ht="20.100000000000001" customHeight="1">
      <c r="C746" s="102"/>
      <c r="D746" s="3"/>
      <c r="E746" s="68"/>
      <c r="F746" s="3"/>
      <c r="G746" s="3"/>
      <c r="H746" s="3"/>
      <c r="J746" s="3"/>
      <c r="K746" s="3"/>
      <c r="L746" s="4"/>
      <c r="M746" s="3"/>
      <c r="O746" s="58"/>
      <c r="Q746" s="64"/>
      <c r="R746" s="45"/>
      <c r="S746" s="45"/>
      <c r="U746" s="64"/>
      <c r="V746" s="45"/>
      <c r="W746" s="64"/>
      <c r="X746" s="64"/>
      <c r="Y746" s="45"/>
      <c r="Z746" s="45"/>
      <c r="AA746" s="105"/>
      <c r="AB746" s="105"/>
      <c r="AC746" s="105"/>
      <c r="AD746" s="64"/>
      <c r="AG746" s="45"/>
      <c r="AH746" s="64"/>
      <c r="AI746" s="45"/>
      <c r="AJ746" s="105"/>
      <c r="AK746" s="105"/>
      <c r="AL746" s="60"/>
      <c r="AM746" s="60"/>
      <c r="AN746" s="60"/>
      <c r="AO746" s="60"/>
      <c r="AP746" s="60"/>
      <c r="AQ746" s="60"/>
      <c r="AR746" s="60"/>
      <c r="AS746" s="60"/>
      <c r="AT746" s="45"/>
      <c r="AU746" s="45"/>
      <c r="AW746" s="45"/>
      <c r="AX746" s="46">
        <f t="shared" si="34"/>
        <v>0</v>
      </c>
      <c r="AY746" s="46">
        <f t="shared" si="35"/>
        <v>0</v>
      </c>
      <c r="AZ746" s="46">
        <f t="shared" si="36"/>
        <v>0</v>
      </c>
    </row>
    <row r="747" spans="3:52" ht="20.100000000000001" customHeight="1">
      <c r="C747" s="102"/>
      <c r="D747" s="3"/>
      <c r="E747" s="68"/>
      <c r="F747" s="3"/>
      <c r="G747" s="3"/>
      <c r="H747" s="3"/>
      <c r="J747" s="3"/>
      <c r="K747" s="3"/>
      <c r="L747" s="4"/>
      <c r="M747" s="3"/>
      <c r="O747" s="58"/>
      <c r="Q747" s="64"/>
      <c r="R747" s="45"/>
      <c r="S747" s="45"/>
      <c r="U747" s="64"/>
      <c r="V747" s="45"/>
      <c r="W747" s="64"/>
      <c r="X747" s="64"/>
      <c r="Y747" s="45"/>
      <c r="Z747" s="45"/>
      <c r="AA747" s="105"/>
      <c r="AB747" s="105"/>
      <c r="AC747" s="105"/>
      <c r="AD747" s="64"/>
      <c r="AG747" s="45"/>
      <c r="AH747" s="64"/>
      <c r="AI747" s="45"/>
      <c r="AJ747" s="105"/>
      <c r="AK747" s="105"/>
      <c r="AL747" s="60"/>
      <c r="AM747" s="60"/>
      <c r="AN747" s="60"/>
      <c r="AO747" s="60"/>
      <c r="AP747" s="60"/>
      <c r="AQ747" s="60"/>
      <c r="AR747" s="60"/>
      <c r="AS747" s="60"/>
      <c r="AT747" s="45"/>
      <c r="AU747" s="45"/>
      <c r="AW747" s="45"/>
      <c r="AX747" s="46">
        <f t="shared" si="34"/>
        <v>0</v>
      </c>
      <c r="AY747" s="46">
        <f t="shared" si="35"/>
        <v>0</v>
      </c>
      <c r="AZ747" s="46">
        <f t="shared" si="36"/>
        <v>0</v>
      </c>
    </row>
    <row r="748" spans="3:52" ht="20.100000000000001" customHeight="1">
      <c r="C748" s="102"/>
      <c r="D748" s="3"/>
      <c r="F748" s="3"/>
      <c r="G748" s="3"/>
      <c r="H748" s="3"/>
      <c r="J748" s="3"/>
      <c r="K748" s="3"/>
      <c r="L748" s="4"/>
      <c r="M748" s="3"/>
      <c r="O748" s="58"/>
      <c r="Q748" s="64"/>
      <c r="R748" s="45"/>
      <c r="S748" s="45"/>
      <c r="U748" s="64"/>
      <c r="V748" s="45"/>
      <c r="W748" s="64"/>
      <c r="X748" s="64"/>
      <c r="Y748" s="45"/>
      <c r="Z748" s="45"/>
      <c r="AA748" s="105"/>
      <c r="AB748" s="105"/>
      <c r="AC748" s="105"/>
      <c r="AD748" s="64"/>
      <c r="AG748" s="45"/>
      <c r="AH748" s="64"/>
      <c r="AI748" s="45"/>
      <c r="AJ748" s="105"/>
      <c r="AK748" s="105"/>
      <c r="AL748" s="60"/>
      <c r="AM748" s="60"/>
      <c r="AN748" s="60"/>
      <c r="AO748" s="60"/>
      <c r="AP748" s="60"/>
      <c r="AQ748" s="60"/>
      <c r="AR748" s="60"/>
      <c r="AS748" s="60"/>
      <c r="AT748" s="45"/>
      <c r="AU748" s="45"/>
      <c r="AW748" s="45"/>
      <c r="AX748" s="46">
        <f t="shared" si="34"/>
        <v>0</v>
      </c>
      <c r="AY748" s="46">
        <f t="shared" si="35"/>
        <v>0</v>
      </c>
      <c r="AZ748" s="46">
        <f t="shared" si="36"/>
        <v>0</v>
      </c>
    </row>
    <row r="749" spans="3:52" ht="20.100000000000001" customHeight="1">
      <c r="C749" s="102"/>
      <c r="D749" s="3"/>
      <c r="E749" s="68"/>
      <c r="F749" s="3"/>
      <c r="G749" s="3"/>
      <c r="H749" s="3"/>
      <c r="J749" s="3"/>
      <c r="K749" s="3"/>
      <c r="L749" s="4"/>
      <c r="M749" s="3"/>
      <c r="O749" s="58"/>
      <c r="Q749" s="64"/>
      <c r="R749" s="45"/>
      <c r="S749" s="45"/>
      <c r="U749" s="64"/>
      <c r="V749" s="45"/>
      <c r="W749" s="64"/>
      <c r="X749" s="64"/>
      <c r="Y749" s="45"/>
      <c r="Z749" s="45"/>
      <c r="AA749" s="105"/>
      <c r="AB749" s="105"/>
      <c r="AC749" s="105"/>
      <c r="AD749" s="64"/>
      <c r="AH749" s="64"/>
      <c r="AI749" s="45"/>
      <c r="AJ749" s="105"/>
      <c r="AK749" s="105"/>
      <c r="AL749" s="60"/>
      <c r="AM749" s="60"/>
      <c r="AN749" s="60"/>
      <c r="AO749" s="60"/>
      <c r="AP749" s="60"/>
      <c r="AQ749" s="60"/>
      <c r="AR749" s="60"/>
      <c r="AS749" s="60"/>
      <c r="AT749" s="45"/>
      <c r="AU749" s="45"/>
      <c r="AW749" s="45"/>
      <c r="AX749" s="46">
        <f t="shared" si="34"/>
        <v>0</v>
      </c>
      <c r="AY749" s="46">
        <f t="shared" si="35"/>
        <v>0</v>
      </c>
      <c r="AZ749" s="46">
        <f t="shared" si="36"/>
        <v>0</v>
      </c>
    </row>
    <row r="750" spans="3:52" ht="20.100000000000001" customHeight="1">
      <c r="C750" s="102"/>
      <c r="D750" s="3"/>
      <c r="E750" s="68"/>
      <c r="F750" s="3"/>
      <c r="G750" s="3"/>
      <c r="H750" s="3"/>
      <c r="J750" s="3"/>
      <c r="K750" s="3"/>
      <c r="L750" s="4"/>
      <c r="M750" s="3"/>
      <c r="O750" s="58"/>
      <c r="Q750" s="64"/>
      <c r="R750" s="45"/>
      <c r="U750" s="64"/>
      <c r="V750" s="45"/>
      <c r="W750" s="64"/>
      <c r="X750" s="64"/>
      <c r="Y750" s="45"/>
      <c r="Z750" s="45"/>
      <c r="AA750" s="105"/>
      <c r="AB750" s="105"/>
      <c r="AC750" s="105"/>
      <c r="AD750" s="64"/>
      <c r="AG750" s="45"/>
      <c r="AH750" s="64"/>
      <c r="AI750" s="45"/>
      <c r="AJ750" s="105"/>
      <c r="AK750" s="105"/>
      <c r="AL750" s="60"/>
      <c r="AM750" s="60"/>
      <c r="AN750" s="60"/>
      <c r="AO750" s="60"/>
      <c r="AP750" s="60"/>
      <c r="AQ750" s="60"/>
      <c r="AR750" s="60"/>
      <c r="AS750" s="60"/>
      <c r="AT750" s="45"/>
      <c r="AU750" s="45"/>
      <c r="AW750" s="45"/>
      <c r="AX750" s="46">
        <f t="shared" si="34"/>
        <v>0</v>
      </c>
      <c r="AY750" s="46">
        <f t="shared" si="35"/>
        <v>0</v>
      </c>
      <c r="AZ750" s="46">
        <f t="shared" si="36"/>
        <v>0</v>
      </c>
    </row>
    <row r="751" spans="3:52" ht="20.100000000000001" customHeight="1">
      <c r="C751" s="102"/>
      <c r="D751" s="3"/>
      <c r="E751" s="68"/>
      <c r="F751" s="3"/>
      <c r="G751" s="3"/>
      <c r="H751" s="3"/>
      <c r="J751" s="3"/>
      <c r="K751" s="3"/>
      <c r="L751" s="4"/>
      <c r="M751" s="3"/>
      <c r="O751" s="58"/>
      <c r="Q751" s="64"/>
      <c r="R751" s="45"/>
      <c r="S751" s="45"/>
      <c r="U751" s="64"/>
      <c r="V751" s="45"/>
      <c r="W751" s="64"/>
      <c r="X751" s="64"/>
      <c r="Y751" s="45"/>
      <c r="Z751" s="45"/>
      <c r="AA751" s="105"/>
      <c r="AB751" s="105"/>
      <c r="AC751" s="105"/>
      <c r="AD751" s="64"/>
      <c r="AH751" s="64"/>
      <c r="AI751" s="45"/>
      <c r="AJ751" s="105"/>
      <c r="AK751" s="105"/>
      <c r="AL751" s="60"/>
      <c r="AM751" s="60"/>
      <c r="AN751" s="60"/>
      <c r="AO751" s="60"/>
      <c r="AP751" s="60"/>
      <c r="AQ751" s="60"/>
      <c r="AR751" s="60"/>
      <c r="AS751" s="60"/>
      <c r="AT751" s="45"/>
      <c r="AU751" s="45"/>
      <c r="AW751" s="45"/>
      <c r="AX751" s="46">
        <f t="shared" si="34"/>
        <v>0</v>
      </c>
      <c r="AY751" s="46">
        <f t="shared" si="35"/>
        <v>0</v>
      </c>
      <c r="AZ751" s="46">
        <f t="shared" si="36"/>
        <v>0</v>
      </c>
    </row>
    <row r="752" spans="3:52" ht="20.100000000000001" customHeight="1">
      <c r="C752" s="102"/>
      <c r="D752" s="3"/>
      <c r="E752" s="68"/>
      <c r="F752" s="3"/>
      <c r="G752" s="3"/>
      <c r="H752" s="3"/>
      <c r="J752" s="3"/>
      <c r="K752" s="3"/>
      <c r="L752" s="4"/>
      <c r="M752" s="3"/>
      <c r="O752" s="58"/>
      <c r="Q752" s="64"/>
      <c r="R752" s="45"/>
      <c r="S752" s="45"/>
      <c r="U752" s="64"/>
      <c r="V752" s="45"/>
      <c r="W752" s="64"/>
      <c r="X752" s="64"/>
      <c r="Y752" s="45"/>
      <c r="Z752" s="45"/>
      <c r="AA752" s="105"/>
      <c r="AB752" s="105"/>
      <c r="AC752" s="105"/>
      <c r="AD752" s="64"/>
      <c r="AG752" s="45"/>
      <c r="AH752" s="64"/>
      <c r="AI752" s="45"/>
      <c r="AJ752" s="105"/>
      <c r="AK752" s="105"/>
      <c r="AL752" s="60"/>
      <c r="AM752" s="60"/>
      <c r="AN752" s="60"/>
      <c r="AO752" s="60"/>
      <c r="AP752" s="60"/>
      <c r="AQ752" s="60"/>
      <c r="AR752" s="60"/>
      <c r="AS752" s="60"/>
      <c r="AT752" s="45"/>
      <c r="AU752" s="45"/>
      <c r="AW752" s="45"/>
      <c r="AX752" s="46">
        <f t="shared" si="34"/>
        <v>0</v>
      </c>
      <c r="AY752" s="46">
        <f t="shared" si="35"/>
        <v>0</v>
      </c>
      <c r="AZ752" s="46">
        <f t="shared" si="36"/>
        <v>0</v>
      </c>
    </row>
    <row r="753" spans="2:52" ht="20.100000000000001" customHeight="1">
      <c r="C753" s="102"/>
      <c r="D753" s="3"/>
      <c r="F753" s="3"/>
      <c r="G753" s="3"/>
      <c r="H753" s="3"/>
      <c r="J753" s="3"/>
      <c r="K753" s="3"/>
      <c r="L753" s="4"/>
      <c r="M753" s="3"/>
      <c r="O753" s="58"/>
      <c r="Q753" s="64"/>
      <c r="R753" s="45"/>
      <c r="S753" s="45"/>
      <c r="U753" s="64"/>
      <c r="V753" s="45"/>
      <c r="W753" s="64"/>
      <c r="X753" s="64"/>
      <c r="Y753" s="45"/>
      <c r="Z753" s="45"/>
      <c r="AA753" s="105"/>
      <c r="AB753" s="105"/>
      <c r="AC753" s="105"/>
      <c r="AD753" s="64"/>
      <c r="AG753" s="45"/>
      <c r="AH753" s="64"/>
      <c r="AI753" s="45"/>
      <c r="AJ753" s="105"/>
      <c r="AK753" s="105"/>
      <c r="AL753" s="60"/>
      <c r="AM753" s="60"/>
      <c r="AN753" s="60"/>
      <c r="AO753" s="60"/>
      <c r="AP753" s="60"/>
      <c r="AQ753" s="60"/>
      <c r="AR753" s="60"/>
      <c r="AS753" s="60"/>
      <c r="AT753" s="45"/>
      <c r="AU753" s="45"/>
      <c r="AW753" s="45"/>
      <c r="AX753" s="46">
        <f t="shared" si="34"/>
        <v>0</v>
      </c>
      <c r="AY753" s="46">
        <f t="shared" si="35"/>
        <v>0</v>
      </c>
      <c r="AZ753" s="46">
        <f t="shared" si="36"/>
        <v>0</v>
      </c>
    </row>
    <row r="754" spans="2:52" ht="20.100000000000001" customHeight="1">
      <c r="C754" s="102"/>
      <c r="D754" s="3"/>
      <c r="F754" s="3"/>
      <c r="G754" s="3"/>
      <c r="H754" s="3"/>
      <c r="J754" s="3"/>
      <c r="K754" s="3"/>
      <c r="L754" s="4"/>
      <c r="M754" s="3"/>
      <c r="O754" s="58"/>
      <c r="Q754" s="64"/>
      <c r="R754" s="45"/>
      <c r="S754" s="45"/>
      <c r="U754" s="64"/>
      <c r="V754" s="45"/>
      <c r="W754" s="64"/>
      <c r="X754" s="64"/>
      <c r="Y754" s="45"/>
      <c r="Z754" s="45"/>
      <c r="AA754" s="105"/>
      <c r="AB754" s="105"/>
      <c r="AC754" s="105"/>
      <c r="AD754" s="64"/>
      <c r="AG754" s="45"/>
      <c r="AH754" s="64"/>
      <c r="AI754" s="45"/>
      <c r="AJ754" s="105"/>
      <c r="AK754" s="105"/>
      <c r="AL754" s="60"/>
      <c r="AM754" s="60"/>
      <c r="AN754" s="60"/>
      <c r="AO754" s="60"/>
      <c r="AP754" s="60"/>
      <c r="AQ754" s="60"/>
      <c r="AR754" s="60"/>
      <c r="AS754" s="60"/>
      <c r="AT754" s="45"/>
      <c r="AU754" s="45"/>
      <c r="AW754" s="45"/>
      <c r="AX754" s="46">
        <f t="shared" si="34"/>
        <v>0</v>
      </c>
      <c r="AY754" s="46">
        <f t="shared" si="35"/>
        <v>0</v>
      </c>
      <c r="AZ754" s="46">
        <f t="shared" si="36"/>
        <v>0</v>
      </c>
    </row>
    <row r="755" spans="2:52" ht="20.100000000000001" customHeight="1">
      <c r="C755" s="102"/>
      <c r="D755" s="3"/>
      <c r="F755" s="3"/>
      <c r="G755" s="3"/>
      <c r="H755" s="3"/>
      <c r="J755" s="3"/>
      <c r="K755" s="3"/>
      <c r="L755" s="4"/>
      <c r="M755" s="3"/>
      <c r="O755" s="58"/>
      <c r="Q755" s="64"/>
      <c r="R755" s="45"/>
      <c r="S755" s="45"/>
      <c r="U755" s="64"/>
      <c r="V755" s="45"/>
      <c r="W755" s="64"/>
      <c r="X755" s="64"/>
      <c r="Y755" s="45"/>
      <c r="Z755" s="45"/>
      <c r="AA755" s="105"/>
      <c r="AB755" s="105"/>
      <c r="AC755" s="105"/>
      <c r="AD755" s="64"/>
      <c r="AG755" s="45"/>
      <c r="AH755" s="64"/>
      <c r="AI755" s="45"/>
      <c r="AJ755" s="105"/>
      <c r="AK755" s="105"/>
      <c r="AL755" s="60"/>
      <c r="AM755" s="60"/>
      <c r="AN755" s="60"/>
      <c r="AO755" s="60"/>
      <c r="AP755" s="60"/>
      <c r="AQ755" s="60"/>
      <c r="AR755" s="60"/>
      <c r="AS755" s="60"/>
      <c r="AT755" s="45"/>
      <c r="AU755" s="45"/>
      <c r="AW755" s="45"/>
      <c r="AX755" s="46">
        <f t="shared" si="34"/>
        <v>0</v>
      </c>
      <c r="AY755" s="46">
        <f t="shared" si="35"/>
        <v>0</v>
      </c>
      <c r="AZ755" s="46">
        <f t="shared" si="36"/>
        <v>0</v>
      </c>
    </row>
    <row r="756" spans="2:52" ht="20.100000000000001" customHeight="1">
      <c r="C756" s="102"/>
      <c r="D756" s="3"/>
      <c r="E756" s="68"/>
      <c r="F756" s="3"/>
      <c r="G756" s="3"/>
      <c r="H756" s="3"/>
      <c r="J756" s="3"/>
      <c r="K756" s="3"/>
      <c r="L756" s="4"/>
      <c r="M756" s="3"/>
      <c r="O756" s="58"/>
      <c r="Q756" s="64"/>
      <c r="R756" s="45"/>
      <c r="S756" s="45"/>
      <c r="U756" s="64"/>
      <c r="V756" s="45"/>
      <c r="W756" s="64"/>
      <c r="X756" s="64"/>
      <c r="Y756" s="45"/>
      <c r="Z756" s="45"/>
      <c r="AA756" s="105"/>
      <c r="AB756" s="105"/>
      <c r="AC756" s="105"/>
      <c r="AD756" s="64"/>
      <c r="AG756" s="45"/>
      <c r="AH756" s="64"/>
      <c r="AI756" s="45"/>
      <c r="AJ756" s="105"/>
      <c r="AK756" s="105"/>
      <c r="AL756" s="60"/>
      <c r="AM756" s="60"/>
      <c r="AN756" s="60"/>
      <c r="AO756" s="60"/>
      <c r="AP756" s="60"/>
      <c r="AQ756" s="60"/>
      <c r="AR756" s="60"/>
      <c r="AS756" s="60"/>
      <c r="AT756" s="45"/>
      <c r="AU756" s="45"/>
      <c r="AW756" s="45"/>
      <c r="AX756" s="46">
        <f t="shared" si="34"/>
        <v>0</v>
      </c>
      <c r="AY756" s="46">
        <f t="shared" si="35"/>
        <v>0</v>
      </c>
      <c r="AZ756" s="46">
        <f t="shared" si="36"/>
        <v>0</v>
      </c>
    </row>
    <row r="757" spans="2:52" ht="20.100000000000001" customHeight="1">
      <c r="C757" s="102"/>
      <c r="D757" s="3"/>
      <c r="F757" s="3"/>
      <c r="G757" s="3"/>
      <c r="H757" s="3"/>
      <c r="J757" s="3"/>
      <c r="K757" s="3"/>
      <c r="L757" s="4"/>
      <c r="M757" s="3"/>
      <c r="O757" s="58"/>
      <c r="Q757" s="64"/>
      <c r="R757" s="45"/>
      <c r="S757" s="45"/>
      <c r="U757" s="64"/>
      <c r="V757" s="45"/>
      <c r="W757" s="64"/>
      <c r="X757" s="64"/>
      <c r="Y757" s="45"/>
      <c r="Z757" s="45"/>
      <c r="AA757" s="105"/>
      <c r="AB757" s="105"/>
      <c r="AC757" s="105"/>
      <c r="AD757" s="64"/>
      <c r="AG757" s="45"/>
      <c r="AH757" s="64"/>
      <c r="AI757" s="45"/>
      <c r="AJ757" s="105"/>
      <c r="AK757" s="105"/>
      <c r="AL757" s="60"/>
      <c r="AM757" s="60"/>
      <c r="AN757" s="60"/>
      <c r="AO757" s="60"/>
      <c r="AP757" s="60"/>
      <c r="AQ757" s="60"/>
      <c r="AR757" s="60"/>
      <c r="AS757" s="60"/>
      <c r="AT757" s="45"/>
      <c r="AU757" s="45"/>
      <c r="AW757" s="45"/>
      <c r="AX757" s="46">
        <f t="shared" si="34"/>
        <v>0</v>
      </c>
      <c r="AY757" s="46">
        <f t="shared" si="35"/>
        <v>0</v>
      </c>
      <c r="AZ757" s="46">
        <f t="shared" si="36"/>
        <v>0</v>
      </c>
    </row>
    <row r="758" spans="2:52" ht="20.100000000000001" customHeight="1">
      <c r="C758" s="102"/>
      <c r="D758" s="3"/>
      <c r="F758" s="3"/>
      <c r="G758" s="3"/>
      <c r="H758" s="3"/>
      <c r="J758" s="3"/>
      <c r="K758" s="3"/>
      <c r="L758" s="4"/>
      <c r="M758" s="3"/>
      <c r="O758" s="58"/>
      <c r="Q758" s="64"/>
      <c r="R758" s="45"/>
      <c r="S758" s="45"/>
      <c r="U758" s="64"/>
      <c r="V758" s="45"/>
      <c r="W758" s="64"/>
      <c r="X758" s="64"/>
      <c r="Y758" s="45"/>
      <c r="Z758" s="45"/>
      <c r="AA758" s="105"/>
      <c r="AB758" s="105"/>
      <c r="AC758" s="105"/>
      <c r="AD758" s="64"/>
      <c r="AG758" s="45"/>
      <c r="AH758" s="64"/>
      <c r="AI758" s="45"/>
      <c r="AJ758" s="105"/>
      <c r="AK758" s="105"/>
      <c r="AL758" s="60"/>
      <c r="AM758" s="60"/>
      <c r="AN758" s="60"/>
      <c r="AO758" s="60"/>
      <c r="AP758" s="60"/>
      <c r="AQ758" s="60"/>
      <c r="AR758" s="60"/>
      <c r="AS758" s="60"/>
      <c r="AT758" s="45"/>
      <c r="AU758" s="45"/>
      <c r="AW758" s="45"/>
      <c r="AX758" s="46">
        <f t="shared" si="34"/>
        <v>0</v>
      </c>
      <c r="AY758" s="46">
        <f t="shared" si="35"/>
        <v>0</v>
      </c>
      <c r="AZ758" s="46">
        <f t="shared" si="36"/>
        <v>0</v>
      </c>
    </row>
    <row r="759" spans="2:52" ht="20.100000000000001" customHeight="1">
      <c r="C759" s="102"/>
      <c r="D759" s="3"/>
      <c r="F759" s="3"/>
      <c r="G759" s="3"/>
      <c r="H759" s="3"/>
      <c r="J759" s="3"/>
      <c r="K759" s="3"/>
      <c r="L759" s="4"/>
      <c r="M759" s="3"/>
      <c r="O759" s="58"/>
      <c r="Q759" s="64"/>
      <c r="R759" s="45"/>
      <c r="S759" s="45"/>
      <c r="U759" s="64"/>
      <c r="V759" s="45"/>
      <c r="W759" s="64"/>
      <c r="X759" s="64"/>
      <c r="Y759" s="45"/>
      <c r="Z759" s="45"/>
      <c r="AA759" s="105"/>
      <c r="AB759" s="105"/>
      <c r="AC759" s="105"/>
      <c r="AD759" s="64"/>
      <c r="AH759" s="64"/>
      <c r="AI759" s="45"/>
      <c r="AJ759" s="105"/>
      <c r="AK759" s="105"/>
      <c r="AL759" s="60"/>
      <c r="AM759" s="60"/>
      <c r="AN759" s="60"/>
      <c r="AO759" s="60"/>
      <c r="AP759" s="60"/>
      <c r="AQ759" s="60"/>
      <c r="AR759" s="60"/>
      <c r="AS759" s="60"/>
      <c r="AT759" s="45"/>
      <c r="AU759" s="45"/>
      <c r="AW759" s="45"/>
      <c r="AX759" s="46">
        <f t="shared" si="34"/>
        <v>0</v>
      </c>
      <c r="AY759" s="46">
        <f t="shared" si="35"/>
        <v>0</v>
      </c>
      <c r="AZ759" s="46">
        <f t="shared" si="36"/>
        <v>0</v>
      </c>
    </row>
    <row r="760" spans="2:52" ht="20.100000000000001" customHeight="1">
      <c r="C760" s="102"/>
      <c r="D760" s="3"/>
      <c r="F760" s="3"/>
      <c r="G760" s="3"/>
      <c r="H760" s="3"/>
      <c r="J760" s="3"/>
      <c r="K760" s="3"/>
      <c r="L760" s="4"/>
      <c r="M760" s="3"/>
      <c r="O760" s="58"/>
      <c r="Q760" s="64"/>
      <c r="R760" s="45"/>
      <c r="S760" s="45"/>
      <c r="U760" s="64"/>
      <c r="V760" s="45"/>
      <c r="W760" s="64"/>
      <c r="X760" s="64"/>
      <c r="Y760" s="45"/>
      <c r="Z760" s="45"/>
      <c r="AA760" s="105"/>
      <c r="AB760" s="105"/>
      <c r="AC760" s="105"/>
      <c r="AD760" s="64"/>
      <c r="AG760" s="45"/>
      <c r="AH760" s="64"/>
      <c r="AI760" s="45"/>
      <c r="AJ760" s="105"/>
      <c r="AK760" s="105"/>
      <c r="AL760" s="60"/>
      <c r="AM760" s="60"/>
      <c r="AN760" s="60"/>
      <c r="AO760" s="60"/>
      <c r="AP760" s="60"/>
      <c r="AQ760" s="60"/>
      <c r="AR760" s="60"/>
      <c r="AS760" s="60"/>
      <c r="AT760" s="45"/>
      <c r="AU760" s="45"/>
      <c r="AW760" s="45"/>
      <c r="AX760" s="46">
        <f t="shared" si="34"/>
        <v>0</v>
      </c>
      <c r="AY760" s="46">
        <f t="shared" si="35"/>
        <v>0</v>
      </c>
      <c r="AZ760" s="46">
        <f t="shared" si="36"/>
        <v>0</v>
      </c>
    </row>
    <row r="761" spans="2:52" ht="20.100000000000001" customHeight="1">
      <c r="C761" s="102"/>
      <c r="D761" s="3"/>
      <c r="F761" s="3"/>
      <c r="G761" s="3"/>
      <c r="H761" s="3"/>
      <c r="J761" s="3"/>
      <c r="K761" s="3"/>
      <c r="L761" s="4"/>
      <c r="M761" s="3"/>
      <c r="O761" s="58"/>
      <c r="Q761" s="64"/>
      <c r="R761" s="45"/>
      <c r="U761" s="64"/>
      <c r="V761" s="45"/>
      <c r="W761" s="64"/>
      <c r="X761" s="64"/>
      <c r="Y761" s="45"/>
      <c r="Z761" s="45"/>
      <c r="AA761" s="105"/>
      <c r="AB761" s="105"/>
      <c r="AC761" s="105"/>
      <c r="AD761" s="64"/>
      <c r="AG761" s="45"/>
      <c r="AH761" s="64"/>
      <c r="AI761" s="45"/>
      <c r="AJ761" s="105"/>
      <c r="AK761" s="105"/>
      <c r="AL761" s="60"/>
      <c r="AM761" s="60"/>
      <c r="AN761" s="60"/>
      <c r="AO761" s="60"/>
      <c r="AP761" s="60"/>
      <c r="AQ761" s="60"/>
      <c r="AR761" s="60"/>
      <c r="AS761" s="60"/>
      <c r="AT761" s="45"/>
      <c r="AU761" s="45"/>
      <c r="AW761" s="45"/>
      <c r="AX761" s="46">
        <f t="shared" si="34"/>
        <v>0</v>
      </c>
      <c r="AY761" s="46">
        <f t="shared" si="35"/>
        <v>0</v>
      </c>
      <c r="AZ761" s="46">
        <f t="shared" si="36"/>
        <v>0</v>
      </c>
    </row>
    <row r="762" spans="2:52" ht="20.100000000000001" customHeight="1">
      <c r="C762" s="102"/>
      <c r="D762" s="3"/>
      <c r="E762" s="68"/>
      <c r="F762" s="3"/>
      <c r="G762" s="3"/>
      <c r="H762" s="3"/>
      <c r="J762" s="3"/>
      <c r="K762" s="3"/>
      <c r="L762" s="4"/>
      <c r="M762" s="3"/>
      <c r="O762" s="58"/>
      <c r="Q762" s="64"/>
      <c r="R762" s="45"/>
      <c r="S762" s="45"/>
      <c r="U762" s="64"/>
      <c r="V762" s="45"/>
      <c r="W762" s="64"/>
      <c r="X762" s="64"/>
      <c r="Y762" s="45"/>
      <c r="Z762" s="45"/>
      <c r="AA762" s="105"/>
      <c r="AB762" s="105"/>
      <c r="AC762" s="105"/>
      <c r="AD762" s="64"/>
      <c r="AG762" s="45"/>
      <c r="AH762" s="64"/>
      <c r="AI762" s="45"/>
      <c r="AJ762" s="105"/>
      <c r="AK762" s="105"/>
      <c r="AL762" s="60"/>
      <c r="AM762" s="60"/>
      <c r="AN762" s="60"/>
      <c r="AO762" s="60"/>
      <c r="AP762" s="60"/>
      <c r="AQ762" s="60"/>
      <c r="AR762" s="60"/>
      <c r="AS762" s="60"/>
      <c r="AT762" s="45"/>
      <c r="AU762" s="45"/>
      <c r="AW762" s="45"/>
      <c r="AX762" s="46">
        <f t="shared" si="34"/>
        <v>0</v>
      </c>
      <c r="AY762" s="46">
        <f t="shared" si="35"/>
        <v>0</v>
      </c>
      <c r="AZ762" s="46">
        <f t="shared" si="36"/>
        <v>0</v>
      </c>
    </row>
    <row r="763" spans="2:52" ht="20.100000000000001" customHeight="1">
      <c r="C763" s="102"/>
      <c r="D763" s="3"/>
      <c r="F763" s="3"/>
      <c r="G763" s="3"/>
      <c r="H763" s="3"/>
      <c r="J763" s="3"/>
      <c r="K763" s="3"/>
      <c r="L763" s="4"/>
      <c r="M763" s="3"/>
      <c r="O763" s="58"/>
      <c r="Q763" s="64"/>
      <c r="R763" s="45"/>
      <c r="S763" s="45"/>
      <c r="U763" s="64"/>
      <c r="V763" s="45"/>
      <c r="W763" s="64"/>
      <c r="X763" s="64"/>
      <c r="Y763" s="45"/>
      <c r="Z763" s="45"/>
      <c r="AA763" s="105"/>
      <c r="AB763" s="105"/>
      <c r="AC763" s="105"/>
      <c r="AD763" s="64"/>
      <c r="AG763" s="45"/>
      <c r="AH763" s="64"/>
      <c r="AI763" s="45"/>
      <c r="AJ763" s="105"/>
      <c r="AK763" s="105"/>
      <c r="AL763" s="60"/>
      <c r="AM763" s="60"/>
      <c r="AN763" s="60"/>
      <c r="AO763" s="60"/>
      <c r="AP763" s="60"/>
      <c r="AQ763" s="60"/>
      <c r="AR763" s="60"/>
      <c r="AS763" s="60"/>
      <c r="AT763" s="45"/>
      <c r="AU763" s="45"/>
      <c r="AW763" s="45"/>
      <c r="AX763" s="46">
        <f t="shared" si="34"/>
        <v>0</v>
      </c>
      <c r="AY763" s="46">
        <f t="shared" si="35"/>
        <v>0</v>
      </c>
      <c r="AZ763" s="46">
        <f t="shared" si="36"/>
        <v>0</v>
      </c>
    </row>
    <row r="764" spans="2:52" ht="20.100000000000001" customHeight="1">
      <c r="B764" s="61"/>
      <c r="C764" s="103"/>
      <c r="D764" s="3"/>
      <c r="E764" s="68"/>
      <c r="F764" s="3"/>
      <c r="G764" s="3"/>
      <c r="H764" s="3"/>
      <c r="J764" s="3"/>
      <c r="K764" s="3"/>
      <c r="L764" s="4"/>
      <c r="M764" s="3"/>
      <c r="O764" s="58"/>
      <c r="Q764" s="64"/>
      <c r="R764" s="45"/>
      <c r="S764" s="45"/>
      <c r="U764" s="64"/>
      <c r="V764" s="45"/>
      <c r="W764" s="64"/>
      <c r="X764" s="64"/>
      <c r="Y764" s="45"/>
      <c r="Z764" s="45"/>
      <c r="AA764" s="105"/>
      <c r="AB764" s="105"/>
      <c r="AC764" s="105"/>
      <c r="AD764" s="64"/>
      <c r="AE764" s="62"/>
      <c r="AG764" s="45"/>
      <c r="AH764" s="64"/>
      <c r="AI764" s="45"/>
      <c r="AJ764" s="105"/>
      <c r="AK764" s="105"/>
      <c r="AL764" s="60"/>
      <c r="AM764" s="60"/>
      <c r="AN764" s="60"/>
      <c r="AO764" s="60"/>
      <c r="AP764" s="60"/>
      <c r="AQ764" s="60"/>
      <c r="AR764" s="60"/>
      <c r="AS764" s="60"/>
      <c r="AT764" s="45"/>
      <c r="AU764" s="45"/>
      <c r="AW764" s="45"/>
      <c r="AX764" s="46">
        <f t="shared" si="34"/>
        <v>0</v>
      </c>
      <c r="AY764" s="46">
        <f t="shared" si="35"/>
        <v>0</v>
      </c>
      <c r="AZ764" s="46">
        <f t="shared" si="36"/>
        <v>0</v>
      </c>
    </row>
    <row r="765" spans="2:52" ht="20.100000000000001" customHeight="1">
      <c r="C765" s="102"/>
      <c r="D765" s="3"/>
      <c r="E765" s="68"/>
      <c r="F765" s="3"/>
      <c r="G765" s="3"/>
      <c r="H765" s="3"/>
      <c r="J765" s="3"/>
      <c r="K765" s="3"/>
      <c r="L765" s="4"/>
      <c r="M765" s="3"/>
      <c r="O765" s="58"/>
      <c r="Q765" s="64"/>
      <c r="R765" s="45"/>
      <c r="S765" s="45"/>
      <c r="U765" s="64"/>
      <c r="V765" s="45"/>
      <c r="W765" s="64"/>
      <c r="X765" s="64"/>
      <c r="Y765" s="45"/>
      <c r="Z765" s="45"/>
      <c r="AA765" s="105"/>
      <c r="AB765" s="105"/>
      <c r="AC765" s="105"/>
      <c r="AD765" s="64"/>
      <c r="AG765" s="45"/>
      <c r="AH765" s="64"/>
      <c r="AI765" s="45"/>
      <c r="AJ765" s="105"/>
      <c r="AK765" s="105"/>
      <c r="AL765" s="60"/>
      <c r="AM765" s="60"/>
      <c r="AN765" s="60"/>
      <c r="AO765" s="60"/>
      <c r="AP765" s="60"/>
      <c r="AQ765" s="60"/>
      <c r="AR765" s="60"/>
      <c r="AS765" s="60"/>
      <c r="AT765" s="45"/>
      <c r="AU765" s="45"/>
      <c r="AW765" s="45"/>
      <c r="AX765" s="46">
        <f t="shared" si="34"/>
        <v>0</v>
      </c>
      <c r="AY765" s="46">
        <f t="shared" si="35"/>
        <v>0</v>
      </c>
      <c r="AZ765" s="46">
        <f t="shared" si="36"/>
        <v>0</v>
      </c>
    </row>
    <row r="766" spans="2:52" ht="20.100000000000001" customHeight="1">
      <c r="C766" s="102"/>
      <c r="D766" s="3"/>
      <c r="F766" s="3"/>
      <c r="G766" s="3"/>
      <c r="H766" s="3"/>
      <c r="J766" s="3"/>
      <c r="K766" s="3"/>
      <c r="L766" s="4"/>
      <c r="M766" s="3"/>
      <c r="O766" s="58"/>
      <c r="Q766" s="64"/>
      <c r="R766" s="45"/>
      <c r="S766" s="45"/>
      <c r="U766" s="64"/>
      <c r="V766" s="45"/>
      <c r="W766" s="64"/>
      <c r="X766" s="64"/>
      <c r="Y766" s="45"/>
      <c r="Z766" s="45"/>
      <c r="AA766" s="105"/>
      <c r="AB766" s="105"/>
      <c r="AC766" s="105"/>
      <c r="AD766" s="64"/>
      <c r="AH766" s="64"/>
      <c r="AI766" s="45"/>
      <c r="AJ766" s="105"/>
      <c r="AK766" s="105"/>
      <c r="AL766" s="60"/>
      <c r="AM766" s="60"/>
      <c r="AN766" s="60"/>
      <c r="AO766" s="60"/>
      <c r="AP766" s="60"/>
      <c r="AQ766" s="60"/>
      <c r="AR766" s="60"/>
      <c r="AS766" s="60"/>
      <c r="AT766" s="45"/>
      <c r="AU766" s="45"/>
      <c r="AW766" s="45"/>
      <c r="AX766" s="46">
        <f t="shared" si="34"/>
        <v>0</v>
      </c>
      <c r="AY766" s="46">
        <f t="shared" si="35"/>
        <v>0</v>
      </c>
      <c r="AZ766" s="46">
        <f t="shared" si="36"/>
        <v>0</v>
      </c>
    </row>
    <row r="767" spans="2:52" ht="20.100000000000001" customHeight="1">
      <c r="C767" s="102"/>
      <c r="D767" s="3"/>
      <c r="F767" s="3"/>
      <c r="G767" s="3"/>
      <c r="H767" s="3"/>
      <c r="J767" s="3"/>
      <c r="K767" s="3"/>
      <c r="L767" s="4"/>
      <c r="M767" s="3"/>
      <c r="O767" s="58"/>
      <c r="Q767" s="64"/>
      <c r="R767" s="45"/>
      <c r="S767" s="45"/>
      <c r="U767" s="64"/>
      <c r="V767" s="45"/>
      <c r="W767" s="64"/>
      <c r="X767" s="64"/>
      <c r="Y767" s="45"/>
      <c r="Z767" s="45"/>
      <c r="AA767" s="105"/>
      <c r="AB767" s="105"/>
      <c r="AC767" s="105"/>
      <c r="AD767" s="64"/>
      <c r="AH767" s="64"/>
      <c r="AI767" s="45"/>
      <c r="AJ767" s="105"/>
      <c r="AK767" s="105"/>
      <c r="AL767" s="60"/>
      <c r="AM767" s="60"/>
      <c r="AN767" s="60"/>
      <c r="AO767" s="60"/>
      <c r="AP767" s="60"/>
      <c r="AQ767" s="60"/>
      <c r="AR767" s="60"/>
      <c r="AS767" s="60"/>
      <c r="AT767" s="45"/>
      <c r="AU767" s="45"/>
      <c r="AW767" s="45"/>
      <c r="AX767" s="46">
        <f t="shared" si="34"/>
        <v>0</v>
      </c>
      <c r="AY767" s="46">
        <f t="shared" si="35"/>
        <v>0</v>
      </c>
      <c r="AZ767" s="46">
        <f t="shared" si="36"/>
        <v>0</v>
      </c>
    </row>
    <row r="768" spans="2:52" ht="20.100000000000001" customHeight="1">
      <c r="C768" s="102"/>
      <c r="D768" s="3"/>
      <c r="E768" s="68"/>
      <c r="F768" s="3"/>
      <c r="G768" s="3"/>
      <c r="H768" s="3"/>
      <c r="J768" s="3"/>
      <c r="K768" s="3"/>
      <c r="L768" s="4"/>
      <c r="M768" s="3"/>
      <c r="O768" s="58"/>
      <c r="Q768" s="64"/>
      <c r="R768" s="45"/>
      <c r="S768" s="45"/>
      <c r="U768" s="64"/>
      <c r="V768" s="45"/>
      <c r="W768" s="64"/>
      <c r="X768" s="64"/>
      <c r="Y768" s="45"/>
      <c r="Z768" s="45"/>
      <c r="AA768" s="105"/>
      <c r="AB768" s="105"/>
      <c r="AC768" s="105"/>
      <c r="AD768" s="64"/>
      <c r="AG768" s="45"/>
      <c r="AH768" s="64"/>
      <c r="AI768" s="45"/>
      <c r="AJ768" s="105"/>
      <c r="AK768" s="105"/>
      <c r="AL768" s="60"/>
      <c r="AM768" s="60"/>
      <c r="AN768" s="60"/>
      <c r="AO768" s="60"/>
      <c r="AP768" s="60"/>
      <c r="AQ768" s="60"/>
      <c r="AR768" s="60"/>
      <c r="AS768" s="60"/>
      <c r="AT768" s="45"/>
      <c r="AU768" s="45"/>
      <c r="AW768" s="45"/>
      <c r="AX768" s="46">
        <f t="shared" si="34"/>
        <v>0</v>
      </c>
      <c r="AY768" s="46">
        <f t="shared" si="35"/>
        <v>0</v>
      </c>
      <c r="AZ768" s="46">
        <f t="shared" si="36"/>
        <v>0</v>
      </c>
    </row>
    <row r="769" spans="3:52" ht="20.100000000000001" customHeight="1">
      <c r="C769" s="102"/>
      <c r="D769" s="3"/>
      <c r="E769" s="68"/>
      <c r="F769" s="3"/>
      <c r="G769" s="3"/>
      <c r="H769" s="3"/>
      <c r="J769" s="3"/>
      <c r="K769" s="3"/>
      <c r="L769" s="4"/>
      <c r="M769" s="3"/>
      <c r="O769" s="58"/>
      <c r="Q769" s="64"/>
      <c r="R769" s="45"/>
      <c r="S769" s="45"/>
      <c r="U769" s="64"/>
      <c r="V769" s="45"/>
      <c r="W769" s="64"/>
      <c r="X769" s="64"/>
      <c r="Y769" s="45"/>
      <c r="Z769" s="45"/>
      <c r="AA769" s="105"/>
      <c r="AB769" s="105"/>
      <c r="AC769" s="105"/>
      <c r="AD769" s="64"/>
      <c r="AG769" s="45"/>
      <c r="AH769" s="64"/>
      <c r="AI769" s="45"/>
      <c r="AJ769" s="105"/>
      <c r="AK769" s="105"/>
      <c r="AL769" s="60"/>
      <c r="AM769" s="60"/>
      <c r="AN769" s="60"/>
      <c r="AO769" s="60"/>
      <c r="AP769" s="60"/>
      <c r="AQ769" s="60"/>
      <c r="AR769" s="60"/>
      <c r="AS769" s="60"/>
      <c r="AT769" s="45"/>
      <c r="AU769" s="45"/>
      <c r="AW769" s="45"/>
      <c r="AX769" s="46">
        <f t="shared" si="34"/>
        <v>0</v>
      </c>
      <c r="AY769" s="46">
        <f t="shared" si="35"/>
        <v>0</v>
      </c>
      <c r="AZ769" s="46">
        <f t="shared" si="36"/>
        <v>0</v>
      </c>
    </row>
    <row r="770" spans="3:52" ht="20.100000000000001" customHeight="1">
      <c r="C770" s="102"/>
      <c r="D770" s="3"/>
      <c r="F770" s="3"/>
      <c r="G770" s="3"/>
      <c r="H770" s="3"/>
      <c r="J770" s="3"/>
      <c r="K770" s="3"/>
      <c r="L770" s="4"/>
      <c r="M770" s="3"/>
      <c r="O770" s="58"/>
      <c r="Q770" s="64"/>
      <c r="R770" s="45"/>
      <c r="S770" s="45"/>
      <c r="U770" s="64"/>
      <c r="V770" s="45"/>
      <c r="W770" s="64"/>
      <c r="X770" s="64"/>
      <c r="Y770" s="45"/>
      <c r="Z770" s="45"/>
      <c r="AA770" s="105"/>
      <c r="AB770" s="105"/>
      <c r="AC770" s="105"/>
      <c r="AD770" s="64"/>
      <c r="AG770" s="45"/>
      <c r="AH770" s="64"/>
      <c r="AI770" s="45"/>
      <c r="AJ770" s="105"/>
      <c r="AK770" s="105"/>
      <c r="AL770" s="60"/>
      <c r="AM770" s="60"/>
      <c r="AN770" s="60"/>
      <c r="AO770" s="60"/>
      <c r="AP770" s="60"/>
      <c r="AQ770" s="60"/>
      <c r="AR770" s="60"/>
      <c r="AS770" s="60"/>
      <c r="AT770" s="45"/>
      <c r="AU770" s="45"/>
      <c r="AW770" s="45"/>
      <c r="AX770" s="46">
        <f t="shared" si="34"/>
        <v>0</v>
      </c>
      <c r="AY770" s="46">
        <f t="shared" si="35"/>
        <v>0</v>
      </c>
      <c r="AZ770" s="46">
        <f t="shared" si="36"/>
        <v>0</v>
      </c>
    </row>
    <row r="771" spans="3:52" ht="20.100000000000001" customHeight="1">
      <c r="C771" s="102"/>
      <c r="D771" s="3"/>
      <c r="E771" s="68"/>
      <c r="F771" s="3"/>
      <c r="G771" s="3"/>
      <c r="H771" s="3"/>
      <c r="J771" s="3"/>
      <c r="K771" s="3"/>
      <c r="L771" s="4"/>
      <c r="M771" s="3"/>
      <c r="O771" s="58"/>
      <c r="Q771" s="64"/>
      <c r="R771" s="45"/>
      <c r="S771" s="45"/>
      <c r="U771" s="64"/>
      <c r="V771" s="45"/>
      <c r="W771" s="64"/>
      <c r="X771" s="64"/>
      <c r="Y771" s="45"/>
      <c r="Z771" s="45"/>
      <c r="AA771" s="105"/>
      <c r="AB771" s="105"/>
      <c r="AC771" s="105"/>
      <c r="AD771" s="64"/>
      <c r="AG771" s="45"/>
      <c r="AH771" s="64"/>
      <c r="AI771" s="45"/>
      <c r="AJ771" s="105"/>
      <c r="AK771" s="105"/>
      <c r="AL771" s="60"/>
      <c r="AM771" s="60"/>
      <c r="AN771" s="60"/>
      <c r="AO771" s="60"/>
      <c r="AP771" s="60"/>
      <c r="AQ771" s="60"/>
      <c r="AR771" s="60"/>
      <c r="AS771" s="60"/>
      <c r="AT771" s="45"/>
      <c r="AU771" s="45"/>
      <c r="AW771" s="45"/>
      <c r="AX771" s="46">
        <f t="shared" si="34"/>
        <v>0</v>
      </c>
      <c r="AY771" s="46">
        <f t="shared" si="35"/>
        <v>0</v>
      </c>
      <c r="AZ771" s="46">
        <f t="shared" si="36"/>
        <v>0</v>
      </c>
    </row>
    <row r="772" spans="3:52" ht="20.100000000000001" customHeight="1">
      <c r="C772" s="102"/>
      <c r="D772" s="3"/>
      <c r="F772" s="3"/>
      <c r="G772" s="3"/>
      <c r="H772" s="3"/>
      <c r="J772" s="3"/>
      <c r="K772" s="3"/>
      <c r="L772" s="4"/>
      <c r="M772" s="3"/>
      <c r="O772" s="58"/>
      <c r="Q772" s="64"/>
      <c r="R772" s="45"/>
      <c r="S772" s="45"/>
      <c r="U772" s="64"/>
      <c r="V772" s="45"/>
      <c r="W772" s="64"/>
      <c r="X772" s="64"/>
      <c r="Y772" s="45"/>
      <c r="Z772" s="45"/>
      <c r="AA772" s="105"/>
      <c r="AB772" s="105"/>
      <c r="AC772" s="105"/>
      <c r="AD772" s="64"/>
      <c r="AH772" s="64"/>
      <c r="AI772" s="45"/>
      <c r="AJ772" s="105"/>
      <c r="AK772" s="105"/>
      <c r="AL772" s="60"/>
      <c r="AM772" s="60"/>
      <c r="AN772" s="60"/>
      <c r="AO772" s="60"/>
      <c r="AP772" s="60"/>
      <c r="AQ772" s="60"/>
      <c r="AR772" s="60"/>
      <c r="AS772" s="60"/>
      <c r="AT772" s="45"/>
      <c r="AU772" s="45"/>
      <c r="AW772" s="45"/>
      <c r="AX772" s="46">
        <f t="shared" si="34"/>
        <v>0</v>
      </c>
      <c r="AY772" s="46">
        <f t="shared" si="35"/>
        <v>0</v>
      </c>
      <c r="AZ772" s="46">
        <f t="shared" si="36"/>
        <v>0</v>
      </c>
    </row>
    <row r="773" spans="3:52" ht="20.100000000000001" customHeight="1">
      <c r="C773" s="102"/>
      <c r="D773" s="3"/>
      <c r="E773" s="68"/>
      <c r="F773" s="3"/>
      <c r="G773" s="3"/>
      <c r="H773" s="3"/>
      <c r="J773" s="3"/>
      <c r="K773" s="3"/>
      <c r="L773" s="4"/>
      <c r="M773" s="3"/>
      <c r="O773" s="58"/>
      <c r="Q773" s="64"/>
      <c r="R773" s="45"/>
      <c r="S773" s="45"/>
      <c r="U773" s="64"/>
      <c r="V773" s="45"/>
      <c r="W773" s="64"/>
      <c r="X773" s="64"/>
      <c r="Y773" s="45"/>
      <c r="Z773" s="45"/>
      <c r="AA773" s="105"/>
      <c r="AB773" s="105"/>
      <c r="AC773" s="105"/>
      <c r="AD773" s="64"/>
      <c r="AH773" s="64"/>
      <c r="AI773" s="45"/>
      <c r="AJ773" s="105"/>
      <c r="AK773" s="105"/>
      <c r="AL773" s="60"/>
      <c r="AM773" s="60"/>
      <c r="AN773" s="60"/>
      <c r="AO773" s="60"/>
      <c r="AP773" s="60"/>
      <c r="AQ773" s="60"/>
      <c r="AR773" s="60"/>
      <c r="AS773" s="60"/>
      <c r="AT773" s="45"/>
      <c r="AU773" s="45"/>
      <c r="AW773" s="45"/>
      <c r="AX773" s="46">
        <f t="shared" si="34"/>
        <v>0</v>
      </c>
      <c r="AY773" s="46">
        <f t="shared" si="35"/>
        <v>0</v>
      </c>
      <c r="AZ773" s="46">
        <f t="shared" si="36"/>
        <v>0</v>
      </c>
    </row>
    <row r="774" spans="3:52" ht="20.100000000000001" customHeight="1">
      <c r="C774" s="102"/>
      <c r="D774" s="3"/>
      <c r="E774" s="68"/>
      <c r="F774" s="3"/>
      <c r="G774" s="3"/>
      <c r="H774" s="3"/>
      <c r="J774" s="3"/>
      <c r="K774" s="3"/>
      <c r="L774" s="4"/>
      <c r="M774" s="3"/>
      <c r="O774" s="58"/>
      <c r="Q774" s="64"/>
      <c r="R774" s="45"/>
      <c r="S774" s="45"/>
      <c r="U774" s="64"/>
      <c r="V774" s="45"/>
      <c r="W774" s="64"/>
      <c r="X774" s="64"/>
      <c r="Y774" s="45"/>
      <c r="Z774" s="45"/>
      <c r="AA774" s="105"/>
      <c r="AB774" s="105"/>
      <c r="AC774" s="105"/>
      <c r="AD774" s="64"/>
      <c r="AG774" s="45"/>
      <c r="AH774" s="64"/>
      <c r="AI774" s="45"/>
      <c r="AJ774" s="105"/>
      <c r="AK774" s="105"/>
      <c r="AL774" s="60"/>
      <c r="AM774" s="60"/>
      <c r="AN774" s="60"/>
      <c r="AO774" s="60"/>
      <c r="AP774" s="60"/>
      <c r="AQ774" s="60"/>
      <c r="AR774" s="60"/>
      <c r="AS774" s="60"/>
      <c r="AT774" s="45"/>
      <c r="AU774" s="45"/>
      <c r="AW774" s="45"/>
      <c r="AX774" s="46">
        <f t="shared" si="34"/>
        <v>0</v>
      </c>
      <c r="AY774" s="46">
        <f t="shared" si="35"/>
        <v>0</v>
      </c>
      <c r="AZ774" s="46">
        <f t="shared" si="36"/>
        <v>0</v>
      </c>
    </row>
    <row r="775" spans="3:52" ht="20.100000000000001" customHeight="1">
      <c r="C775" s="102"/>
      <c r="D775" s="3"/>
      <c r="E775" s="68"/>
      <c r="F775" s="3"/>
      <c r="G775" s="3"/>
      <c r="H775" s="3"/>
      <c r="J775" s="3"/>
      <c r="K775" s="3"/>
      <c r="L775" s="4"/>
      <c r="M775" s="3"/>
      <c r="O775" s="58"/>
      <c r="Q775" s="64"/>
      <c r="R775" s="45"/>
      <c r="S775" s="45"/>
      <c r="U775" s="64"/>
      <c r="V775" s="45"/>
      <c r="W775" s="64"/>
      <c r="X775" s="64"/>
      <c r="Y775" s="45"/>
      <c r="Z775" s="45"/>
      <c r="AA775" s="105"/>
      <c r="AB775" s="105"/>
      <c r="AC775" s="105"/>
      <c r="AD775" s="64"/>
      <c r="AG775" s="45"/>
      <c r="AH775" s="64"/>
      <c r="AI775" s="45"/>
      <c r="AJ775" s="105"/>
      <c r="AK775" s="105"/>
      <c r="AL775" s="60"/>
      <c r="AM775" s="60"/>
      <c r="AN775" s="60"/>
      <c r="AO775" s="60"/>
      <c r="AP775" s="60"/>
      <c r="AQ775" s="60"/>
      <c r="AR775" s="60"/>
      <c r="AS775" s="60"/>
      <c r="AT775" s="45"/>
      <c r="AU775" s="45"/>
      <c r="AW775" s="45"/>
      <c r="AX775" s="46">
        <f t="shared" si="34"/>
        <v>0</v>
      </c>
      <c r="AY775" s="46">
        <f t="shared" si="35"/>
        <v>0</v>
      </c>
      <c r="AZ775" s="46">
        <f t="shared" si="36"/>
        <v>0</v>
      </c>
    </row>
    <row r="776" spans="3:52" ht="20.100000000000001" customHeight="1">
      <c r="C776" s="102"/>
      <c r="D776" s="3"/>
      <c r="E776" s="68"/>
      <c r="F776" s="3"/>
      <c r="G776" s="3"/>
      <c r="H776" s="3"/>
      <c r="J776" s="3"/>
      <c r="K776" s="3"/>
      <c r="L776" s="4"/>
      <c r="M776" s="3"/>
      <c r="O776" s="58"/>
      <c r="Q776" s="64"/>
      <c r="R776" s="45"/>
      <c r="S776" s="45"/>
      <c r="U776" s="64"/>
      <c r="V776" s="45"/>
      <c r="W776" s="64"/>
      <c r="X776" s="64"/>
      <c r="Y776" s="45"/>
      <c r="Z776" s="45"/>
      <c r="AA776" s="105"/>
      <c r="AB776" s="105"/>
      <c r="AC776" s="105"/>
      <c r="AD776" s="64"/>
      <c r="AG776" s="45"/>
      <c r="AH776" s="64"/>
      <c r="AI776" s="45"/>
      <c r="AJ776" s="105"/>
      <c r="AK776" s="105"/>
      <c r="AL776" s="60"/>
      <c r="AM776" s="60"/>
      <c r="AN776" s="60"/>
      <c r="AO776" s="60"/>
      <c r="AP776" s="60"/>
      <c r="AQ776" s="60"/>
      <c r="AR776" s="60"/>
      <c r="AS776" s="60"/>
      <c r="AT776" s="45"/>
      <c r="AU776" s="45"/>
      <c r="AW776" s="45"/>
      <c r="AX776" s="46">
        <f t="shared" si="34"/>
        <v>0</v>
      </c>
      <c r="AY776" s="46">
        <f t="shared" si="35"/>
        <v>0</v>
      </c>
      <c r="AZ776" s="46">
        <f t="shared" si="36"/>
        <v>0</v>
      </c>
    </row>
    <row r="777" spans="3:52" ht="20.100000000000001" customHeight="1">
      <c r="C777" s="102"/>
      <c r="D777" s="3"/>
      <c r="E777" s="68"/>
      <c r="F777" s="3"/>
      <c r="G777" s="3"/>
      <c r="H777" s="3"/>
      <c r="J777" s="3"/>
      <c r="K777" s="3"/>
      <c r="L777" s="4"/>
      <c r="M777" s="3"/>
      <c r="O777" s="58"/>
      <c r="Q777" s="64"/>
      <c r="R777" s="45"/>
      <c r="S777" s="45"/>
      <c r="U777" s="64"/>
      <c r="V777" s="45"/>
      <c r="W777" s="64"/>
      <c r="X777" s="64"/>
      <c r="Y777" s="45"/>
      <c r="Z777" s="45"/>
      <c r="AA777" s="105"/>
      <c r="AB777" s="105"/>
      <c r="AC777" s="105"/>
      <c r="AD777" s="64"/>
      <c r="AG777" s="45"/>
      <c r="AH777" s="64"/>
      <c r="AI777" s="45"/>
      <c r="AJ777" s="105"/>
      <c r="AK777" s="105"/>
      <c r="AL777" s="60"/>
      <c r="AM777" s="60"/>
      <c r="AN777" s="60"/>
      <c r="AO777" s="60"/>
      <c r="AP777" s="60"/>
      <c r="AQ777" s="60"/>
      <c r="AR777" s="60"/>
      <c r="AS777" s="60"/>
      <c r="AT777" s="45"/>
      <c r="AU777" s="45"/>
      <c r="AW777" s="45"/>
      <c r="AX777" s="46">
        <f t="shared" si="34"/>
        <v>0</v>
      </c>
      <c r="AY777" s="46">
        <f t="shared" si="35"/>
        <v>0</v>
      </c>
      <c r="AZ777" s="46">
        <f t="shared" si="36"/>
        <v>0</v>
      </c>
    </row>
    <row r="778" spans="3:52" ht="20.100000000000001" customHeight="1">
      <c r="C778" s="102"/>
      <c r="D778" s="3"/>
      <c r="E778" s="68"/>
      <c r="F778" s="3"/>
      <c r="G778" s="3"/>
      <c r="H778" s="3"/>
      <c r="J778" s="3"/>
      <c r="K778" s="3"/>
      <c r="L778" s="4"/>
      <c r="M778" s="3"/>
      <c r="O778" s="58"/>
      <c r="Q778" s="64"/>
      <c r="R778" s="45"/>
      <c r="S778" s="45"/>
      <c r="U778" s="64"/>
      <c r="V778" s="45"/>
      <c r="W778" s="64"/>
      <c r="X778" s="64"/>
      <c r="Y778" s="45"/>
      <c r="Z778" s="45"/>
      <c r="AA778" s="105"/>
      <c r="AB778" s="105"/>
      <c r="AC778" s="105"/>
      <c r="AD778" s="64"/>
      <c r="AG778" s="45"/>
      <c r="AH778" s="64"/>
      <c r="AI778" s="45"/>
      <c r="AJ778" s="105"/>
      <c r="AK778" s="105"/>
      <c r="AL778" s="60"/>
      <c r="AM778" s="60"/>
      <c r="AN778" s="60"/>
      <c r="AO778" s="60"/>
      <c r="AP778" s="60"/>
      <c r="AQ778" s="60"/>
      <c r="AR778" s="60"/>
      <c r="AS778" s="60"/>
      <c r="AT778" s="45"/>
      <c r="AU778" s="45"/>
      <c r="AW778" s="45"/>
      <c r="AX778" s="46">
        <f t="shared" si="34"/>
        <v>0</v>
      </c>
      <c r="AY778" s="46">
        <f t="shared" si="35"/>
        <v>0</v>
      </c>
      <c r="AZ778" s="46">
        <f t="shared" si="36"/>
        <v>0</v>
      </c>
    </row>
    <row r="779" spans="3:52" ht="20.100000000000001" customHeight="1">
      <c r="C779" s="102"/>
      <c r="D779" s="3"/>
      <c r="E779" s="68"/>
      <c r="F779" s="3"/>
      <c r="G779" s="3"/>
      <c r="H779" s="3"/>
      <c r="J779" s="3"/>
      <c r="K779" s="3"/>
      <c r="L779" s="4"/>
      <c r="M779" s="3"/>
      <c r="O779" s="58"/>
      <c r="Q779" s="64"/>
      <c r="R779" s="45"/>
      <c r="S779" s="45"/>
      <c r="U779" s="64"/>
      <c r="V779" s="45"/>
      <c r="W779" s="64"/>
      <c r="X779" s="64"/>
      <c r="Y779" s="45"/>
      <c r="Z779" s="45"/>
      <c r="AA779" s="105"/>
      <c r="AB779" s="105"/>
      <c r="AC779" s="105"/>
      <c r="AD779" s="64"/>
      <c r="AG779" s="45"/>
      <c r="AH779" s="64"/>
      <c r="AI779" s="45"/>
      <c r="AJ779" s="105"/>
      <c r="AK779" s="105"/>
      <c r="AL779" s="60"/>
      <c r="AM779" s="60"/>
      <c r="AN779" s="60"/>
      <c r="AO779" s="60"/>
      <c r="AP779" s="60"/>
      <c r="AQ779" s="60"/>
      <c r="AR779" s="60"/>
      <c r="AS779" s="60"/>
      <c r="AT779" s="45"/>
      <c r="AU779" s="45"/>
      <c r="AW779" s="45"/>
      <c r="AX779" s="46">
        <f t="shared" ref="AX779:AX842" si="37">IFERROR(SUM(Q779:AS779)-SUM(AT779:AU779)+AV779,"-")</f>
        <v>0</v>
      </c>
      <c r="AY779" s="46">
        <f t="shared" ref="AY779:AY842" si="38">IFERROR(SUM(Q779:AS779)-SUM(AT779:AT779),"-")</f>
        <v>0</v>
      </c>
      <c r="AZ779" s="46">
        <f t="shared" ref="AZ779:AZ842" si="39">SUM(Q779:AS779)</f>
        <v>0</v>
      </c>
    </row>
    <row r="780" spans="3:52" ht="20.100000000000001" customHeight="1">
      <c r="C780" s="102"/>
      <c r="D780" s="3"/>
      <c r="E780" s="68"/>
      <c r="F780" s="3"/>
      <c r="G780" s="3"/>
      <c r="H780" s="3"/>
      <c r="J780" s="3"/>
      <c r="K780" s="3"/>
      <c r="L780" s="4"/>
      <c r="M780" s="3"/>
      <c r="O780" s="58"/>
      <c r="Q780" s="64"/>
      <c r="R780" s="45"/>
      <c r="S780" s="45"/>
      <c r="U780" s="64"/>
      <c r="V780" s="45"/>
      <c r="W780" s="64"/>
      <c r="X780" s="64"/>
      <c r="Y780" s="45"/>
      <c r="Z780" s="45"/>
      <c r="AA780" s="105"/>
      <c r="AB780" s="105"/>
      <c r="AC780" s="105"/>
      <c r="AD780" s="64"/>
      <c r="AG780" s="45"/>
      <c r="AH780" s="64"/>
      <c r="AI780" s="45"/>
      <c r="AJ780" s="105"/>
      <c r="AK780" s="105"/>
      <c r="AL780" s="60"/>
      <c r="AM780" s="60"/>
      <c r="AN780" s="60"/>
      <c r="AO780" s="60"/>
      <c r="AP780" s="60"/>
      <c r="AQ780" s="60"/>
      <c r="AR780" s="60"/>
      <c r="AS780" s="60"/>
      <c r="AT780" s="45"/>
      <c r="AU780" s="45"/>
      <c r="AW780" s="45"/>
      <c r="AX780" s="46">
        <f t="shared" si="37"/>
        <v>0</v>
      </c>
      <c r="AY780" s="46">
        <f t="shared" si="38"/>
        <v>0</v>
      </c>
      <c r="AZ780" s="46">
        <f t="shared" si="39"/>
        <v>0</v>
      </c>
    </row>
    <row r="781" spans="3:52" ht="20.100000000000001" customHeight="1">
      <c r="C781" s="102"/>
      <c r="D781" s="3"/>
      <c r="F781" s="3"/>
      <c r="G781" s="3"/>
      <c r="H781" s="3"/>
      <c r="J781" s="3"/>
      <c r="K781" s="3"/>
      <c r="L781" s="4"/>
      <c r="M781" s="3"/>
      <c r="O781" s="58"/>
      <c r="Q781" s="64"/>
      <c r="R781" s="45"/>
      <c r="S781" s="45"/>
      <c r="U781" s="64"/>
      <c r="V781" s="45"/>
      <c r="W781" s="64"/>
      <c r="X781" s="64"/>
      <c r="Y781" s="45"/>
      <c r="Z781" s="45"/>
      <c r="AA781" s="105"/>
      <c r="AB781" s="105"/>
      <c r="AC781" s="105"/>
      <c r="AD781" s="64"/>
      <c r="AG781" s="45"/>
      <c r="AH781" s="64"/>
      <c r="AI781" s="45"/>
      <c r="AJ781" s="105"/>
      <c r="AK781" s="105"/>
      <c r="AL781" s="60"/>
      <c r="AM781" s="60"/>
      <c r="AN781" s="60"/>
      <c r="AO781" s="60"/>
      <c r="AP781" s="60"/>
      <c r="AQ781" s="60"/>
      <c r="AR781" s="60"/>
      <c r="AS781" s="60"/>
      <c r="AT781" s="45"/>
      <c r="AU781" s="45"/>
      <c r="AW781" s="45"/>
      <c r="AX781" s="46">
        <f t="shared" si="37"/>
        <v>0</v>
      </c>
      <c r="AY781" s="46">
        <f t="shared" si="38"/>
        <v>0</v>
      </c>
      <c r="AZ781" s="46">
        <f t="shared" si="39"/>
        <v>0</v>
      </c>
    </row>
    <row r="782" spans="3:52" ht="20.100000000000001" customHeight="1">
      <c r="C782" s="102"/>
      <c r="D782" s="3"/>
      <c r="E782" s="68"/>
      <c r="F782" s="3"/>
      <c r="G782" s="3"/>
      <c r="H782" s="3"/>
      <c r="J782" s="3"/>
      <c r="K782" s="3"/>
      <c r="L782" s="4"/>
      <c r="M782" s="3"/>
      <c r="O782" s="58"/>
      <c r="Q782" s="64"/>
      <c r="R782" s="45"/>
      <c r="S782" s="45"/>
      <c r="U782" s="64"/>
      <c r="V782" s="45"/>
      <c r="W782" s="64"/>
      <c r="X782" s="64"/>
      <c r="Y782" s="45"/>
      <c r="Z782" s="45"/>
      <c r="AA782" s="105"/>
      <c r="AB782" s="105"/>
      <c r="AC782" s="105"/>
      <c r="AD782" s="64"/>
      <c r="AG782" s="45"/>
      <c r="AH782" s="64"/>
      <c r="AI782" s="45"/>
      <c r="AJ782" s="105"/>
      <c r="AK782" s="105"/>
      <c r="AL782" s="60"/>
      <c r="AM782" s="60"/>
      <c r="AN782" s="60"/>
      <c r="AO782" s="60"/>
      <c r="AP782" s="60"/>
      <c r="AQ782" s="60"/>
      <c r="AR782" s="60"/>
      <c r="AS782" s="60"/>
      <c r="AT782" s="45"/>
      <c r="AU782" s="45"/>
      <c r="AW782" s="45"/>
      <c r="AX782" s="46">
        <f t="shared" si="37"/>
        <v>0</v>
      </c>
      <c r="AY782" s="46">
        <f t="shared" si="38"/>
        <v>0</v>
      </c>
      <c r="AZ782" s="46">
        <f t="shared" si="39"/>
        <v>0</v>
      </c>
    </row>
    <row r="783" spans="3:52" ht="20.100000000000001" customHeight="1">
      <c r="C783" s="102"/>
      <c r="D783" s="3"/>
      <c r="E783" s="68"/>
      <c r="F783" s="3"/>
      <c r="G783" s="3"/>
      <c r="H783" s="3"/>
      <c r="J783" s="3"/>
      <c r="K783" s="3"/>
      <c r="L783" s="4"/>
      <c r="M783" s="3"/>
      <c r="O783" s="58"/>
      <c r="Q783" s="64"/>
      <c r="R783" s="45"/>
      <c r="S783" s="45"/>
      <c r="U783" s="64"/>
      <c r="V783" s="45"/>
      <c r="W783" s="64"/>
      <c r="X783" s="64"/>
      <c r="Y783" s="45"/>
      <c r="Z783" s="45"/>
      <c r="AA783" s="105"/>
      <c r="AB783" s="105"/>
      <c r="AC783" s="105"/>
      <c r="AD783" s="64"/>
      <c r="AH783" s="64"/>
      <c r="AI783" s="45"/>
      <c r="AJ783" s="105"/>
      <c r="AK783" s="105"/>
      <c r="AL783" s="60"/>
      <c r="AM783" s="60"/>
      <c r="AN783" s="60"/>
      <c r="AO783" s="60"/>
      <c r="AP783" s="60"/>
      <c r="AQ783" s="60"/>
      <c r="AR783" s="60"/>
      <c r="AS783" s="60"/>
      <c r="AT783" s="45"/>
      <c r="AU783" s="45"/>
      <c r="AW783" s="45"/>
      <c r="AX783" s="46">
        <f t="shared" si="37"/>
        <v>0</v>
      </c>
      <c r="AY783" s="46">
        <f t="shared" si="38"/>
        <v>0</v>
      </c>
      <c r="AZ783" s="46">
        <f t="shared" si="39"/>
        <v>0</v>
      </c>
    </row>
    <row r="784" spans="3:52" ht="20.100000000000001" customHeight="1">
      <c r="C784" s="102"/>
      <c r="D784" s="3"/>
      <c r="F784" s="3"/>
      <c r="G784" s="3"/>
      <c r="H784" s="3"/>
      <c r="J784" s="3"/>
      <c r="K784" s="3"/>
      <c r="L784" s="4"/>
      <c r="M784" s="3"/>
      <c r="O784" s="58"/>
      <c r="Q784" s="64"/>
      <c r="R784" s="45"/>
      <c r="S784" s="45"/>
      <c r="U784" s="64"/>
      <c r="V784" s="45"/>
      <c r="W784" s="64"/>
      <c r="X784" s="64"/>
      <c r="Y784" s="45"/>
      <c r="Z784" s="45"/>
      <c r="AA784" s="105"/>
      <c r="AB784" s="105"/>
      <c r="AC784" s="105"/>
      <c r="AD784" s="64"/>
      <c r="AG784" s="45"/>
      <c r="AH784" s="64"/>
      <c r="AI784" s="45"/>
      <c r="AJ784" s="105"/>
      <c r="AK784" s="105"/>
      <c r="AL784" s="60"/>
      <c r="AM784" s="60"/>
      <c r="AN784" s="60"/>
      <c r="AO784" s="60"/>
      <c r="AP784" s="60"/>
      <c r="AQ784" s="60"/>
      <c r="AR784" s="60"/>
      <c r="AS784" s="60"/>
      <c r="AT784" s="45"/>
      <c r="AU784" s="45"/>
      <c r="AW784" s="45"/>
      <c r="AX784" s="46">
        <f t="shared" si="37"/>
        <v>0</v>
      </c>
      <c r="AY784" s="46">
        <f t="shared" si="38"/>
        <v>0</v>
      </c>
      <c r="AZ784" s="46">
        <f t="shared" si="39"/>
        <v>0</v>
      </c>
    </row>
    <row r="785" spans="3:52" ht="20.100000000000001" customHeight="1">
      <c r="C785" s="102"/>
      <c r="D785" s="3"/>
      <c r="E785" s="68"/>
      <c r="F785" s="3"/>
      <c r="G785" s="3"/>
      <c r="H785" s="3"/>
      <c r="J785" s="3"/>
      <c r="K785" s="3"/>
      <c r="L785" s="4"/>
      <c r="M785" s="3"/>
      <c r="O785" s="58"/>
      <c r="Q785" s="64"/>
      <c r="R785" s="45"/>
      <c r="S785" s="45"/>
      <c r="U785" s="64"/>
      <c r="V785" s="45"/>
      <c r="W785" s="64"/>
      <c r="X785" s="64"/>
      <c r="Y785" s="45"/>
      <c r="Z785" s="45"/>
      <c r="AA785" s="105"/>
      <c r="AB785" s="105"/>
      <c r="AC785" s="105"/>
      <c r="AD785" s="64"/>
      <c r="AG785" s="45"/>
      <c r="AH785" s="64"/>
      <c r="AI785" s="45"/>
      <c r="AJ785" s="105"/>
      <c r="AK785" s="105"/>
      <c r="AL785" s="60"/>
      <c r="AM785" s="60"/>
      <c r="AN785" s="60"/>
      <c r="AO785" s="60"/>
      <c r="AP785" s="60"/>
      <c r="AQ785" s="60"/>
      <c r="AR785" s="60"/>
      <c r="AS785" s="60"/>
      <c r="AT785" s="45"/>
      <c r="AU785" s="45"/>
      <c r="AW785" s="45"/>
      <c r="AX785" s="46">
        <f t="shared" si="37"/>
        <v>0</v>
      </c>
      <c r="AY785" s="46">
        <f t="shared" si="38"/>
        <v>0</v>
      </c>
      <c r="AZ785" s="46">
        <f t="shared" si="39"/>
        <v>0</v>
      </c>
    </row>
    <row r="786" spans="3:52" ht="20.100000000000001" customHeight="1">
      <c r="C786" s="102"/>
      <c r="D786" s="3"/>
      <c r="F786" s="3"/>
      <c r="G786" s="3"/>
      <c r="H786" s="3"/>
      <c r="J786" s="3"/>
      <c r="K786" s="3"/>
      <c r="L786" s="4"/>
      <c r="M786" s="3"/>
      <c r="O786" s="58"/>
      <c r="Q786" s="64"/>
      <c r="R786" s="45"/>
      <c r="S786" s="45"/>
      <c r="U786" s="64"/>
      <c r="V786" s="45"/>
      <c r="W786" s="64"/>
      <c r="X786" s="64"/>
      <c r="Y786" s="45"/>
      <c r="Z786" s="45"/>
      <c r="AA786" s="105"/>
      <c r="AB786" s="105"/>
      <c r="AC786" s="105"/>
      <c r="AD786" s="64"/>
      <c r="AG786" s="45"/>
      <c r="AH786" s="64"/>
      <c r="AI786" s="45"/>
      <c r="AJ786" s="105"/>
      <c r="AK786" s="105"/>
      <c r="AL786" s="60"/>
      <c r="AM786" s="60"/>
      <c r="AN786" s="60"/>
      <c r="AO786" s="60"/>
      <c r="AP786" s="60"/>
      <c r="AQ786" s="60"/>
      <c r="AR786" s="60"/>
      <c r="AS786" s="60"/>
      <c r="AT786" s="45"/>
      <c r="AU786" s="45"/>
      <c r="AW786" s="45"/>
      <c r="AX786" s="46">
        <f t="shared" si="37"/>
        <v>0</v>
      </c>
      <c r="AY786" s="46">
        <f t="shared" si="38"/>
        <v>0</v>
      </c>
      <c r="AZ786" s="46">
        <f t="shared" si="39"/>
        <v>0</v>
      </c>
    </row>
    <row r="787" spans="3:52" ht="20.100000000000001" customHeight="1">
      <c r="C787" s="102"/>
      <c r="D787" s="3"/>
      <c r="F787" s="3"/>
      <c r="G787" s="3"/>
      <c r="H787" s="3"/>
      <c r="J787" s="3"/>
      <c r="K787" s="3"/>
      <c r="L787" s="4"/>
      <c r="M787" s="3"/>
      <c r="O787" s="58"/>
      <c r="Q787" s="64"/>
      <c r="R787" s="45"/>
      <c r="S787" s="45"/>
      <c r="U787" s="64"/>
      <c r="V787" s="45"/>
      <c r="W787" s="64"/>
      <c r="X787" s="64"/>
      <c r="Y787" s="45"/>
      <c r="Z787" s="45"/>
      <c r="AA787" s="105"/>
      <c r="AB787" s="105"/>
      <c r="AC787" s="105"/>
      <c r="AD787" s="64"/>
      <c r="AG787" s="45"/>
      <c r="AH787" s="64"/>
      <c r="AI787" s="45"/>
      <c r="AJ787" s="105"/>
      <c r="AK787" s="105"/>
      <c r="AL787" s="60"/>
      <c r="AM787" s="60"/>
      <c r="AN787" s="60"/>
      <c r="AO787" s="60"/>
      <c r="AP787" s="60"/>
      <c r="AQ787" s="60"/>
      <c r="AR787" s="60"/>
      <c r="AS787" s="60"/>
      <c r="AT787" s="45"/>
      <c r="AU787" s="45"/>
      <c r="AW787" s="45"/>
      <c r="AX787" s="46">
        <f t="shared" si="37"/>
        <v>0</v>
      </c>
      <c r="AY787" s="46">
        <f t="shared" si="38"/>
        <v>0</v>
      </c>
      <c r="AZ787" s="46">
        <f t="shared" si="39"/>
        <v>0</v>
      </c>
    </row>
    <row r="788" spans="3:52" ht="20.100000000000001" customHeight="1">
      <c r="C788" s="102"/>
      <c r="D788" s="3"/>
      <c r="E788" s="68"/>
      <c r="F788" s="3"/>
      <c r="G788" s="3"/>
      <c r="H788" s="3"/>
      <c r="J788" s="3"/>
      <c r="K788" s="3"/>
      <c r="L788" s="4"/>
      <c r="M788" s="3"/>
      <c r="O788" s="58"/>
      <c r="Q788" s="64"/>
      <c r="R788" s="45"/>
      <c r="S788" s="45"/>
      <c r="U788" s="64"/>
      <c r="V788" s="45"/>
      <c r="W788" s="64"/>
      <c r="X788" s="64"/>
      <c r="Y788" s="45"/>
      <c r="Z788" s="45"/>
      <c r="AA788" s="105"/>
      <c r="AB788" s="105"/>
      <c r="AC788" s="105"/>
      <c r="AD788" s="64"/>
      <c r="AG788" s="45"/>
      <c r="AH788" s="64"/>
      <c r="AI788" s="45"/>
      <c r="AJ788" s="105"/>
      <c r="AK788" s="105"/>
      <c r="AL788" s="60"/>
      <c r="AM788" s="60"/>
      <c r="AN788" s="60"/>
      <c r="AO788" s="60"/>
      <c r="AP788" s="60"/>
      <c r="AQ788" s="60"/>
      <c r="AR788" s="60"/>
      <c r="AS788" s="60"/>
      <c r="AT788" s="45"/>
      <c r="AU788" s="45"/>
      <c r="AW788" s="45"/>
      <c r="AX788" s="46">
        <f t="shared" si="37"/>
        <v>0</v>
      </c>
      <c r="AY788" s="46">
        <f t="shared" si="38"/>
        <v>0</v>
      </c>
      <c r="AZ788" s="46">
        <f t="shared" si="39"/>
        <v>0</v>
      </c>
    </row>
    <row r="789" spans="3:52" ht="20.100000000000001" customHeight="1">
      <c r="C789" s="102"/>
      <c r="D789" s="3"/>
      <c r="E789" s="68"/>
      <c r="F789" s="3"/>
      <c r="G789" s="3"/>
      <c r="H789" s="3"/>
      <c r="J789" s="3"/>
      <c r="K789" s="3"/>
      <c r="L789" s="4"/>
      <c r="M789" s="3"/>
      <c r="O789" s="58"/>
      <c r="Q789" s="64"/>
      <c r="R789" s="45"/>
      <c r="S789" s="45"/>
      <c r="U789" s="64"/>
      <c r="V789" s="45"/>
      <c r="W789" s="64"/>
      <c r="X789" s="64"/>
      <c r="Y789" s="45"/>
      <c r="Z789" s="45"/>
      <c r="AA789" s="105"/>
      <c r="AB789" s="105"/>
      <c r="AC789" s="105"/>
      <c r="AD789" s="64"/>
      <c r="AG789" s="45"/>
      <c r="AH789" s="64"/>
      <c r="AI789" s="45"/>
      <c r="AJ789" s="105"/>
      <c r="AK789" s="105"/>
      <c r="AL789" s="60"/>
      <c r="AM789" s="60"/>
      <c r="AN789" s="60"/>
      <c r="AO789" s="60"/>
      <c r="AP789" s="60"/>
      <c r="AQ789" s="60"/>
      <c r="AR789" s="60"/>
      <c r="AS789" s="60"/>
      <c r="AT789" s="45"/>
      <c r="AU789" s="45"/>
      <c r="AW789" s="45"/>
      <c r="AX789" s="46">
        <f t="shared" si="37"/>
        <v>0</v>
      </c>
      <c r="AY789" s="46">
        <f t="shared" si="38"/>
        <v>0</v>
      </c>
      <c r="AZ789" s="46">
        <f t="shared" si="39"/>
        <v>0</v>
      </c>
    </row>
    <row r="790" spans="3:52" ht="20.100000000000001" customHeight="1">
      <c r="C790" s="102"/>
      <c r="D790" s="3"/>
      <c r="E790" s="68"/>
      <c r="F790" s="3"/>
      <c r="G790" s="3"/>
      <c r="H790" s="3"/>
      <c r="J790" s="3"/>
      <c r="K790" s="3"/>
      <c r="L790" s="4"/>
      <c r="M790" s="3"/>
      <c r="O790" s="58"/>
      <c r="Q790" s="64"/>
      <c r="R790" s="45"/>
      <c r="S790" s="45"/>
      <c r="U790" s="64"/>
      <c r="V790" s="45"/>
      <c r="W790" s="64"/>
      <c r="X790" s="64"/>
      <c r="Y790" s="45"/>
      <c r="Z790" s="45"/>
      <c r="AA790" s="105"/>
      <c r="AB790" s="105"/>
      <c r="AC790" s="105"/>
      <c r="AD790" s="64"/>
      <c r="AG790" s="45"/>
      <c r="AH790" s="64"/>
      <c r="AI790" s="45"/>
      <c r="AJ790" s="105"/>
      <c r="AK790" s="105"/>
      <c r="AL790" s="60"/>
      <c r="AM790" s="60"/>
      <c r="AN790" s="60"/>
      <c r="AO790" s="60"/>
      <c r="AP790" s="60"/>
      <c r="AQ790" s="60"/>
      <c r="AR790" s="60"/>
      <c r="AS790" s="60"/>
      <c r="AT790" s="45"/>
      <c r="AU790" s="45"/>
      <c r="AW790" s="45"/>
      <c r="AX790" s="46">
        <f t="shared" si="37"/>
        <v>0</v>
      </c>
      <c r="AY790" s="46">
        <f t="shared" si="38"/>
        <v>0</v>
      </c>
      <c r="AZ790" s="46">
        <f t="shared" si="39"/>
        <v>0</v>
      </c>
    </row>
    <row r="791" spans="3:52" ht="20.100000000000001" customHeight="1">
      <c r="C791" s="102"/>
      <c r="D791" s="3"/>
      <c r="E791" s="68"/>
      <c r="F791" s="3"/>
      <c r="G791" s="3"/>
      <c r="H791" s="3"/>
      <c r="J791" s="3"/>
      <c r="K791" s="3"/>
      <c r="L791" s="4"/>
      <c r="M791" s="3"/>
      <c r="O791" s="58"/>
      <c r="Q791" s="64"/>
      <c r="R791" s="45"/>
      <c r="S791" s="45"/>
      <c r="U791" s="64"/>
      <c r="V791" s="45"/>
      <c r="W791" s="64"/>
      <c r="X791" s="64"/>
      <c r="Y791" s="45"/>
      <c r="Z791" s="45"/>
      <c r="AA791" s="105"/>
      <c r="AB791" s="105"/>
      <c r="AC791" s="105"/>
      <c r="AD791" s="64"/>
      <c r="AG791" s="45"/>
      <c r="AH791" s="64"/>
      <c r="AI791" s="45"/>
      <c r="AJ791" s="105"/>
      <c r="AK791" s="105"/>
      <c r="AL791" s="60"/>
      <c r="AM791" s="60"/>
      <c r="AN791" s="60"/>
      <c r="AO791" s="60"/>
      <c r="AP791" s="60"/>
      <c r="AQ791" s="60"/>
      <c r="AR791" s="60"/>
      <c r="AS791" s="60"/>
      <c r="AT791" s="45"/>
      <c r="AU791" s="45"/>
      <c r="AW791" s="45"/>
      <c r="AX791" s="46">
        <f t="shared" si="37"/>
        <v>0</v>
      </c>
      <c r="AY791" s="46">
        <f t="shared" si="38"/>
        <v>0</v>
      </c>
      <c r="AZ791" s="46">
        <f t="shared" si="39"/>
        <v>0</v>
      </c>
    </row>
    <row r="792" spans="3:52" ht="20.100000000000001" customHeight="1">
      <c r="C792" s="102"/>
      <c r="D792" s="3"/>
      <c r="E792" s="68"/>
      <c r="F792" s="3"/>
      <c r="G792" s="3"/>
      <c r="H792" s="3"/>
      <c r="J792" s="3"/>
      <c r="K792" s="3"/>
      <c r="L792" s="4"/>
      <c r="M792" s="3"/>
      <c r="O792" s="58"/>
      <c r="Q792" s="64"/>
      <c r="R792" s="45"/>
      <c r="S792" s="45"/>
      <c r="U792" s="64"/>
      <c r="V792" s="45"/>
      <c r="W792" s="64"/>
      <c r="X792" s="64"/>
      <c r="Y792" s="45"/>
      <c r="Z792" s="45"/>
      <c r="AA792" s="105"/>
      <c r="AB792" s="105"/>
      <c r="AC792" s="105"/>
      <c r="AD792" s="64"/>
      <c r="AG792" s="45"/>
      <c r="AH792" s="64"/>
      <c r="AI792" s="45"/>
      <c r="AJ792" s="105"/>
      <c r="AK792" s="105"/>
      <c r="AL792" s="60"/>
      <c r="AM792" s="60"/>
      <c r="AN792" s="60"/>
      <c r="AO792" s="60"/>
      <c r="AP792" s="60"/>
      <c r="AQ792" s="60"/>
      <c r="AR792" s="60"/>
      <c r="AS792" s="60"/>
      <c r="AT792" s="45"/>
      <c r="AU792" s="45"/>
      <c r="AW792" s="45"/>
      <c r="AX792" s="46">
        <f t="shared" si="37"/>
        <v>0</v>
      </c>
      <c r="AY792" s="46">
        <f t="shared" si="38"/>
        <v>0</v>
      </c>
      <c r="AZ792" s="46">
        <f t="shared" si="39"/>
        <v>0</v>
      </c>
    </row>
    <row r="793" spans="3:52" ht="20.100000000000001" customHeight="1">
      <c r="C793" s="102"/>
      <c r="D793" s="3"/>
      <c r="F793" s="3"/>
      <c r="G793" s="3"/>
      <c r="H793" s="3"/>
      <c r="J793" s="3"/>
      <c r="K793" s="3"/>
      <c r="L793" s="4"/>
      <c r="M793" s="3"/>
      <c r="O793" s="58"/>
      <c r="Q793" s="64"/>
      <c r="R793" s="45"/>
      <c r="S793" s="45"/>
      <c r="U793" s="64"/>
      <c r="V793" s="45"/>
      <c r="W793" s="64"/>
      <c r="X793" s="64"/>
      <c r="Y793" s="45"/>
      <c r="Z793" s="45"/>
      <c r="AA793" s="105"/>
      <c r="AB793" s="105"/>
      <c r="AC793" s="105"/>
      <c r="AD793" s="64"/>
      <c r="AH793" s="64"/>
      <c r="AI793" s="45"/>
      <c r="AJ793" s="105"/>
      <c r="AK793" s="105"/>
      <c r="AL793" s="60"/>
      <c r="AM793" s="60"/>
      <c r="AN793" s="60"/>
      <c r="AO793" s="60"/>
      <c r="AP793" s="60"/>
      <c r="AQ793" s="60"/>
      <c r="AR793" s="60"/>
      <c r="AS793" s="60"/>
      <c r="AT793" s="45"/>
      <c r="AU793" s="45"/>
      <c r="AW793" s="45"/>
      <c r="AX793" s="46">
        <f t="shared" si="37"/>
        <v>0</v>
      </c>
      <c r="AY793" s="46">
        <f t="shared" si="38"/>
        <v>0</v>
      </c>
      <c r="AZ793" s="46">
        <f t="shared" si="39"/>
        <v>0</v>
      </c>
    </row>
    <row r="794" spans="3:52" ht="20.100000000000001" customHeight="1">
      <c r="C794" s="102"/>
      <c r="D794" s="3"/>
      <c r="E794" s="68"/>
      <c r="F794" s="3"/>
      <c r="G794" s="3"/>
      <c r="H794" s="3"/>
      <c r="J794" s="3"/>
      <c r="K794" s="3"/>
      <c r="L794" s="4"/>
      <c r="M794" s="3"/>
      <c r="O794" s="58"/>
      <c r="Q794" s="64"/>
      <c r="R794" s="45"/>
      <c r="S794" s="45"/>
      <c r="U794" s="64"/>
      <c r="V794" s="45"/>
      <c r="W794" s="64"/>
      <c r="X794" s="64"/>
      <c r="Y794" s="45"/>
      <c r="Z794" s="45"/>
      <c r="AA794" s="105"/>
      <c r="AB794" s="105"/>
      <c r="AC794" s="105"/>
      <c r="AD794" s="64"/>
      <c r="AH794" s="64"/>
      <c r="AI794" s="45"/>
      <c r="AJ794" s="105"/>
      <c r="AK794" s="105"/>
      <c r="AL794" s="60"/>
      <c r="AM794" s="60"/>
      <c r="AN794" s="60"/>
      <c r="AO794" s="60"/>
      <c r="AP794" s="60"/>
      <c r="AQ794" s="60"/>
      <c r="AR794" s="60"/>
      <c r="AS794" s="60"/>
      <c r="AT794" s="45"/>
      <c r="AU794" s="45"/>
      <c r="AW794" s="45"/>
      <c r="AX794" s="46">
        <f t="shared" si="37"/>
        <v>0</v>
      </c>
      <c r="AY794" s="46">
        <f t="shared" si="38"/>
        <v>0</v>
      </c>
      <c r="AZ794" s="46">
        <f t="shared" si="39"/>
        <v>0</v>
      </c>
    </row>
    <row r="795" spans="3:52" ht="20.100000000000001" customHeight="1">
      <c r="C795" s="102"/>
      <c r="D795" s="3"/>
      <c r="F795" s="3"/>
      <c r="G795" s="3"/>
      <c r="H795" s="3"/>
      <c r="J795" s="3"/>
      <c r="K795" s="3"/>
      <c r="L795" s="4"/>
      <c r="M795" s="3"/>
      <c r="O795" s="58"/>
      <c r="Q795" s="64"/>
      <c r="R795" s="45"/>
      <c r="S795" s="45"/>
      <c r="U795" s="64"/>
      <c r="V795" s="45"/>
      <c r="W795" s="64"/>
      <c r="X795" s="64"/>
      <c r="Y795" s="45"/>
      <c r="Z795" s="45"/>
      <c r="AA795" s="105"/>
      <c r="AB795" s="105"/>
      <c r="AC795" s="105"/>
      <c r="AD795" s="64"/>
      <c r="AG795" s="45"/>
      <c r="AH795" s="64"/>
      <c r="AI795" s="45"/>
      <c r="AJ795" s="105"/>
      <c r="AK795" s="105"/>
      <c r="AL795" s="60"/>
      <c r="AM795" s="60"/>
      <c r="AN795" s="60"/>
      <c r="AO795" s="60"/>
      <c r="AP795" s="60"/>
      <c r="AQ795" s="60"/>
      <c r="AR795" s="60"/>
      <c r="AS795" s="60"/>
      <c r="AT795" s="45"/>
      <c r="AU795" s="45"/>
      <c r="AW795" s="45"/>
      <c r="AX795" s="46">
        <f t="shared" si="37"/>
        <v>0</v>
      </c>
      <c r="AY795" s="46">
        <f t="shared" si="38"/>
        <v>0</v>
      </c>
      <c r="AZ795" s="46">
        <f t="shared" si="39"/>
        <v>0</v>
      </c>
    </row>
    <row r="796" spans="3:52" ht="20.100000000000001" customHeight="1">
      <c r="C796" s="102"/>
      <c r="D796" s="3"/>
      <c r="F796" s="3"/>
      <c r="G796" s="3"/>
      <c r="H796" s="3"/>
      <c r="J796" s="3"/>
      <c r="K796" s="3"/>
      <c r="L796" s="4"/>
      <c r="M796" s="3"/>
      <c r="O796" s="58"/>
      <c r="Q796" s="64"/>
      <c r="R796" s="45"/>
      <c r="S796" s="45"/>
      <c r="U796" s="64"/>
      <c r="V796" s="45"/>
      <c r="W796" s="64"/>
      <c r="X796" s="64"/>
      <c r="Y796" s="45"/>
      <c r="Z796" s="45"/>
      <c r="AA796" s="105"/>
      <c r="AB796" s="105"/>
      <c r="AC796" s="105"/>
      <c r="AD796" s="64"/>
      <c r="AG796" s="45"/>
      <c r="AH796" s="64"/>
      <c r="AI796" s="45"/>
      <c r="AJ796" s="105"/>
      <c r="AK796" s="105"/>
      <c r="AL796" s="60"/>
      <c r="AM796" s="60"/>
      <c r="AN796" s="60"/>
      <c r="AO796" s="60"/>
      <c r="AP796" s="60"/>
      <c r="AQ796" s="60"/>
      <c r="AR796" s="60"/>
      <c r="AS796" s="60"/>
      <c r="AT796" s="45"/>
      <c r="AU796" s="45"/>
      <c r="AW796" s="45"/>
      <c r="AX796" s="46">
        <f t="shared" si="37"/>
        <v>0</v>
      </c>
      <c r="AY796" s="46">
        <f t="shared" si="38"/>
        <v>0</v>
      </c>
      <c r="AZ796" s="46">
        <f t="shared" si="39"/>
        <v>0</v>
      </c>
    </row>
    <row r="797" spans="3:52" ht="20.100000000000001" customHeight="1">
      <c r="C797" s="102"/>
      <c r="D797" s="3"/>
      <c r="E797" s="68"/>
      <c r="F797" s="3"/>
      <c r="G797" s="3"/>
      <c r="H797" s="3"/>
      <c r="J797" s="3"/>
      <c r="K797" s="3"/>
      <c r="L797" s="4"/>
      <c r="M797" s="3"/>
      <c r="O797" s="58"/>
      <c r="Q797" s="64"/>
      <c r="R797" s="45"/>
      <c r="S797" s="45"/>
      <c r="U797" s="64"/>
      <c r="V797" s="45"/>
      <c r="W797" s="64"/>
      <c r="X797" s="64"/>
      <c r="Y797" s="45"/>
      <c r="Z797" s="45"/>
      <c r="AA797" s="105"/>
      <c r="AB797" s="105"/>
      <c r="AC797" s="105"/>
      <c r="AD797" s="64"/>
      <c r="AG797" s="45"/>
      <c r="AH797" s="64"/>
      <c r="AI797" s="45"/>
      <c r="AJ797" s="105"/>
      <c r="AK797" s="105"/>
      <c r="AL797" s="60"/>
      <c r="AM797" s="60"/>
      <c r="AN797" s="60"/>
      <c r="AO797" s="60"/>
      <c r="AP797" s="60"/>
      <c r="AQ797" s="60"/>
      <c r="AR797" s="60"/>
      <c r="AS797" s="60"/>
      <c r="AT797" s="45"/>
      <c r="AU797" s="45"/>
      <c r="AW797" s="45"/>
      <c r="AX797" s="46">
        <f t="shared" si="37"/>
        <v>0</v>
      </c>
      <c r="AY797" s="46">
        <f t="shared" si="38"/>
        <v>0</v>
      </c>
      <c r="AZ797" s="46">
        <f t="shared" si="39"/>
        <v>0</v>
      </c>
    </row>
    <row r="798" spans="3:52" ht="20.100000000000001" customHeight="1">
      <c r="C798" s="102"/>
      <c r="D798" s="3"/>
      <c r="F798" s="3"/>
      <c r="G798" s="3"/>
      <c r="H798" s="3"/>
      <c r="J798" s="3"/>
      <c r="K798" s="3"/>
      <c r="L798" s="4"/>
      <c r="M798" s="3"/>
      <c r="O798" s="58"/>
      <c r="Q798" s="64"/>
      <c r="R798" s="45"/>
      <c r="S798" s="45"/>
      <c r="U798" s="64"/>
      <c r="V798" s="45"/>
      <c r="W798" s="64"/>
      <c r="X798" s="64"/>
      <c r="Y798" s="45"/>
      <c r="Z798" s="45"/>
      <c r="AA798" s="105"/>
      <c r="AB798" s="105"/>
      <c r="AC798" s="105"/>
      <c r="AD798" s="64"/>
      <c r="AG798" s="45"/>
      <c r="AH798" s="64"/>
      <c r="AI798" s="45"/>
      <c r="AJ798" s="105"/>
      <c r="AK798" s="105"/>
      <c r="AL798" s="60"/>
      <c r="AM798" s="60"/>
      <c r="AN798" s="60"/>
      <c r="AO798" s="60"/>
      <c r="AP798" s="60"/>
      <c r="AQ798" s="60"/>
      <c r="AR798" s="60"/>
      <c r="AS798" s="60"/>
      <c r="AT798" s="45"/>
      <c r="AU798" s="45"/>
      <c r="AW798" s="45"/>
      <c r="AX798" s="46">
        <f t="shared" si="37"/>
        <v>0</v>
      </c>
      <c r="AY798" s="46">
        <f t="shared" si="38"/>
        <v>0</v>
      </c>
      <c r="AZ798" s="46">
        <f t="shared" si="39"/>
        <v>0</v>
      </c>
    </row>
    <row r="799" spans="3:52" ht="20.100000000000001" customHeight="1">
      <c r="C799" s="102"/>
      <c r="D799" s="3"/>
      <c r="F799" s="3"/>
      <c r="G799" s="3"/>
      <c r="H799" s="3"/>
      <c r="J799" s="3"/>
      <c r="K799" s="3"/>
      <c r="L799" s="4"/>
      <c r="M799" s="3"/>
      <c r="O799" s="58"/>
      <c r="Q799" s="64"/>
      <c r="R799" s="45"/>
      <c r="S799" s="45"/>
      <c r="U799" s="64"/>
      <c r="V799" s="45"/>
      <c r="W799" s="64"/>
      <c r="X799" s="64"/>
      <c r="Y799" s="45"/>
      <c r="Z799" s="45"/>
      <c r="AA799" s="105"/>
      <c r="AB799" s="105"/>
      <c r="AC799" s="105"/>
      <c r="AD799" s="64"/>
      <c r="AH799" s="64"/>
      <c r="AI799" s="45"/>
      <c r="AJ799" s="105"/>
      <c r="AK799" s="105"/>
      <c r="AL799" s="60"/>
      <c r="AM799" s="60"/>
      <c r="AN799" s="60"/>
      <c r="AO799" s="60"/>
      <c r="AP799" s="60"/>
      <c r="AQ799" s="60"/>
      <c r="AR799" s="60"/>
      <c r="AS799" s="60"/>
      <c r="AT799" s="45"/>
      <c r="AU799" s="45"/>
      <c r="AW799" s="45"/>
      <c r="AX799" s="46">
        <f t="shared" si="37"/>
        <v>0</v>
      </c>
      <c r="AY799" s="46">
        <f t="shared" si="38"/>
        <v>0</v>
      </c>
      <c r="AZ799" s="46">
        <f t="shared" si="39"/>
        <v>0</v>
      </c>
    </row>
    <row r="800" spans="3:52" ht="20.100000000000001" customHeight="1">
      <c r="C800" s="102"/>
      <c r="D800" s="3"/>
      <c r="F800" s="3"/>
      <c r="G800" s="3"/>
      <c r="H800" s="3"/>
      <c r="J800" s="3"/>
      <c r="K800" s="3"/>
      <c r="L800" s="4"/>
      <c r="M800" s="3"/>
      <c r="O800" s="58"/>
      <c r="Q800" s="64"/>
      <c r="R800" s="45"/>
      <c r="S800" s="45"/>
      <c r="U800" s="64"/>
      <c r="V800" s="45"/>
      <c r="W800" s="64"/>
      <c r="X800" s="64"/>
      <c r="Y800" s="45"/>
      <c r="Z800" s="45"/>
      <c r="AA800" s="105"/>
      <c r="AB800" s="105"/>
      <c r="AC800" s="105"/>
      <c r="AD800" s="64"/>
      <c r="AG800" s="45"/>
      <c r="AH800" s="64"/>
      <c r="AI800" s="45"/>
      <c r="AJ800" s="105"/>
      <c r="AK800" s="105"/>
      <c r="AL800" s="60"/>
      <c r="AM800" s="60"/>
      <c r="AN800" s="60"/>
      <c r="AO800" s="60"/>
      <c r="AP800" s="60"/>
      <c r="AQ800" s="60"/>
      <c r="AR800" s="60"/>
      <c r="AS800" s="60"/>
      <c r="AT800" s="45"/>
      <c r="AU800" s="45"/>
      <c r="AW800" s="45"/>
      <c r="AX800" s="46">
        <f t="shared" si="37"/>
        <v>0</v>
      </c>
      <c r="AY800" s="46">
        <f t="shared" si="38"/>
        <v>0</v>
      </c>
      <c r="AZ800" s="46">
        <f t="shared" si="39"/>
        <v>0</v>
      </c>
    </row>
    <row r="801" spans="3:52" ht="20.100000000000001" customHeight="1">
      <c r="C801" s="102"/>
      <c r="D801" s="3"/>
      <c r="F801" s="3"/>
      <c r="G801" s="3"/>
      <c r="H801" s="3"/>
      <c r="J801" s="3"/>
      <c r="K801" s="3"/>
      <c r="L801" s="4"/>
      <c r="M801" s="3"/>
      <c r="O801" s="58"/>
      <c r="Q801" s="64"/>
      <c r="R801" s="45"/>
      <c r="S801" s="45"/>
      <c r="U801" s="64"/>
      <c r="V801" s="45"/>
      <c r="W801" s="64"/>
      <c r="X801" s="64"/>
      <c r="Y801" s="45"/>
      <c r="Z801" s="45"/>
      <c r="AA801" s="105"/>
      <c r="AB801" s="105"/>
      <c r="AC801" s="105"/>
      <c r="AD801" s="64"/>
      <c r="AG801" s="45"/>
      <c r="AH801" s="64"/>
      <c r="AI801" s="45"/>
      <c r="AJ801" s="105"/>
      <c r="AK801" s="105"/>
      <c r="AL801" s="60"/>
      <c r="AM801" s="60"/>
      <c r="AN801" s="60"/>
      <c r="AO801" s="60"/>
      <c r="AP801" s="60"/>
      <c r="AQ801" s="60"/>
      <c r="AR801" s="60"/>
      <c r="AS801" s="60"/>
      <c r="AT801" s="45"/>
      <c r="AU801" s="45"/>
      <c r="AW801" s="45"/>
      <c r="AX801" s="46">
        <f t="shared" si="37"/>
        <v>0</v>
      </c>
      <c r="AY801" s="46">
        <f t="shared" si="38"/>
        <v>0</v>
      </c>
      <c r="AZ801" s="46">
        <f t="shared" si="39"/>
        <v>0</v>
      </c>
    </row>
    <row r="802" spans="3:52" ht="20.100000000000001" customHeight="1">
      <c r="C802" s="102"/>
      <c r="D802" s="3"/>
      <c r="E802" s="68"/>
      <c r="F802" s="3"/>
      <c r="G802" s="3"/>
      <c r="H802" s="3"/>
      <c r="J802" s="3"/>
      <c r="K802" s="3"/>
      <c r="L802" s="4"/>
      <c r="M802" s="3"/>
      <c r="O802" s="58"/>
      <c r="Q802" s="64"/>
      <c r="R802" s="45"/>
      <c r="S802" s="45"/>
      <c r="U802" s="64"/>
      <c r="V802" s="45"/>
      <c r="W802" s="64"/>
      <c r="X802" s="64"/>
      <c r="Y802" s="45"/>
      <c r="Z802" s="45"/>
      <c r="AA802" s="105"/>
      <c r="AB802" s="105"/>
      <c r="AC802" s="105"/>
      <c r="AD802" s="64"/>
      <c r="AG802" s="45"/>
      <c r="AH802" s="64"/>
      <c r="AI802" s="45"/>
      <c r="AJ802" s="105"/>
      <c r="AK802" s="105"/>
      <c r="AL802" s="60"/>
      <c r="AM802" s="60"/>
      <c r="AN802" s="60"/>
      <c r="AO802" s="60"/>
      <c r="AP802" s="60"/>
      <c r="AQ802" s="60"/>
      <c r="AR802" s="60"/>
      <c r="AS802" s="60"/>
      <c r="AT802" s="45"/>
      <c r="AU802" s="45"/>
      <c r="AW802" s="45"/>
      <c r="AX802" s="46">
        <f t="shared" si="37"/>
        <v>0</v>
      </c>
      <c r="AY802" s="46">
        <f t="shared" si="38"/>
        <v>0</v>
      </c>
      <c r="AZ802" s="46">
        <f t="shared" si="39"/>
        <v>0</v>
      </c>
    </row>
    <row r="803" spans="3:52" ht="20.100000000000001" customHeight="1">
      <c r="C803" s="102"/>
      <c r="D803" s="3"/>
      <c r="E803" s="68"/>
      <c r="F803" s="3"/>
      <c r="G803" s="3"/>
      <c r="H803" s="3"/>
      <c r="J803" s="3"/>
      <c r="K803" s="3"/>
      <c r="L803" s="4"/>
      <c r="M803" s="3"/>
      <c r="O803" s="58"/>
      <c r="Q803" s="64"/>
      <c r="R803" s="45"/>
      <c r="S803" s="45"/>
      <c r="U803" s="64"/>
      <c r="V803" s="45"/>
      <c r="W803" s="64"/>
      <c r="X803" s="64"/>
      <c r="Y803" s="45"/>
      <c r="Z803" s="45"/>
      <c r="AA803" s="105"/>
      <c r="AB803" s="105"/>
      <c r="AC803" s="105"/>
      <c r="AD803" s="64"/>
      <c r="AG803" s="45"/>
      <c r="AH803" s="64"/>
      <c r="AI803" s="45"/>
      <c r="AJ803" s="105"/>
      <c r="AK803" s="105"/>
      <c r="AL803" s="60"/>
      <c r="AM803" s="60"/>
      <c r="AN803" s="60"/>
      <c r="AO803" s="60"/>
      <c r="AP803" s="60"/>
      <c r="AQ803" s="60"/>
      <c r="AR803" s="60"/>
      <c r="AS803" s="60"/>
      <c r="AT803" s="45"/>
      <c r="AU803" s="45"/>
      <c r="AW803" s="45"/>
      <c r="AX803" s="46">
        <f t="shared" si="37"/>
        <v>0</v>
      </c>
      <c r="AY803" s="46">
        <f t="shared" si="38"/>
        <v>0</v>
      </c>
      <c r="AZ803" s="46">
        <f t="shared" si="39"/>
        <v>0</v>
      </c>
    </row>
    <row r="804" spans="3:52" ht="20.100000000000001" customHeight="1">
      <c r="C804" s="102"/>
      <c r="D804" s="3"/>
      <c r="E804" s="68"/>
      <c r="F804" s="3"/>
      <c r="G804" s="3"/>
      <c r="H804" s="3"/>
      <c r="J804" s="3"/>
      <c r="K804" s="3"/>
      <c r="L804" s="4"/>
      <c r="M804" s="3"/>
      <c r="O804" s="58"/>
      <c r="Q804" s="64"/>
      <c r="R804" s="45"/>
      <c r="S804" s="45"/>
      <c r="U804" s="64"/>
      <c r="V804" s="45"/>
      <c r="W804" s="64"/>
      <c r="X804" s="64"/>
      <c r="Y804" s="45"/>
      <c r="Z804" s="45"/>
      <c r="AA804" s="105"/>
      <c r="AB804" s="105"/>
      <c r="AC804" s="105"/>
      <c r="AD804" s="64"/>
      <c r="AH804" s="64"/>
      <c r="AI804" s="45"/>
      <c r="AJ804" s="105"/>
      <c r="AK804" s="105"/>
      <c r="AL804" s="60"/>
      <c r="AM804" s="60"/>
      <c r="AN804" s="60"/>
      <c r="AO804" s="60"/>
      <c r="AP804" s="60"/>
      <c r="AQ804" s="60"/>
      <c r="AR804" s="60"/>
      <c r="AS804" s="60"/>
      <c r="AT804" s="45"/>
      <c r="AU804" s="45"/>
      <c r="AW804" s="45"/>
      <c r="AX804" s="46">
        <f t="shared" si="37"/>
        <v>0</v>
      </c>
      <c r="AY804" s="46">
        <f t="shared" si="38"/>
        <v>0</v>
      </c>
      <c r="AZ804" s="46">
        <f t="shared" si="39"/>
        <v>0</v>
      </c>
    </row>
    <row r="805" spans="3:52" ht="20.100000000000001" customHeight="1">
      <c r="C805" s="102"/>
      <c r="D805" s="3"/>
      <c r="E805" s="68"/>
      <c r="F805" s="3"/>
      <c r="G805" s="3"/>
      <c r="H805" s="3"/>
      <c r="J805" s="3"/>
      <c r="K805" s="3"/>
      <c r="L805" s="4"/>
      <c r="M805" s="3"/>
      <c r="O805" s="58"/>
      <c r="Q805" s="64"/>
      <c r="R805" s="45"/>
      <c r="S805" s="45"/>
      <c r="U805" s="64"/>
      <c r="V805" s="45"/>
      <c r="W805" s="64"/>
      <c r="X805" s="64"/>
      <c r="Y805" s="45"/>
      <c r="Z805" s="45"/>
      <c r="AA805" s="105"/>
      <c r="AB805" s="105"/>
      <c r="AC805" s="105"/>
      <c r="AD805" s="64"/>
      <c r="AG805" s="45"/>
      <c r="AH805" s="64"/>
      <c r="AI805" s="45"/>
      <c r="AJ805" s="105"/>
      <c r="AK805" s="105"/>
      <c r="AL805" s="60"/>
      <c r="AM805" s="60"/>
      <c r="AN805" s="60"/>
      <c r="AO805" s="60"/>
      <c r="AP805" s="60"/>
      <c r="AQ805" s="60"/>
      <c r="AR805" s="60"/>
      <c r="AS805" s="60"/>
      <c r="AT805" s="45"/>
      <c r="AU805" s="45"/>
      <c r="AW805" s="45"/>
      <c r="AX805" s="46">
        <f t="shared" si="37"/>
        <v>0</v>
      </c>
      <c r="AY805" s="46">
        <f t="shared" si="38"/>
        <v>0</v>
      </c>
      <c r="AZ805" s="46">
        <f t="shared" si="39"/>
        <v>0</v>
      </c>
    </row>
    <row r="806" spans="3:52" ht="20.100000000000001" customHeight="1">
      <c r="C806" s="102"/>
      <c r="D806" s="3"/>
      <c r="E806" s="68"/>
      <c r="F806" s="3"/>
      <c r="G806" s="3"/>
      <c r="H806" s="3"/>
      <c r="J806" s="3"/>
      <c r="K806" s="3"/>
      <c r="L806" s="4"/>
      <c r="M806" s="3"/>
      <c r="O806" s="58"/>
      <c r="Q806" s="64"/>
      <c r="R806" s="45"/>
      <c r="S806" s="45"/>
      <c r="U806" s="64"/>
      <c r="V806" s="45"/>
      <c r="W806" s="64"/>
      <c r="X806" s="64"/>
      <c r="Y806" s="45"/>
      <c r="Z806" s="45"/>
      <c r="AA806" s="105"/>
      <c r="AB806" s="105"/>
      <c r="AC806" s="105"/>
      <c r="AD806" s="64"/>
      <c r="AG806" s="45"/>
      <c r="AH806" s="64"/>
      <c r="AI806" s="45"/>
      <c r="AJ806" s="105"/>
      <c r="AK806" s="105"/>
      <c r="AL806" s="60"/>
      <c r="AM806" s="60"/>
      <c r="AN806" s="60"/>
      <c r="AO806" s="60"/>
      <c r="AP806" s="60"/>
      <c r="AQ806" s="60"/>
      <c r="AR806" s="60"/>
      <c r="AS806" s="60"/>
      <c r="AT806" s="45"/>
      <c r="AU806" s="45"/>
      <c r="AW806" s="45"/>
      <c r="AX806" s="46">
        <f t="shared" si="37"/>
        <v>0</v>
      </c>
      <c r="AY806" s="46">
        <f t="shared" si="38"/>
        <v>0</v>
      </c>
      <c r="AZ806" s="46">
        <f t="shared" si="39"/>
        <v>0</v>
      </c>
    </row>
    <row r="807" spans="3:52" ht="20.100000000000001" customHeight="1">
      <c r="C807" s="102"/>
      <c r="D807" s="3"/>
      <c r="E807" s="68"/>
      <c r="F807" s="3"/>
      <c r="G807" s="3"/>
      <c r="H807" s="3"/>
      <c r="J807" s="3"/>
      <c r="K807" s="3"/>
      <c r="L807" s="4"/>
      <c r="M807" s="3"/>
      <c r="O807" s="58"/>
      <c r="Q807" s="64"/>
      <c r="R807" s="45"/>
      <c r="S807" s="45"/>
      <c r="U807" s="64"/>
      <c r="V807" s="45"/>
      <c r="W807" s="64"/>
      <c r="X807" s="64"/>
      <c r="Y807" s="45"/>
      <c r="Z807" s="45"/>
      <c r="AA807" s="105"/>
      <c r="AB807" s="105"/>
      <c r="AC807" s="105"/>
      <c r="AD807" s="64"/>
      <c r="AH807" s="64"/>
      <c r="AI807" s="45"/>
      <c r="AJ807" s="105"/>
      <c r="AK807" s="105"/>
      <c r="AL807" s="60"/>
      <c r="AM807" s="60"/>
      <c r="AN807" s="60"/>
      <c r="AO807" s="60"/>
      <c r="AP807" s="60"/>
      <c r="AQ807" s="60"/>
      <c r="AR807" s="60"/>
      <c r="AS807" s="60"/>
      <c r="AT807" s="45"/>
      <c r="AU807" s="45"/>
      <c r="AW807" s="45"/>
      <c r="AX807" s="46">
        <f t="shared" si="37"/>
        <v>0</v>
      </c>
      <c r="AY807" s="46">
        <f t="shared" si="38"/>
        <v>0</v>
      </c>
      <c r="AZ807" s="46">
        <f t="shared" si="39"/>
        <v>0</v>
      </c>
    </row>
    <row r="808" spans="3:52" ht="20.100000000000001" customHeight="1">
      <c r="C808" s="102"/>
      <c r="D808" s="3"/>
      <c r="E808" s="68"/>
      <c r="F808" s="3"/>
      <c r="G808" s="3"/>
      <c r="H808" s="3"/>
      <c r="J808" s="3"/>
      <c r="K808" s="3"/>
      <c r="L808" s="4"/>
      <c r="M808" s="3"/>
      <c r="O808" s="58"/>
      <c r="Q808" s="64"/>
      <c r="R808" s="45"/>
      <c r="S808" s="45"/>
      <c r="U808" s="64"/>
      <c r="V808" s="45"/>
      <c r="W808" s="64"/>
      <c r="X808" s="64"/>
      <c r="Y808" s="45"/>
      <c r="Z808" s="45"/>
      <c r="AA808" s="105"/>
      <c r="AB808" s="105"/>
      <c r="AC808" s="105"/>
      <c r="AD808" s="64"/>
      <c r="AG808" s="45"/>
      <c r="AH808" s="64"/>
      <c r="AI808" s="45"/>
      <c r="AJ808" s="105"/>
      <c r="AK808" s="105"/>
      <c r="AL808" s="60"/>
      <c r="AM808" s="60"/>
      <c r="AN808" s="60"/>
      <c r="AO808" s="60"/>
      <c r="AP808" s="60"/>
      <c r="AQ808" s="60"/>
      <c r="AR808" s="60"/>
      <c r="AS808" s="60"/>
      <c r="AT808" s="45"/>
      <c r="AU808" s="45"/>
      <c r="AW808" s="45"/>
      <c r="AX808" s="46">
        <f t="shared" si="37"/>
        <v>0</v>
      </c>
      <c r="AY808" s="46">
        <f t="shared" si="38"/>
        <v>0</v>
      </c>
      <c r="AZ808" s="46">
        <f t="shared" si="39"/>
        <v>0</v>
      </c>
    </row>
    <row r="809" spans="3:52" ht="20.100000000000001" customHeight="1">
      <c r="C809" s="102"/>
      <c r="D809" s="3"/>
      <c r="F809" s="3"/>
      <c r="G809" s="3"/>
      <c r="H809" s="3"/>
      <c r="J809" s="3"/>
      <c r="K809" s="3"/>
      <c r="L809" s="4"/>
      <c r="M809" s="3"/>
      <c r="O809" s="58"/>
      <c r="Q809" s="64"/>
      <c r="R809" s="45"/>
      <c r="S809" s="45"/>
      <c r="U809" s="64"/>
      <c r="V809" s="45"/>
      <c r="W809" s="64"/>
      <c r="X809" s="64"/>
      <c r="Y809" s="45"/>
      <c r="Z809" s="45"/>
      <c r="AA809" s="105"/>
      <c r="AB809" s="105"/>
      <c r="AC809" s="105"/>
      <c r="AD809" s="64"/>
      <c r="AG809" s="45"/>
      <c r="AH809" s="64"/>
      <c r="AI809" s="45"/>
      <c r="AJ809" s="105"/>
      <c r="AK809" s="105"/>
      <c r="AL809" s="60"/>
      <c r="AM809" s="60"/>
      <c r="AN809" s="60"/>
      <c r="AO809" s="60"/>
      <c r="AP809" s="60"/>
      <c r="AQ809" s="60"/>
      <c r="AR809" s="60"/>
      <c r="AS809" s="60"/>
      <c r="AT809" s="45"/>
      <c r="AU809" s="45"/>
      <c r="AW809" s="45"/>
      <c r="AX809" s="46">
        <f t="shared" si="37"/>
        <v>0</v>
      </c>
      <c r="AY809" s="46">
        <f t="shared" si="38"/>
        <v>0</v>
      </c>
      <c r="AZ809" s="46">
        <f t="shared" si="39"/>
        <v>0</v>
      </c>
    </row>
    <row r="810" spans="3:52" ht="20.100000000000001" customHeight="1">
      <c r="C810" s="102"/>
      <c r="D810" s="3"/>
      <c r="F810" s="3"/>
      <c r="G810" s="3"/>
      <c r="H810" s="3"/>
      <c r="J810" s="3"/>
      <c r="K810" s="3"/>
      <c r="L810" s="4"/>
      <c r="M810" s="3"/>
      <c r="O810" s="58"/>
      <c r="Q810" s="64"/>
      <c r="R810" s="45"/>
      <c r="S810" s="45"/>
      <c r="U810" s="64"/>
      <c r="V810" s="45"/>
      <c r="W810" s="64"/>
      <c r="X810" s="64"/>
      <c r="Y810" s="45"/>
      <c r="Z810" s="45"/>
      <c r="AA810" s="105"/>
      <c r="AB810" s="105"/>
      <c r="AC810" s="105"/>
      <c r="AD810" s="64"/>
      <c r="AH810" s="64"/>
      <c r="AI810" s="45"/>
      <c r="AJ810" s="105"/>
      <c r="AK810" s="105"/>
      <c r="AL810" s="60"/>
      <c r="AM810" s="60"/>
      <c r="AN810" s="60"/>
      <c r="AO810" s="60"/>
      <c r="AP810" s="60"/>
      <c r="AQ810" s="60"/>
      <c r="AR810" s="60"/>
      <c r="AS810" s="60"/>
      <c r="AT810" s="45"/>
      <c r="AU810" s="45"/>
      <c r="AW810" s="45"/>
      <c r="AX810" s="46">
        <f t="shared" si="37"/>
        <v>0</v>
      </c>
      <c r="AY810" s="46">
        <f t="shared" si="38"/>
        <v>0</v>
      </c>
      <c r="AZ810" s="46">
        <f t="shared" si="39"/>
        <v>0</v>
      </c>
    </row>
    <row r="811" spans="3:52" ht="20.100000000000001" customHeight="1">
      <c r="C811" s="102"/>
      <c r="D811" s="3"/>
      <c r="F811" s="3"/>
      <c r="G811" s="3"/>
      <c r="H811" s="3"/>
      <c r="J811" s="3"/>
      <c r="K811" s="3"/>
      <c r="L811" s="4"/>
      <c r="M811" s="3"/>
      <c r="O811" s="58"/>
      <c r="Q811" s="64"/>
      <c r="R811" s="45"/>
      <c r="S811" s="45"/>
      <c r="U811" s="64"/>
      <c r="V811" s="45"/>
      <c r="W811" s="64"/>
      <c r="X811" s="64"/>
      <c r="Y811" s="45"/>
      <c r="Z811" s="45"/>
      <c r="AA811" s="105"/>
      <c r="AB811" s="105"/>
      <c r="AC811" s="105"/>
      <c r="AD811" s="64"/>
      <c r="AG811" s="45"/>
      <c r="AH811" s="64"/>
      <c r="AI811" s="45"/>
      <c r="AJ811" s="105"/>
      <c r="AK811" s="105"/>
      <c r="AL811" s="60"/>
      <c r="AM811" s="60"/>
      <c r="AN811" s="60"/>
      <c r="AO811" s="60"/>
      <c r="AP811" s="60"/>
      <c r="AQ811" s="60"/>
      <c r="AR811" s="60"/>
      <c r="AS811" s="60"/>
      <c r="AT811" s="45"/>
      <c r="AU811" s="45"/>
      <c r="AW811" s="45"/>
      <c r="AX811" s="46">
        <f t="shared" si="37"/>
        <v>0</v>
      </c>
      <c r="AY811" s="46">
        <f t="shared" si="38"/>
        <v>0</v>
      </c>
      <c r="AZ811" s="46">
        <f t="shared" si="39"/>
        <v>0</v>
      </c>
    </row>
    <row r="812" spans="3:52" ht="20.100000000000001" customHeight="1">
      <c r="C812" s="102"/>
      <c r="D812" s="3"/>
      <c r="E812" s="68"/>
      <c r="F812" s="3"/>
      <c r="G812" s="3"/>
      <c r="H812" s="3"/>
      <c r="J812" s="3"/>
      <c r="K812" s="3"/>
      <c r="L812" s="4"/>
      <c r="M812" s="3"/>
      <c r="O812" s="58"/>
      <c r="Q812" s="64"/>
      <c r="R812" s="45"/>
      <c r="S812" s="45"/>
      <c r="U812" s="64"/>
      <c r="V812" s="45"/>
      <c r="W812" s="64"/>
      <c r="X812" s="64"/>
      <c r="Y812" s="45"/>
      <c r="Z812" s="45"/>
      <c r="AA812" s="105"/>
      <c r="AB812" s="105"/>
      <c r="AC812" s="105"/>
      <c r="AD812" s="64"/>
      <c r="AG812" s="45"/>
      <c r="AH812" s="64"/>
      <c r="AI812" s="45"/>
      <c r="AJ812" s="105"/>
      <c r="AK812" s="105"/>
      <c r="AL812" s="60"/>
      <c r="AM812" s="60"/>
      <c r="AN812" s="60"/>
      <c r="AO812" s="60"/>
      <c r="AP812" s="60"/>
      <c r="AQ812" s="60"/>
      <c r="AR812" s="60"/>
      <c r="AS812" s="60"/>
      <c r="AT812" s="45"/>
      <c r="AU812" s="45"/>
      <c r="AW812" s="45"/>
      <c r="AX812" s="46">
        <f t="shared" si="37"/>
        <v>0</v>
      </c>
      <c r="AY812" s="46">
        <f t="shared" si="38"/>
        <v>0</v>
      </c>
      <c r="AZ812" s="46">
        <f t="shared" si="39"/>
        <v>0</v>
      </c>
    </row>
    <row r="813" spans="3:52" ht="20.100000000000001" customHeight="1">
      <c r="C813" s="102"/>
      <c r="D813" s="3"/>
      <c r="E813" s="68"/>
      <c r="F813" s="3"/>
      <c r="G813" s="3"/>
      <c r="H813" s="3"/>
      <c r="J813" s="3"/>
      <c r="K813" s="3"/>
      <c r="L813" s="4"/>
      <c r="M813" s="3"/>
      <c r="O813" s="58"/>
      <c r="Q813" s="64"/>
      <c r="R813" s="45"/>
      <c r="S813" s="45"/>
      <c r="U813" s="64"/>
      <c r="V813" s="45"/>
      <c r="W813" s="64"/>
      <c r="X813" s="64"/>
      <c r="Y813" s="45"/>
      <c r="Z813" s="45"/>
      <c r="AA813" s="105"/>
      <c r="AB813" s="105"/>
      <c r="AC813" s="105"/>
      <c r="AD813" s="64"/>
      <c r="AG813" s="45"/>
      <c r="AH813" s="64"/>
      <c r="AI813" s="45"/>
      <c r="AJ813" s="105"/>
      <c r="AK813" s="105"/>
      <c r="AL813" s="60"/>
      <c r="AM813" s="60"/>
      <c r="AN813" s="60"/>
      <c r="AO813" s="60"/>
      <c r="AP813" s="60"/>
      <c r="AQ813" s="60"/>
      <c r="AR813" s="60"/>
      <c r="AS813" s="60"/>
      <c r="AT813" s="45"/>
      <c r="AU813" s="45"/>
      <c r="AW813" s="45"/>
      <c r="AX813" s="46">
        <f t="shared" si="37"/>
        <v>0</v>
      </c>
      <c r="AY813" s="46">
        <f t="shared" si="38"/>
        <v>0</v>
      </c>
      <c r="AZ813" s="46">
        <f t="shared" si="39"/>
        <v>0</v>
      </c>
    </row>
    <row r="814" spans="3:52" ht="20.100000000000001" customHeight="1">
      <c r="C814" s="102"/>
      <c r="D814" s="3"/>
      <c r="E814" s="68"/>
      <c r="F814" s="3"/>
      <c r="G814" s="3"/>
      <c r="H814" s="3"/>
      <c r="J814" s="3"/>
      <c r="K814" s="3"/>
      <c r="L814" s="4"/>
      <c r="M814" s="3"/>
      <c r="O814" s="58"/>
      <c r="Q814" s="64"/>
      <c r="R814" s="45"/>
      <c r="S814" s="45"/>
      <c r="U814" s="64"/>
      <c r="V814" s="45"/>
      <c r="W814" s="64"/>
      <c r="X814" s="64"/>
      <c r="Y814" s="45"/>
      <c r="Z814" s="45"/>
      <c r="AA814" s="105"/>
      <c r="AB814" s="105"/>
      <c r="AC814" s="105"/>
      <c r="AD814" s="64"/>
      <c r="AG814" s="45"/>
      <c r="AH814" s="64"/>
      <c r="AI814" s="45"/>
      <c r="AJ814" s="105"/>
      <c r="AK814" s="105"/>
      <c r="AL814" s="60"/>
      <c r="AM814" s="60"/>
      <c r="AN814" s="60"/>
      <c r="AO814" s="60"/>
      <c r="AP814" s="60"/>
      <c r="AQ814" s="60"/>
      <c r="AR814" s="60"/>
      <c r="AS814" s="60"/>
      <c r="AT814" s="45"/>
      <c r="AU814" s="45"/>
      <c r="AW814" s="45"/>
      <c r="AX814" s="46">
        <f t="shared" si="37"/>
        <v>0</v>
      </c>
      <c r="AY814" s="46">
        <f t="shared" si="38"/>
        <v>0</v>
      </c>
      <c r="AZ814" s="46">
        <f t="shared" si="39"/>
        <v>0</v>
      </c>
    </row>
    <row r="815" spans="3:52" ht="20.100000000000001" customHeight="1">
      <c r="C815" s="102"/>
      <c r="D815" s="3"/>
      <c r="F815" s="3"/>
      <c r="G815" s="3"/>
      <c r="H815" s="3"/>
      <c r="J815" s="3"/>
      <c r="K815" s="3"/>
      <c r="L815" s="4"/>
      <c r="M815" s="3"/>
      <c r="O815" s="58"/>
      <c r="Q815" s="64"/>
      <c r="R815" s="45"/>
      <c r="S815" s="45"/>
      <c r="U815" s="64"/>
      <c r="V815" s="45"/>
      <c r="W815" s="64"/>
      <c r="X815" s="64"/>
      <c r="Y815" s="45"/>
      <c r="Z815" s="45"/>
      <c r="AA815" s="105"/>
      <c r="AB815" s="105"/>
      <c r="AC815" s="105"/>
      <c r="AD815" s="64"/>
      <c r="AG815" s="45"/>
      <c r="AH815" s="64"/>
      <c r="AI815" s="45"/>
      <c r="AJ815" s="105"/>
      <c r="AK815" s="105"/>
      <c r="AL815" s="60"/>
      <c r="AM815" s="60"/>
      <c r="AN815" s="60"/>
      <c r="AO815" s="60"/>
      <c r="AP815" s="60"/>
      <c r="AQ815" s="60"/>
      <c r="AR815" s="60"/>
      <c r="AS815" s="60"/>
      <c r="AT815" s="45"/>
      <c r="AU815" s="45"/>
      <c r="AW815" s="45"/>
      <c r="AX815" s="46">
        <f t="shared" si="37"/>
        <v>0</v>
      </c>
      <c r="AY815" s="46">
        <f t="shared" si="38"/>
        <v>0</v>
      </c>
      <c r="AZ815" s="46">
        <f t="shared" si="39"/>
        <v>0</v>
      </c>
    </row>
    <row r="816" spans="3:52" ht="20.100000000000001" customHeight="1">
      <c r="C816" s="102"/>
      <c r="D816" s="3"/>
      <c r="F816" s="3"/>
      <c r="G816" s="3"/>
      <c r="H816" s="3"/>
      <c r="J816" s="3"/>
      <c r="K816" s="3"/>
      <c r="L816" s="4"/>
      <c r="M816" s="3"/>
      <c r="O816" s="58"/>
      <c r="Q816" s="64"/>
      <c r="R816" s="45"/>
      <c r="S816" s="45"/>
      <c r="U816" s="64"/>
      <c r="V816" s="45"/>
      <c r="W816" s="64"/>
      <c r="X816" s="64"/>
      <c r="Y816" s="45"/>
      <c r="Z816" s="45"/>
      <c r="AA816" s="105"/>
      <c r="AB816" s="105"/>
      <c r="AC816" s="105"/>
      <c r="AD816" s="64"/>
      <c r="AG816" s="45"/>
      <c r="AH816" s="64"/>
      <c r="AI816" s="45"/>
      <c r="AJ816" s="105"/>
      <c r="AK816" s="105"/>
      <c r="AL816" s="60"/>
      <c r="AM816" s="60"/>
      <c r="AN816" s="60"/>
      <c r="AO816" s="60"/>
      <c r="AP816" s="60"/>
      <c r="AQ816" s="60"/>
      <c r="AR816" s="60"/>
      <c r="AS816" s="60"/>
      <c r="AT816" s="45"/>
      <c r="AU816" s="45"/>
      <c r="AW816" s="45"/>
      <c r="AX816" s="46">
        <f t="shared" si="37"/>
        <v>0</v>
      </c>
      <c r="AY816" s="46">
        <f t="shared" si="38"/>
        <v>0</v>
      </c>
      <c r="AZ816" s="46">
        <f t="shared" si="39"/>
        <v>0</v>
      </c>
    </row>
    <row r="817" spans="3:52" ht="20.100000000000001" customHeight="1">
      <c r="C817" s="102"/>
      <c r="D817" s="3"/>
      <c r="E817" s="68"/>
      <c r="F817" s="3"/>
      <c r="G817" s="3"/>
      <c r="H817" s="3"/>
      <c r="J817" s="3"/>
      <c r="K817" s="3"/>
      <c r="L817" s="4"/>
      <c r="M817" s="3"/>
      <c r="O817" s="58"/>
      <c r="Q817" s="64"/>
      <c r="R817" s="45"/>
      <c r="S817" s="45"/>
      <c r="U817" s="64"/>
      <c r="V817" s="45"/>
      <c r="W817" s="64"/>
      <c r="X817" s="64"/>
      <c r="Y817" s="45"/>
      <c r="Z817" s="45"/>
      <c r="AA817" s="105"/>
      <c r="AB817" s="105"/>
      <c r="AC817" s="105"/>
      <c r="AD817" s="64"/>
      <c r="AG817" s="45"/>
      <c r="AH817" s="64"/>
      <c r="AI817" s="45"/>
      <c r="AJ817" s="105"/>
      <c r="AK817" s="105"/>
      <c r="AL817" s="60"/>
      <c r="AM817" s="60"/>
      <c r="AN817" s="60"/>
      <c r="AO817" s="60"/>
      <c r="AP817" s="60"/>
      <c r="AQ817" s="60"/>
      <c r="AR817" s="60"/>
      <c r="AS817" s="60"/>
      <c r="AT817" s="45"/>
      <c r="AU817" s="45"/>
      <c r="AW817" s="45"/>
      <c r="AX817" s="46">
        <f t="shared" si="37"/>
        <v>0</v>
      </c>
      <c r="AY817" s="46">
        <f t="shared" si="38"/>
        <v>0</v>
      </c>
      <c r="AZ817" s="46">
        <f t="shared" si="39"/>
        <v>0</v>
      </c>
    </row>
    <row r="818" spans="3:52" ht="20.100000000000001" customHeight="1">
      <c r="C818" s="102"/>
      <c r="D818" s="3"/>
      <c r="F818" s="3"/>
      <c r="G818" s="3"/>
      <c r="H818" s="3"/>
      <c r="J818" s="3"/>
      <c r="K818" s="3"/>
      <c r="L818" s="4"/>
      <c r="M818" s="3"/>
      <c r="O818" s="58"/>
      <c r="Q818" s="64"/>
      <c r="R818" s="45"/>
      <c r="S818" s="45"/>
      <c r="U818" s="64"/>
      <c r="V818" s="45"/>
      <c r="W818" s="64"/>
      <c r="X818" s="64"/>
      <c r="Y818" s="45"/>
      <c r="Z818" s="45"/>
      <c r="AA818" s="105"/>
      <c r="AB818" s="105"/>
      <c r="AC818" s="105"/>
      <c r="AD818" s="64"/>
      <c r="AG818" s="45"/>
      <c r="AH818" s="64"/>
      <c r="AI818" s="45"/>
      <c r="AJ818" s="105"/>
      <c r="AK818" s="105"/>
      <c r="AL818" s="60"/>
      <c r="AM818" s="60"/>
      <c r="AN818" s="60"/>
      <c r="AO818" s="60"/>
      <c r="AP818" s="60"/>
      <c r="AQ818" s="60"/>
      <c r="AR818" s="60"/>
      <c r="AS818" s="60"/>
      <c r="AT818" s="45"/>
      <c r="AU818" s="45"/>
      <c r="AW818" s="45"/>
      <c r="AX818" s="46">
        <f t="shared" si="37"/>
        <v>0</v>
      </c>
      <c r="AY818" s="46">
        <f t="shared" si="38"/>
        <v>0</v>
      </c>
      <c r="AZ818" s="46">
        <f t="shared" si="39"/>
        <v>0</v>
      </c>
    </row>
    <row r="819" spans="3:52" ht="20.100000000000001" customHeight="1">
      <c r="C819" s="102"/>
      <c r="D819" s="3"/>
      <c r="F819" s="3"/>
      <c r="G819" s="3"/>
      <c r="H819" s="3"/>
      <c r="J819" s="3"/>
      <c r="K819" s="3"/>
      <c r="L819" s="4"/>
      <c r="M819" s="3"/>
      <c r="O819" s="58"/>
      <c r="Q819" s="64"/>
      <c r="R819" s="45"/>
      <c r="S819" s="45"/>
      <c r="U819" s="64"/>
      <c r="V819" s="45"/>
      <c r="W819" s="64"/>
      <c r="X819" s="64"/>
      <c r="Y819" s="45"/>
      <c r="Z819" s="45"/>
      <c r="AA819" s="105"/>
      <c r="AB819" s="105"/>
      <c r="AC819" s="105"/>
      <c r="AD819" s="64"/>
      <c r="AG819" s="45"/>
      <c r="AH819" s="64"/>
      <c r="AI819" s="45"/>
      <c r="AJ819" s="105"/>
      <c r="AK819" s="105"/>
      <c r="AL819" s="60"/>
      <c r="AM819" s="60"/>
      <c r="AN819" s="60"/>
      <c r="AO819" s="60"/>
      <c r="AP819" s="60"/>
      <c r="AQ819" s="60"/>
      <c r="AR819" s="60"/>
      <c r="AS819" s="60"/>
      <c r="AT819" s="45"/>
      <c r="AU819" s="45"/>
      <c r="AW819" s="45"/>
      <c r="AX819" s="46">
        <f t="shared" si="37"/>
        <v>0</v>
      </c>
      <c r="AY819" s="46">
        <f t="shared" si="38"/>
        <v>0</v>
      </c>
      <c r="AZ819" s="46">
        <f t="shared" si="39"/>
        <v>0</v>
      </c>
    </row>
    <row r="820" spans="3:52" ht="20.100000000000001" customHeight="1">
      <c r="C820" s="102"/>
      <c r="D820" s="3"/>
      <c r="E820" s="68"/>
      <c r="F820" s="3"/>
      <c r="G820" s="3"/>
      <c r="H820" s="3"/>
      <c r="J820" s="3"/>
      <c r="K820" s="3"/>
      <c r="L820" s="4"/>
      <c r="M820" s="3"/>
      <c r="O820" s="58"/>
      <c r="Q820" s="64"/>
      <c r="R820" s="45"/>
      <c r="S820" s="45"/>
      <c r="U820" s="64"/>
      <c r="V820" s="45"/>
      <c r="W820" s="64"/>
      <c r="X820" s="64"/>
      <c r="Y820" s="45"/>
      <c r="Z820" s="45"/>
      <c r="AA820" s="105"/>
      <c r="AB820" s="105"/>
      <c r="AC820" s="105"/>
      <c r="AD820" s="64"/>
      <c r="AG820" s="45"/>
      <c r="AH820" s="64"/>
      <c r="AI820" s="45"/>
      <c r="AJ820" s="105"/>
      <c r="AK820" s="105"/>
      <c r="AL820" s="60"/>
      <c r="AM820" s="60"/>
      <c r="AN820" s="60"/>
      <c r="AO820" s="60"/>
      <c r="AP820" s="60"/>
      <c r="AQ820" s="60"/>
      <c r="AR820" s="60"/>
      <c r="AS820" s="60"/>
      <c r="AT820" s="45"/>
      <c r="AU820" s="45"/>
      <c r="AW820" s="45"/>
      <c r="AX820" s="46">
        <f t="shared" si="37"/>
        <v>0</v>
      </c>
      <c r="AY820" s="46">
        <f t="shared" si="38"/>
        <v>0</v>
      </c>
      <c r="AZ820" s="46">
        <f t="shared" si="39"/>
        <v>0</v>
      </c>
    </row>
    <row r="821" spans="3:52" ht="20.100000000000001" customHeight="1">
      <c r="C821" s="102"/>
      <c r="D821" s="3"/>
      <c r="E821" s="68"/>
      <c r="F821" s="3"/>
      <c r="G821" s="3"/>
      <c r="H821" s="3"/>
      <c r="J821" s="3"/>
      <c r="K821" s="3"/>
      <c r="L821" s="4"/>
      <c r="M821" s="3"/>
      <c r="O821" s="58"/>
      <c r="Q821" s="64"/>
      <c r="R821" s="45"/>
      <c r="S821" s="45"/>
      <c r="U821" s="64"/>
      <c r="V821" s="45"/>
      <c r="W821" s="64"/>
      <c r="X821" s="64"/>
      <c r="Y821" s="45"/>
      <c r="Z821" s="45"/>
      <c r="AA821" s="105"/>
      <c r="AB821" s="105"/>
      <c r="AC821" s="105"/>
      <c r="AD821" s="64"/>
      <c r="AG821" s="45"/>
      <c r="AH821" s="64"/>
      <c r="AI821" s="45"/>
      <c r="AJ821" s="105"/>
      <c r="AK821" s="105"/>
      <c r="AL821" s="60"/>
      <c r="AM821" s="60"/>
      <c r="AN821" s="60"/>
      <c r="AO821" s="60"/>
      <c r="AP821" s="60"/>
      <c r="AQ821" s="60"/>
      <c r="AR821" s="60"/>
      <c r="AS821" s="60"/>
      <c r="AT821" s="45"/>
      <c r="AU821" s="45"/>
      <c r="AW821" s="45"/>
      <c r="AX821" s="46">
        <f t="shared" si="37"/>
        <v>0</v>
      </c>
      <c r="AY821" s="46">
        <f t="shared" si="38"/>
        <v>0</v>
      </c>
      <c r="AZ821" s="46">
        <f t="shared" si="39"/>
        <v>0</v>
      </c>
    </row>
    <row r="822" spans="3:52" ht="20.100000000000001" customHeight="1">
      <c r="C822" s="102"/>
      <c r="D822" s="3"/>
      <c r="F822" s="3"/>
      <c r="G822" s="3"/>
      <c r="H822" s="3"/>
      <c r="J822" s="3"/>
      <c r="K822" s="3"/>
      <c r="L822" s="4"/>
      <c r="M822" s="3"/>
      <c r="O822" s="58"/>
      <c r="Q822" s="64"/>
      <c r="R822" s="45"/>
      <c r="S822" s="45"/>
      <c r="U822" s="64"/>
      <c r="V822" s="45"/>
      <c r="W822" s="64"/>
      <c r="X822" s="64"/>
      <c r="Y822" s="45"/>
      <c r="Z822" s="45"/>
      <c r="AA822" s="105"/>
      <c r="AB822" s="105"/>
      <c r="AC822" s="105"/>
      <c r="AD822" s="64"/>
      <c r="AG822" s="45"/>
      <c r="AH822" s="64"/>
      <c r="AI822" s="45"/>
      <c r="AJ822" s="105"/>
      <c r="AK822" s="105"/>
      <c r="AL822" s="60"/>
      <c r="AM822" s="60"/>
      <c r="AN822" s="60"/>
      <c r="AO822" s="60"/>
      <c r="AP822" s="60"/>
      <c r="AQ822" s="60"/>
      <c r="AR822" s="60"/>
      <c r="AS822" s="60"/>
      <c r="AT822" s="45"/>
      <c r="AU822" s="45"/>
      <c r="AW822" s="45"/>
      <c r="AX822" s="46">
        <f t="shared" si="37"/>
        <v>0</v>
      </c>
      <c r="AY822" s="46">
        <f t="shared" si="38"/>
        <v>0</v>
      </c>
      <c r="AZ822" s="46">
        <f t="shared" si="39"/>
        <v>0</v>
      </c>
    </row>
    <row r="823" spans="3:52" ht="20.100000000000001" customHeight="1">
      <c r="C823" s="102"/>
      <c r="D823" s="3"/>
      <c r="F823" s="3"/>
      <c r="G823" s="3"/>
      <c r="H823" s="3"/>
      <c r="J823" s="3"/>
      <c r="K823" s="3"/>
      <c r="L823" s="4"/>
      <c r="M823" s="3"/>
      <c r="O823" s="58"/>
      <c r="Q823" s="64"/>
      <c r="R823" s="45"/>
      <c r="S823" s="45"/>
      <c r="U823" s="64"/>
      <c r="V823" s="45"/>
      <c r="W823" s="64"/>
      <c r="X823" s="64"/>
      <c r="Y823" s="45"/>
      <c r="Z823" s="45"/>
      <c r="AA823" s="105"/>
      <c r="AB823" s="105"/>
      <c r="AC823" s="105"/>
      <c r="AD823" s="64"/>
      <c r="AG823" s="45"/>
      <c r="AH823" s="64"/>
      <c r="AI823" s="45"/>
      <c r="AJ823" s="105"/>
      <c r="AK823" s="105"/>
      <c r="AL823" s="60"/>
      <c r="AM823" s="60"/>
      <c r="AN823" s="60"/>
      <c r="AO823" s="60"/>
      <c r="AP823" s="60"/>
      <c r="AQ823" s="60"/>
      <c r="AR823" s="60"/>
      <c r="AS823" s="60"/>
      <c r="AT823" s="45"/>
      <c r="AU823" s="45"/>
      <c r="AW823" s="45"/>
      <c r="AX823" s="46">
        <f t="shared" si="37"/>
        <v>0</v>
      </c>
      <c r="AY823" s="46">
        <f t="shared" si="38"/>
        <v>0</v>
      </c>
      <c r="AZ823" s="46">
        <f t="shared" si="39"/>
        <v>0</v>
      </c>
    </row>
    <row r="824" spans="3:52" ht="20.100000000000001" customHeight="1">
      <c r="C824" s="102"/>
      <c r="D824" s="3"/>
      <c r="E824" s="68"/>
      <c r="F824" s="3"/>
      <c r="G824" s="3"/>
      <c r="H824" s="3"/>
      <c r="J824" s="3"/>
      <c r="K824" s="3"/>
      <c r="L824" s="4"/>
      <c r="M824" s="3"/>
      <c r="O824" s="58"/>
      <c r="Q824" s="64"/>
      <c r="R824" s="45"/>
      <c r="S824" s="45"/>
      <c r="U824" s="64"/>
      <c r="V824" s="45"/>
      <c r="W824" s="64"/>
      <c r="X824" s="64"/>
      <c r="Y824" s="45"/>
      <c r="Z824" s="45"/>
      <c r="AA824" s="105"/>
      <c r="AB824" s="105"/>
      <c r="AC824" s="105"/>
      <c r="AD824" s="64"/>
      <c r="AG824" s="45"/>
      <c r="AH824" s="64"/>
      <c r="AI824" s="45"/>
      <c r="AJ824" s="105"/>
      <c r="AK824" s="105"/>
      <c r="AL824" s="60"/>
      <c r="AM824" s="60"/>
      <c r="AN824" s="60"/>
      <c r="AO824" s="60"/>
      <c r="AP824" s="60"/>
      <c r="AQ824" s="60"/>
      <c r="AR824" s="60"/>
      <c r="AS824" s="60"/>
      <c r="AT824" s="45"/>
      <c r="AU824" s="45"/>
      <c r="AW824" s="45"/>
      <c r="AX824" s="46">
        <f t="shared" si="37"/>
        <v>0</v>
      </c>
      <c r="AY824" s="46">
        <f t="shared" si="38"/>
        <v>0</v>
      </c>
      <c r="AZ824" s="46">
        <f t="shared" si="39"/>
        <v>0</v>
      </c>
    </row>
    <row r="825" spans="3:52" ht="20.100000000000001" customHeight="1">
      <c r="C825" s="102"/>
      <c r="D825" s="3"/>
      <c r="F825" s="3"/>
      <c r="G825" s="3"/>
      <c r="H825" s="3"/>
      <c r="J825" s="3"/>
      <c r="K825" s="3"/>
      <c r="L825" s="4"/>
      <c r="M825" s="3"/>
      <c r="O825" s="58"/>
      <c r="Q825" s="64"/>
      <c r="R825" s="45"/>
      <c r="S825" s="45"/>
      <c r="U825" s="64"/>
      <c r="V825" s="45"/>
      <c r="W825" s="64"/>
      <c r="X825" s="64"/>
      <c r="Y825" s="45"/>
      <c r="Z825" s="45"/>
      <c r="AA825" s="105"/>
      <c r="AB825" s="105"/>
      <c r="AC825" s="105"/>
      <c r="AD825" s="64"/>
      <c r="AG825" s="45"/>
      <c r="AH825" s="64"/>
      <c r="AI825" s="45"/>
      <c r="AJ825" s="105"/>
      <c r="AK825" s="105"/>
      <c r="AL825" s="60"/>
      <c r="AM825" s="60"/>
      <c r="AN825" s="60"/>
      <c r="AO825" s="60"/>
      <c r="AP825" s="60"/>
      <c r="AQ825" s="60"/>
      <c r="AR825" s="60"/>
      <c r="AS825" s="60"/>
      <c r="AT825" s="45"/>
      <c r="AU825" s="45"/>
      <c r="AW825" s="45"/>
      <c r="AX825" s="46">
        <f t="shared" si="37"/>
        <v>0</v>
      </c>
      <c r="AY825" s="46">
        <f t="shared" si="38"/>
        <v>0</v>
      </c>
      <c r="AZ825" s="46">
        <f t="shared" si="39"/>
        <v>0</v>
      </c>
    </row>
    <row r="826" spans="3:52" ht="20.100000000000001" customHeight="1">
      <c r="C826" s="102"/>
      <c r="D826" s="3"/>
      <c r="F826" s="3"/>
      <c r="G826" s="3"/>
      <c r="H826" s="3"/>
      <c r="J826" s="3"/>
      <c r="K826" s="3"/>
      <c r="L826" s="4"/>
      <c r="M826" s="3"/>
      <c r="O826" s="58"/>
      <c r="Q826" s="64"/>
      <c r="R826" s="45"/>
      <c r="S826" s="45"/>
      <c r="U826" s="64"/>
      <c r="V826" s="45"/>
      <c r="W826" s="64"/>
      <c r="X826" s="64"/>
      <c r="Y826" s="45"/>
      <c r="Z826" s="45"/>
      <c r="AA826" s="105"/>
      <c r="AB826" s="105"/>
      <c r="AC826" s="105"/>
      <c r="AD826" s="64"/>
      <c r="AG826" s="45"/>
      <c r="AH826" s="64"/>
      <c r="AI826" s="45"/>
      <c r="AJ826" s="105"/>
      <c r="AK826" s="105"/>
      <c r="AL826" s="60"/>
      <c r="AM826" s="60"/>
      <c r="AN826" s="60"/>
      <c r="AO826" s="60"/>
      <c r="AP826" s="60"/>
      <c r="AQ826" s="60"/>
      <c r="AR826" s="60"/>
      <c r="AS826" s="60"/>
      <c r="AT826" s="45"/>
      <c r="AU826" s="45"/>
      <c r="AW826" s="45"/>
      <c r="AX826" s="46">
        <f t="shared" si="37"/>
        <v>0</v>
      </c>
      <c r="AY826" s="46">
        <f t="shared" si="38"/>
        <v>0</v>
      </c>
      <c r="AZ826" s="46">
        <f t="shared" si="39"/>
        <v>0</v>
      </c>
    </row>
    <row r="827" spans="3:52" ht="20.100000000000001" customHeight="1">
      <c r="C827" s="102"/>
      <c r="D827" s="3"/>
      <c r="E827" s="68"/>
      <c r="F827" s="3"/>
      <c r="G827" s="3"/>
      <c r="H827" s="3"/>
      <c r="J827" s="3"/>
      <c r="K827" s="3"/>
      <c r="L827" s="4"/>
      <c r="M827" s="3"/>
      <c r="O827" s="58"/>
      <c r="Q827" s="64"/>
      <c r="R827" s="45"/>
      <c r="S827" s="45"/>
      <c r="U827" s="64"/>
      <c r="V827" s="45"/>
      <c r="W827" s="64"/>
      <c r="X827" s="64"/>
      <c r="Y827" s="45"/>
      <c r="Z827" s="45"/>
      <c r="AA827" s="105"/>
      <c r="AB827" s="105"/>
      <c r="AC827" s="105"/>
      <c r="AD827" s="64"/>
      <c r="AH827" s="64"/>
      <c r="AI827" s="45"/>
      <c r="AJ827" s="105"/>
      <c r="AK827" s="105"/>
      <c r="AL827" s="60"/>
      <c r="AM827" s="60"/>
      <c r="AN827" s="60"/>
      <c r="AO827" s="60"/>
      <c r="AP827" s="60"/>
      <c r="AQ827" s="60"/>
      <c r="AR827" s="60"/>
      <c r="AS827" s="60"/>
      <c r="AT827" s="45"/>
      <c r="AU827" s="45"/>
      <c r="AW827" s="45"/>
      <c r="AX827" s="46">
        <f t="shared" si="37"/>
        <v>0</v>
      </c>
      <c r="AY827" s="46">
        <f t="shared" si="38"/>
        <v>0</v>
      </c>
      <c r="AZ827" s="46">
        <f t="shared" si="39"/>
        <v>0</v>
      </c>
    </row>
    <row r="828" spans="3:52" ht="20.100000000000001" customHeight="1">
      <c r="C828" s="102"/>
      <c r="D828" s="3"/>
      <c r="E828" s="68"/>
      <c r="F828" s="3"/>
      <c r="G828" s="3"/>
      <c r="H828" s="3"/>
      <c r="J828" s="3"/>
      <c r="K828" s="3"/>
      <c r="L828" s="4"/>
      <c r="M828" s="3"/>
      <c r="O828" s="58"/>
      <c r="Q828" s="64"/>
      <c r="R828" s="45"/>
      <c r="S828" s="45"/>
      <c r="U828" s="64"/>
      <c r="V828" s="45"/>
      <c r="W828" s="64"/>
      <c r="X828" s="64"/>
      <c r="Y828" s="45"/>
      <c r="Z828" s="45"/>
      <c r="AA828" s="105"/>
      <c r="AB828" s="105"/>
      <c r="AC828" s="105"/>
      <c r="AD828" s="64"/>
      <c r="AG828" s="45"/>
      <c r="AH828" s="64"/>
      <c r="AI828" s="45"/>
      <c r="AJ828" s="105"/>
      <c r="AK828" s="105"/>
      <c r="AL828" s="60"/>
      <c r="AM828" s="60"/>
      <c r="AN828" s="60"/>
      <c r="AO828" s="60"/>
      <c r="AP828" s="60"/>
      <c r="AQ828" s="60"/>
      <c r="AR828" s="60"/>
      <c r="AS828" s="60"/>
      <c r="AT828" s="45"/>
      <c r="AU828" s="45"/>
      <c r="AW828" s="45"/>
      <c r="AX828" s="46">
        <f t="shared" si="37"/>
        <v>0</v>
      </c>
      <c r="AY828" s="46">
        <f t="shared" si="38"/>
        <v>0</v>
      </c>
      <c r="AZ828" s="46">
        <f t="shared" si="39"/>
        <v>0</v>
      </c>
    </row>
    <row r="829" spans="3:52" ht="20.100000000000001" customHeight="1">
      <c r="C829" s="102"/>
      <c r="D829" s="3"/>
      <c r="F829" s="3"/>
      <c r="G829" s="3"/>
      <c r="H829" s="3"/>
      <c r="J829" s="3"/>
      <c r="K829" s="3"/>
      <c r="L829" s="4"/>
      <c r="M829" s="3"/>
      <c r="O829" s="58"/>
      <c r="Q829" s="64"/>
      <c r="R829" s="45"/>
      <c r="S829" s="45"/>
      <c r="U829" s="64"/>
      <c r="V829" s="45"/>
      <c r="W829" s="64"/>
      <c r="X829" s="64"/>
      <c r="Y829" s="45"/>
      <c r="Z829" s="45"/>
      <c r="AA829" s="105"/>
      <c r="AB829" s="105"/>
      <c r="AC829" s="105"/>
      <c r="AD829" s="64"/>
      <c r="AG829" s="45"/>
      <c r="AH829" s="64"/>
      <c r="AI829" s="45"/>
      <c r="AJ829" s="105"/>
      <c r="AK829" s="105"/>
      <c r="AL829" s="60"/>
      <c r="AM829" s="60"/>
      <c r="AN829" s="60"/>
      <c r="AO829" s="60"/>
      <c r="AP829" s="60"/>
      <c r="AQ829" s="60"/>
      <c r="AR829" s="60"/>
      <c r="AS829" s="60"/>
      <c r="AT829" s="45"/>
      <c r="AU829" s="45"/>
      <c r="AW829" s="45"/>
      <c r="AX829" s="46">
        <f t="shared" si="37"/>
        <v>0</v>
      </c>
      <c r="AY829" s="46">
        <f t="shared" si="38"/>
        <v>0</v>
      </c>
      <c r="AZ829" s="46">
        <f t="shared" si="39"/>
        <v>0</v>
      </c>
    </row>
    <row r="830" spans="3:52" ht="20.100000000000001" customHeight="1">
      <c r="C830" s="102"/>
      <c r="D830" s="3"/>
      <c r="E830" s="68"/>
      <c r="F830" s="3"/>
      <c r="G830" s="3"/>
      <c r="H830" s="3"/>
      <c r="J830" s="3"/>
      <c r="K830" s="3"/>
      <c r="L830" s="4"/>
      <c r="M830" s="3"/>
      <c r="O830" s="58"/>
      <c r="Q830" s="64"/>
      <c r="R830" s="45"/>
      <c r="S830" s="45"/>
      <c r="U830" s="64"/>
      <c r="V830" s="45"/>
      <c r="W830" s="64"/>
      <c r="X830" s="64"/>
      <c r="Y830" s="45"/>
      <c r="Z830" s="45"/>
      <c r="AA830" s="105"/>
      <c r="AB830" s="105"/>
      <c r="AC830" s="105"/>
      <c r="AD830" s="64"/>
      <c r="AG830" s="45"/>
      <c r="AH830" s="64"/>
      <c r="AI830" s="45"/>
      <c r="AJ830" s="105"/>
      <c r="AK830" s="105"/>
      <c r="AL830" s="60"/>
      <c r="AM830" s="60"/>
      <c r="AN830" s="60"/>
      <c r="AO830" s="60"/>
      <c r="AP830" s="60"/>
      <c r="AQ830" s="60"/>
      <c r="AR830" s="60"/>
      <c r="AS830" s="60"/>
      <c r="AT830" s="45"/>
      <c r="AU830" s="45"/>
      <c r="AW830" s="45"/>
      <c r="AX830" s="46">
        <f t="shared" si="37"/>
        <v>0</v>
      </c>
      <c r="AY830" s="46">
        <f t="shared" si="38"/>
        <v>0</v>
      </c>
      <c r="AZ830" s="46">
        <f t="shared" si="39"/>
        <v>0</v>
      </c>
    </row>
    <row r="831" spans="3:52" ht="20.100000000000001" customHeight="1">
      <c r="C831" s="102"/>
      <c r="D831" s="3"/>
      <c r="F831" s="3"/>
      <c r="G831" s="3"/>
      <c r="H831" s="3"/>
      <c r="J831" s="3"/>
      <c r="K831" s="3"/>
      <c r="L831" s="4"/>
      <c r="M831" s="3"/>
      <c r="O831" s="58"/>
      <c r="Q831" s="64"/>
      <c r="R831" s="45"/>
      <c r="S831" s="45"/>
      <c r="U831" s="64"/>
      <c r="V831" s="45"/>
      <c r="W831" s="64"/>
      <c r="X831" s="64"/>
      <c r="Y831" s="45"/>
      <c r="Z831" s="45"/>
      <c r="AA831" s="105"/>
      <c r="AB831" s="105"/>
      <c r="AC831" s="105"/>
      <c r="AD831" s="64"/>
      <c r="AG831" s="45"/>
      <c r="AH831" s="64"/>
      <c r="AI831" s="45"/>
      <c r="AJ831" s="105"/>
      <c r="AK831" s="105"/>
      <c r="AL831" s="60"/>
      <c r="AM831" s="60"/>
      <c r="AN831" s="60"/>
      <c r="AO831" s="60"/>
      <c r="AP831" s="60"/>
      <c r="AQ831" s="60"/>
      <c r="AR831" s="60"/>
      <c r="AS831" s="60"/>
      <c r="AT831" s="45"/>
      <c r="AU831" s="45"/>
      <c r="AW831" s="45"/>
      <c r="AX831" s="46">
        <f t="shared" si="37"/>
        <v>0</v>
      </c>
      <c r="AY831" s="46">
        <f t="shared" si="38"/>
        <v>0</v>
      </c>
      <c r="AZ831" s="46">
        <f t="shared" si="39"/>
        <v>0</v>
      </c>
    </row>
    <row r="832" spans="3:52" ht="20.100000000000001" customHeight="1">
      <c r="C832" s="102"/>
      <c r="D832" s="3"/>
      <c r="F832" s="3"/>
      <c r="G832" s="3"/>
      <c r="H832" s="3"/>
      <c r="J832" s="3"/>
      <c r="K832" s="3"/>
      <c r="L832" s="4"/>
      <c r="M832" s="3"/>
      <c r="O832" s="58"/>
      <c r="Q832" s="64"/>
      <c r="R832" s="45"/>
      <c r="S832" s="45"/>
      <c r="U832" s="64"/>
      <c r="V832" s="45"/>
      <c r="W832" s="64"/>
      <c r="X832" s="64"/>
      <c r="Y832" s="45"/>
      <c r="Z832" s="45"/>
      <c r="AA832" s="105"/>
      <c r="AB832" s="105"/>
      <c r="AC832" s="105"/>
      <c r="AD832" s="64"/>
      <c r="AH832" s="64"/>
      <c r="AI832" s="45"/>
      <c r="AJ832" s="105"/>
      <c r="AK832" s="105"/>
      <c r="AL832" s="60"/>
      <c r="AM832" s="60"/>
      <c r="AN832" s="60"/>
      <c r="AO832" s="60"/>
      <c r="AP832" s="60"/>
      <c r="AQ832" s="60"/>
      <c r="AR832" s="60"/>
      <c r="AS832" s="60"/>
      <c r="AT832" s="45"/>
      <c r="AU832" s="45"/>
      <c r="AW832" s="45"/>
      <c r="AX832" s="46">
        <f t="shared" si="37"/>
        <v>0</v>
      </c>
      <c r="AY832" s="46">
        <f t="shared" si="38"/>
        <v>0</v>
      </c>
      <c r="AZ832" s="46">
        <f t="shared" si="39"/>
        <v>0</v>
      </c>
    </row>
    <row r="833" spans="3:52" ht="20.100000000000001" customHeight="1">
      <c r="C833" s="102"/>
      <c r="D833" s="3"/>
      <c r="F833" s="3"/>
      <c r="G833" s="3"/>
      <c r="H833" s="3"/>
      <c r="J833" s="3"/>
      <c r="K833" s="3"/>
      <c r="L833" s="4"/>
      <c r="M833" s="3"/>
      <c r="O833" s="58"/>
      <c r="Q833" s="64"/>
      <c r="R833" s="45"/>
      <c r="S833" s="45"/>
      <c r="U833" s="64"/>
      <c r="V833" s="45"/>
      <c r="W833" s="64"/>
      <c r="X833" s="64"/>
      <c r="Y833" s="45"/>
      <c r="Z833" s="45"/>
      <c r="AA833" s="105"/>
      <c r="AB833" s="105"/>
      <c r="AC833" s="105"/>
      <c r="AD833" s="64"/>
      <c r="AH833" s="64"/>
      <c r="AI833" s="45"/>
      <c r="AJ833" s="105"/>
      <c r="AK833" s="105"/>
      <c r="AL833" s="60"/>
      <c r="AM833" s="60"/>
      <c r="AN833" s="60"/>
      <c r="AO833" s="60"/>
      <c r="AP833" s="60"/>
      <c r="AQ833" s="60"/>
      <c r="AR833" s="60"/>
      <c r="AS833" s="60"/>
      <c r="AT833" s="45"/>
      <c r="AU833" s="45"/>
      <c r="AW833" s="45"/>
      <c r="AX833" s="46">
        <f t="shared" si="37"/>
        <v>0</v>
      </c>
      <c r="AY833" s="46">
        <f t="shared" si="38"/>
        <v>0</v>
      </c>
      <c r="AZ833" s="46">
        <f t="shared" si="39"/>
        <v>0</v>
      </c>
    </row>
    <row r="834" spans="3:52" ht="20.100000000000001" customHeight="1">
      <c r="C834" s="102"/>
      <c r="D834" s="3"/>
      <c r="E834" s="68"/>
      <c r="F834" s="3"/>
      <c r="G834" s="3"/>
      <c r="H834" s="3"/>
      <c r="J834" s="3"/>
      <c r="K834" s="3"/>
      <c r="L834" s="4"/>
      <c r="M834" s="3"/>
      <c r="O834" s="58"/>
      <c r="Q834" s="64"/>
      <c r="R834" s="45"/>
      <c r="S834" s="45"/>
      <c r="U834" s="64"/>
      <c r="V834" s="45"/>
      <c r="W834" s="64"/>
      <c r="X834" s="64"/>
      <c r="Y834" s="45"/>
      <c r="Z834" s="45"/>
      <c r="AA834" s="105"/>
      <c r="AB834" s="105"/>
      <c r="AC834" s="105"/>
      <c r="AD834" s="64"/>
      <c r="AH834" s="64"/>
      <c r="AI834" s="45"/>
      <c r="AJ834" s="105"/>
      <c r="AK834" s="105"/>
      <c r="AL834" s="60"/>
      <c r="AM834" s="60"/>
      <c r="AN834" s="60"/>
      <c r="AO834" s="60"/>
      <c r="AP834" s="60"/>
      <c r="AQ834" s="60"/>
      <c r="AR834" s="60"/>
      <c r="AS834" s="60"/>
      <c r="AT834" s="45"/>
      <c r="AU834" s="45"/>
      <c r="AW834" s="45"/>
      <c r="AX834" s="46">
        <f t="shared" si="37"/>
        <v>0</v>
      </c>
      <c r="AY834" s="46">
        <f t="shared" si="38"/>
        <v>0</v>
      </c>
      <c r="AZ834" s="46">
        <f t="shared" si="39"/>
        <v>0</v>
      </c>
    </row>
    <row r="835" spans="3:52" ht="20.100000000000001" customHeight="1">
      <c r="C835" s="102"/>
      <c r="D835" s="3"/>
      <c r="E835" s="68"/>
      <c r="F835" s="3"/>
      <c r="G835" s="3"/>
      <c r="H835" s="3"/>
      <c r="J835" s="3"/>
      <c r="K835" s="3"/>
      <c r="L835" s="4"/>
      <c r="M835" s="3"/>
      <c r="O835" s="58"/>
      <c r="Q835" s="64"/>
      <c r="R835" s="45"/>
      <c r="S835" s="45"/>
      <c r="U835" s="64"/>
      <c r="V835" s="45"/>
      <c r="W835" s="64"/>
      <c r="X835" s="64"/>
      <c r="Y835" s="45"/>
      <c r="Z835" s="45"/>
      <c r="AA835" s="105"/>
      <c r="AB835" s="105"/>
      <c r="AC835" s="105"/>
      <c r="AD835" s="64"/>
      <c r="AG835" s="45"/>
      <c r="AH835" s="64"/>
      <c r="AI835" s="45"/>
      <c r="AJ835" s="105"/>
      <c r="AK835" s="105"/>
      <c r="AL835" s="60"/>
      <c r="AM835" s="60"/>
      <c r="AN835" s="60"/>
      <c r="AO835" s="60"/>
      <c r="AP835" s="60"/>
      <c r="AQ835" s="60"/>
      <c r="AR835" s="60"/>
      <c r="AS835" s="60"/>
      <c r="AT835" s="45"/>
      <c r="AU835" s="45"/>
      <c r="AW835" s="45"/>
      <c r="AX835" s="46">
        <f t="shared" si="37"/>
        <v>0</v>
      </c>
      <c r="AY835" s="46">
        <f t="shared" si="38"/>
        <v>0</v>
      </c>
      <c r="AZ835" s="46">
        <f t="shared" si="39"/>
        <v>0</v>
      </c>
    </row>
    <row r="836" spans="3:52" ht="20.100000000000001" customHeight="1">
      <c r="C836" s="102"/>
      <c r="D836" s="3"/>
      <c r="E836" s="68"/>
      <c r="F836" s="3"/>
      <c r="G836" s="3"/>
      <c r="H836" s="3"/>
      <c r="J836" s="3"/>
      <c r="K836" s="3"/>
      <c r="L836" s="4"/>
      <c r="M836" s="3"/>
      <c r="O836" s="58"/>
      <c r="Q836" s="64"/>
      <c r="R836" s="45"/>
      <c r="S836" s="45"/>
      <c r="U836" s="64"/>
      <c r="V836" s="45"/>
      <c r="W836" s="64"/>
      <c r="X836" s="64"/>
      <c r="Y836" s="45"/>
      <c r="Z836" s="45"/>
      <c r="AA836" s="105"/>
      <c r="AB836" s="105"/>
      <c r="AC836" s="105"/>
      <c r="AD836" s="64"/>
      <c r="AH836" s="64"/>
      <c r="AI836" s="45"/>
      <c r="AJ836" s="105"/>
      <c r="AK836" s="105"/>
      <c r="AL836" s="60"/>
      <c r="AM836" s="60"/>
      <c r="AN836" s="60"/>
      <c r="AO836" s="60"/>
      <c r="AP836" s="60"/>
      <c r="AQ836" s="60"/>
      <c r="AR836" s="60"/>
      <c r="AS836" s="60"/>
      <c r="AT836" s="45"/>
      <c r="AU836" s="45"/>
      <c r="AW836" s="45"/>
      <c r="AX836" s="46">
        <f t="shared" si="37"/>
        <v>0</v>
      </c>
      <c r="AY836" s="46">
        <f t="shared" si="38"/>
        <v>0</v>
      </c>
      <c r="AZ836" s="46">
        <f t="shared" si="39"/>
        <v>0</v>
      </c>
    </row>
    <row r="837" spans="3:52" ht="20.100000000000001" customHeight="1">
      <c r="C837" s="102"/>
      <c r="D837" s="3"/>
      <c r="F837" s="3"/>
      <c r="G837" s="3"/>
      <c r="H837" s="3"/>
      <c r="J837" s="3"/>
      <c r="K837" s="3"/>
      <c r="L837" s="4"/>
      <c r="M837" s="3"/>
      <c r="O837" s="58"/>
      <c r="Q837" s="64"/>
      <c r="R837" s="45"/>
      <c r="S837" s="45"/>
      <c r="U837" s="64"/>
      <c r="V837" s="45"/>
      <c r="W837" s="64"/>
      <c r="X837" s="64"/>
      <c r="Y837" s="45"/>
      <c r="Z837" s="45"/>
      <c r="AA837" s="105"/>
      <c r="AB837" s="105"/>
      <c r="AC837" s="105"/>
      <c r="AD837" s="64"/>
      <c r="AG837" s="45"/>
      <c r="AH837" s="64"/>
      <c r="AI837" s="45"/>
      <c r="AJ837" s="105"/>
      <c r="AK837" s="105"/>
      <c r="AL837" s="60"/>
      <c r="AM837" s="60"/>
      <c r="AN837" s="60"/>
      <c r="AO837" s="60"/>
      <c r="AP837" s="60"/>
      <c r="AQ837" s="60"/>
      <c r="AR837" s="60"/>
      <c r="AS837" s="60"/>
      <c r="AT837" s="45"/>
      <c r="AU837" s="45"/>
      <c r="AW837" s="45"/>
      <c r="AX837" s="46">
        <f t="shared" si="37"/>
        <v>0</v>
      </c>
      <c r="AY837" s="46">
        <f t="shared" si="38"/>
        <v>0</v>
      </c>
      <c r="AZ837" s="46">
        <f t="shared" si="39"/>
        <v>0</v>
      </c>
    </row>
    <row r="838" spans="3:52" ht="20.100000000000001" customHeight="1">
      <c r="C838" s="102"/>
      <c r="D838" s="3"/>
      <c r="F838" s="3"/>
      <c r="G838" s="3"/>
      <c r="H838" s="3"/>
      <c r="J838" s="3"/>
      <c r="K838" s="3"/>
      <c r="L838" s="4"/>
      <c r="M838" s="3"/>
      <c r="O838" s="58"/>
      <c r="Q838" s="64"/>
      <c r="R838" s="45"/>
      <c r="S838" s="45"/>
      <c r="U838" s="64"/>
      <c r="V838" s="45"/>
      <c r="W838" s="64"/>
      <c r="X838" s="64"/>
      <c r="Y838" s="45"/>
      <c r="Z838" s="45"/>
      <c r="AA838" s="105"/>
      <c r="AB838" s="105"/>
      <c r="AC838" s="105"/>
      <c r="AD838" s="64"/>
      <c r="AG838" s="45"/>
      <c r="AH838" s="64"/>
      <c r="AI838" s="45"/>
      <c r="AJ838" s="105"/>
      <c r="AK838" s="105"/>
      <c r="AL838" s="60"/>
      <c r="AM838" s="60"/>
      <c r="AN838" s="60"/>
      <c r="AO838" s="60"/>
      <c r="AP838" s="60"/>
      <c r="AQ838" s="60"/>
      <c r="AR838" s="60"/>
      <c r="AS838" s="60"/>
      <c r="AT838" s="45"/>
      <c r="AU838" s="45"/>
      <c r="AW838" s="45"/>
      <c r="AX838" s="46">
        <f t="shared" si="37"/>
        <v>0</v>
      </c>
      <c r="AY838" s="46">
        <f t="shared" si="38"/>
        <v>0</v>
      </c>
      <c r="AZ838" s="46">
        <f t="shared" si="39"/>
        <v>0</v>
      </c>
    </row>
    <row r="839" spans="3:52" ht="20.100000000000001" customHeight="1">
      <c r="C839" s="102"/>
      <c r="D839" s="3"/>
      <c r="F839" s="3"/>
      <c r="G839" s="3"/>
      <c r="H839" s="3"/>
      <c r="J839" s="3"/>
      <c r="K839" s="3"/>
      <c r="L839" s="4"/>
      <c r="M839" s="3"/>
      <c r="O839" s="58"/>
      <c r="Q839" s="64"/>
      <c r="R839" s="45"/>
      <c r="S839" s="45"/>
      <c r="U839" s="64"/>
      <c r="V839" s="45"/>
      <c r="W839" s="64"/>
      <c r="X839" s="64"/>
      <c r="Y839" s="45"/>
      <c r="Z839" s="45"/>
      <c r="AA839" s="105"/>
      <c r="AB839" s="105"/>
      <c r="AC839" s="105"/>
      <c r="AD839" s="64"/>
      <c r="AG839" s="45"/>
      <c r="AH839" s="64"/>
      <c r="AI839" s="45"/>
      <c r="AJ839" s="105"/>
      <c r="AK839" s="105"/>
      <c r="AL839" s="60"/>
      <c r="AM839" s="60"/>
      <c r="AN839" s="60"/>
      <c r="AO839" s="60"/>
      <c r="AP839" s="60"/>
      <c r="AQ839" s="60"/>
      <c r="AR839" s="60"/>
      <c r="AS839" s="60"/>
      <c r="AT839" s="45"/>
      <c r="AU839" s="45"/>
      <c r="AW839" s="45"/>
      <c r="AX839" s="46">
        <f t="shared" si="37"/>
        <v>0</v>
      </c>
      <c r="AY839" s="46">
        <f t="shared" si="38"/>
        <v>0</v>
      </c>
      <c r="AZ839" s="46">
        <f t="shared" si="39"/>
        <v>0</v>
      </c>
    </row>
    <row r="840" spans="3:52" ht="20.100000000000001" customHeight="1">
      <c r="C840" s="102"/>
      <c r="D840" s="3"/>
      <c r="E840" s="68"/>
      <c r="F840" s="3"/>
      <c r="G840" s="3"/>
      <c r="H840" s="3"/>
      <c r="J840" s="3"/>
      <c r="K840" s="3"/>
      <c r="L840" s="4"/>
      <c r="M840" s="3"/>
      <c r="O840" s="58"/>
      <c r="Q840" s="64"/>
      <c r="R840" s="45"/>
      <c r="S840" s="45"/>
      <c r="U840" s="64"/>
      <c r="V840" s="45"/>
      <c r="W840" s="64"/>
      <c r="X840" s="64"/>
      <c r="Y840" s="45"/>
      <c r="Z840" s="45"/>
      <c r="AA840" s="105"/>
      <c r="AB840" s="105"/>
      <c r="AC840" s="105"/>
      <c r="AD840" s="64"/>
      <c r="AG840" s="45"/>
      <c r="AH840" s="64"/>
      <c r="AI840" s="45"/>
      <c r="AJ840" s="105"/>
      <c r="AK840" s="105"/>
      <c r="AL840" s="60"/>
      <c r="AM840" s="60"/>
      <c r="AN840" s="60"/>
      <c r="AO840" s="60"/>
      <c r="AP840" s="60"/>
      <c r="AQ840" s="60"/>
      <c r="AR840" s="60"/>
      <c r="AS840" s="60"/>
      <c r="AT840" s="45"/>
      <c r="AU840" s="45"/>
      <c r="AW840" s="45"/>
      <c r="AX840" s="46">
        <f t="shared" si="37"/>
        <v>0</v>
      </c>
      <c r="AY840" s="46">
        <f t="shared" si="38"/>
        <v>0</v>
      </c>
      <c r="AZ840" s="46">
        <f t="shared" si="39"/>
        <v>0</v>
      </c>
    </row>
    <row r="841" spans="3:52" ht="20.100000000000001" customHeight="1">
      <c r="C841" s="102"/>
      <c r="D841" s="3"/>
      <c r="E841" s="68"/>
      <c r="F841" s="3"/>
      <c r="G841" s="3"/>
      <c r="H841" s="3"/>
      <c r="J841" s="3"/>
      <c r="K841" s="3"/>
      <c r="L841" s="4"/>
      <c r="M841" s="3"/>
      <c r="O841" s="58"/>
      <c r="Q841" s="64"/>
      <c r="R841" s="45"/>
      <c r="S841" s="45"/>
      <c r="U841" s="64"/>
      <c r="V841" s="45"/>
      <c r="W841" s="64"/>
      <c r="X841" s="64"/>
      <c r="Y841" s="45"/>
      <c r="Z841" s="45"/>
      <c r="AA841" s="105"/>
      <c r="AB841" s="105"/>
      <c r="AC841" s="105"/>
      <c r="AD841" s="64"/>
      <c r="AG841" s="45"/>
      <c r="AH841" s="64"/>
      <c r="AI841" s="45"/>
      <c r="AJ841" s="105"/>
      <c r="AK841" s="105"/>
      <c r="AL841" s="60"/>
      <c r="AM841" s="60"/>
      <c r="AN841" s="60"/>
      <c r="AO841" s="60"/>
      <c r="AP841" s="60"/>
      <c r="AQ841" s="60"/>
      <c r="AR841" s="60"/>
      <c r="AS841" s="60"/>
      <c r="AT841" s="45"/>
      <c r="AU841" s="45"/>
      <c r="AW841" s="45"/>
      <c r="AX841" s="46">
        <f t="shared" si="37"/>
        <v>0</v>
      </c>
      <c r="AY841" s="46">
        <f t="shared" si="38"/>
        <v>0</v>
      </c>
      <c r="AZ841" s="46">
        <f t="shared" si="39"/>
        <v>0</v>
      </c>
    </row>
    <row r="842" spans="3:52" ht="20.100000000000001" customHeight="1">
      <c r="C842" s="102"/>
      <c r="D842" s="3"/>
      <c r="F842" s="3"/>
      <c r="G842" s="3"/>
      <c r="H842" s="3"/>
      <c r="J842" s="3"/>
      <c r="K842" s="3"/>
      <c r="L842" s="4"/>
      <c r="M842" s="3"/>
      <c r="O842" s="58"/>
      <c r="Q842" s="64"/>
      <c r="R842" s="45"/>
      <c r="S842" s="45"/>
      <c r="U842" s="64"/>
      <c r="V842" s="45"/>
      <c r="W842" s="64"/>
      <c r="X842" s="64"/>
      <c r="Y842" s="45"/>
      <c r="Z842" s="45"/>
      <c r="AA842" s="105"/>
      <c r="AB842" s="105"/>
      <c r="AC842" s="105"/>
      <c r="AD842" s="64"/>
      <c r="AG842" s="45"/>
      <c r="AH842" s="64"/>
      <c r="AI842" s="45"/>
      <c r="AJ842" s="105"/>
      <c r="AK842" s="105"/>
      <c r="AL842" s="60"/>
      <c r="AM842" s="60"/>
      <c r="AN842" s="60"/>
      <c r="AO842" s="60"/>
      <c r="AP842" s="60"/>
      <c r="AQ842" s="60"/>
      <c r="AR842" s="60"/>
      <c r="AS842" s="60"/>
      <c r="AT842" s="45"/>
      <c r="AU842" s="45"/>
      <c r="AW842" s="45"/>
      <c r="AX842" s="46">
        <f t="shared" si="37"/>
        <v>0</v>
      </c>
      <c r="AY842" s="46">
        <f t="shared" si="38"/>
        <v>0</v>
      </c>
      <c r="AZ842" s="46">
        <f t="shared" si="39"/>
        <v>0</v>
      </c>
    </row>
    <row r="843" spans="3:52" ht="20.100000000000001" customHeight="1">
      <c r="C843" s="102"/>
      <c r="D843" s="3"/>
      <c r="F843" s="3"/>
      <c r="G843" s="3"/>
      <c r="H843" s="3"/>
      <c r="J843" s="3"/>
      <c r="K843" s="3"/>
      <c r="L843" s="4"/>
      <c r="M843" s="3"/>
      <c r="O843" s="58"/>
      <c r="Q843" s="64"/>
      <c r="R843" s="45"/>
      <c r="S843" s="45"/>
      <c r="U843" s="64"/>
      <c r="V843" s="45"/>
      <c r="W843" s="64"/>
      <c r="X843" s="64"/>
      <c r="Y843" s="45"/>
      <c r="Z843" s="45"/>
      <c r="AA843" s="105"/>
      <c r="AB843" s="105"/>
      <c r="AC843" s="105"/>
      <c r="AD843" s="64"/>
      <c r="AG843" s="45"/>
      <c r="AH843" s="64"/>
      <c r="AI843" s="45"/>
      <c r="AJ843" s="105"/>
      <c r="AK843" s="105"/>
      <c r="AL843" s="60"/>
      <c r="AM843" s="60"/>
      <c r="AN843" s="60"/>
      <c r="AO843" s="60"/>
      <c r="AP843" s="60"/>
      <c r="AQ843" s="60"/>
      <c r="AR843" s="60"/>
      <c r="AS843" s="60"/>
      <c r="AT843" s="45"/>
      <c r="AU843" s="45"/>
      <c r="AW843" s="45"/>
      <c r="AX843" s="46">
        <f t="shared" ref="AX843:AX906" si="40">IFERROR(SUM(Q843:AS843)-SUM(AT843:AU843)+AV843,"-")</f>
        <v>0</v>
      </c>
      <c r="AY843" s="46">
        <f t="shared" ref="AY843:AY906" si="41">IFERROR(SUM(Q843:AS843)-SUM(AT843:AT843),"-")</f>
        <v>0</v>
      </c>
      <c r="AZ843" s="46">
        <f t="shared" ref="AZ843:AZ906" si="42">SUM(Q843:AS843)</f>
        <v>0</v>
      </c>
    </row>
    <row r="844" spans="3:52" ht="20.100000000000001" customHeight="1">
      <c r="C844" s="102"/>
      <c r="D844" s="3"/>
      <c r="E844" s="68"/>
      <c r="F844" s="3"/>
      <c r="G844" s="3"/>
      <c r="H844" s="3"/>
      <c r="J844" s="3"/>
      <c r="K844" s="3"/>
      <c r="L844" s="4"/>
      <c r="M844" s="3"/>
      <c r="O844" s="58"/>
      <c r="Q844" s="64"/>
      <c r="R844" s="45"/>
      <c r="S844" s="45"/>
      <c r="U844" s="64"/>
      <c r="V844" s="45"/>
      <c r="W844" s="64"/>
      <c r="X844" s="64"/>
      <c r="Y844" s="45"/>
      <c r="Z844" s="45"/>
      <c r="AA844" s="105"/>
      <c r="AB844" s="105"/>
      <c r="AC844" s="105"/>
      <c r="AD844" s="64"/>
      <c r="AG844" s="45"/>
      <c r="AH844" s="64"/>
      <c r="AI844" s="45"/>
      <c r="AJ844" s="105"/>
      <c r="AK844" s="105"/>
      <c r="AL844" s="60"/>
      <c r="AM844" s="60"/>
      <c r="AN844" s="60"/>
      <c r="AO844" s="60"/>
      <c r="AP844" s="60"/>
      <c r="AQ844" s="60"/>
      <c r="AR844" s="60"/>
      <c r="AS844" s="60"/>
      <c r="AT844" s="45"/>
      <c r="AU844" s="45"/>
      <c r="AW844" s="45"/>
      <c r="AX844" s="46">
        <f t="shared" si="40"/>
        <v>0</v>
      </c>
      <c r="AY844" s="46">
        <f t="shared" si="41"/>
        <v>0</v>
      </c>
      <c r="AZ844" s="46">
        <f t="shared" si="42"/>
        <v>0</v>
      </c>
    </row>
    <row r="845" spans="3:52" ht="20.100000000000001" customHeight="1">
      <c r="C845" s="102"/>
      <c r="D845" s="3"/>
      <c r="F845" s="3"/>
      <c r="G845" s="3"/>
      <c r="H845" s="3"/>
      <c r="J845" s="3"/>
      <c r="K845" s="3"/>
      <c r="L845" s="4"/>
      <c r="M845" s="3"/>
      <c r="O845" s="58"/>
      <c r="Q845" s="64"/>
      <c r="R845" s="45"/>
      <c r="S845" s="45"/>
      <c r="U845" s="64"/>
      <c r="V845" s="45"/>
      <c r="W845" s="64"/>
      <c r="X845" s="64"/>
      <c r="Y845" s="45"/>
      <c r="Z845" s="45"/>
      <c r="AA845" s="105"/>
      <c r="AB845" s="105"/>
      <c r="AC845" s="105"/>
      <c r="AD845" s="64"/>
      <c r="AG845" s="45"/>
      <c r="AH845" s="64"/>
      <c r="AI845" s="45"/>
      <c r="AJ845" s="105"/>
      <c r="AK845" s="105"/>
      <c r="AL845" s="60"/>
      <c r="AM845" s="60"/>
      <c r="AN845" s="60"/>
      <c r="AO845" s="60"/>
      <c r="AP845" s="60"/>
      <c r="AQ845" s="60"/>
      <c r="AR845" s="60"/>
      <c r="AS845" s="60"/>
      <c r="AT845" s="45"/>
      <c r="AU845" s="45"/>
      <c r="AW845" s="45"/>
      <c r="AX845" s="46">
        <f t="shared" si="40"/>
        <v>0</v>
      </c>
      <c r="AY845" s="46">
        <f t="shared" si="41"/>
        <v>0</v>
      </c>
      <c r="AZ845" s="46">
        <f t="shared" si="42"/>
        <v>0</v>
      </c>
    </row>
    <row r="846" spans="3:52" ht="20.100000000000001" customHeight="1">
      <c r="C846" s="102"/>
      <c r="D846" s="3"/>
      <c r="E846" s="68"/>
      <c r="F846" s="3"/>
      <c r="G846" s="3"/>
      <c r="H846" s="3"/>
      <c r="J846" s="3"/>
      <c r="K846" s="3"/>
      <c r="L846" s="4"/>
      <c r="M846" s="3"/>
      <c r="O846" s="58"/>
      <c r="Q846" s="64"/>
      <c r="R846" s="45"/>
      <c r="S846" s="45"/>
      <c r="U846" s="64"/>
      <c r="V846" s="45"/>
      <c r="W846" s="64"/>
      <c r="X846" s="64"/>
      <c r="Y846" s="45"/>
      <c r="Z846" s="45"/>
      <c r="AA846" s="105"/>
      <c r="AB846" s="105"/>
      <c r="AC846" s="105"/>
      <c r="AD846" s="64"/>
      <c r="AH846" s="64"/>
      <c r="AI846" s="45"/>
      <c r="AJ846" s="105"/>
      <c r="AK846" s="105"/>
      <c r="AL846" s="60"/>
      <c r="AM846" s="60"/>
      <c r="AN846" s="60"/>
      <c r="AO846" s="60"/>
      <c r="AP846" s="60"/>
      <c r="AQ846" s="60"/>
      <c r="AR846" s="60"/>
      <c r="AS846" s="60"/>
      <c r="AT846" s="45"/>
      <c r="AU846" s="45"/>
      <c r="AW846" s="45"/>
      <c r="AX846" s="46">
        <f t="shared" si="40"/>
        <v>0</v>
      </c>
      <c r="AY846" s="46">
        <f t="shared" si="41"/>
        <v>0</v>
      </c>
      <c r="AZ846" s="46">
        <f t="shared" si="42"/>
        <v>0</v>
      </c>
    </row>
    <row r="847" spans="3:52" ht="20.100000000000001" customHeight="1">
      <c r="C847" s="102"/>
      <c r="D847" s="3"/>
      <c r="E847" s="68"/>
      <c r="F847" s="3"/>
      <c r="G847" s="3"/>
      <c r="H847" s="3"/>
      <c r="J847" s="3"/>
      <c r="K847" s="3"/>
      <c r="L847" s="4"/>
      <c r="M847" s="3"/>
      <c r="O847" s="58"/>
      <c r="Q847" s="64"/>
      <c r="R847" s="45"/>
      <c r="S847" s="45"/>
      <c r="U847" s="64"/>
      <c r="V847" s="45"/>
      <c r="W847" s="64"/>
      <c r="X847" s="64"/>
      <c r="Y847" s="45"/>
      <c r="Z847" s="45"/>
      <c r="AA847" s="105"/>
      <c r="AB847" s="105"/>
      <c r="AC847" s="105"/>
      <c r="AD847" s="64"/>
      <c r="AH847" s="64"/>
      <c r="AI847" s="45"/>
      <c r="AJ847" s="105"/>
      <c r="AK847" s="105"/>
      <c r="AL847" s="60"/>
      <c r="AM847" s="60"/>
      <c r="AN847" s="60"/>
      <c r="AO847" s="60"/>
      <c r="AP847" s="60"/>
      <c r="AQ847" s="60"/>
      <c r="AR847" s="60"/>
      <c r="AS847" s="60"/>
      <c r="AT847" s="45"/>
      <c r="AU847" s="45"/>
      <c r="AW847" s="45"/>
      <c r="AX847" s="46">
        <f t="shared" si="40"/>
        <v>0</v>
      </c>
      <c r="AY847" s="46">
        <f t="shared" si="41"/>
        <v>0</v>
      </c>
      <c r="AZ847" s="46">
        <f t="shared" si="42"/>
        <v>0</v>
      </c>
    </row>
    <row r="848" spans="3:52" ht="20.100000000000001" customHeight="1">
      <c r="C848" s="102"/>
      <c r="D848" s="3"/>
      <c r="E848" s="68"/>
      <c r="F848" s="3"/>
      <c r="G848" s="3"/>
      <c r="H848" s="3"/>
      <c r="J848" s="3"/>
      <c r="K848" s="3"/>
      <c r="L848" s="4"/>
      <c r="M848" s="3"/>
      <c r="O848" s="58"/>
      <c r="Q848" s="64"/>
      <c r="R848" s="45"/>
      <c r="S848" s="45"/>
      <c r="U848" s="64"/>
      <c r="V848" s="45"/>
      <c r="W848" s="64"/>
      <c r="X848" s="64"/>
      <c r="Y848" s="45"/>
      <c r="Z848" s="45"/>
      <c r="AA848" s="105"/>
      <c r="AB848" s="105"/>
      <c r="AC848" s="105"/>
      <c r="AD848" s="64"/>
      <c r="AH848" s="64"/>
      <c r="AI848" s="45"/>
      <c r="AJ848" s="105"/>
      <c r="AK848" s="105"/>
      <c r="AL848" s="60"/>
      <c r="AM848" s="60"/>
      <c r="AN848" s="60"/>
      <c r="AO848" s="60"/>
      <c r="AP848" s="60"/>
      <c r="AQ848" s="60"/>
      <c r="AR848" s="60"/>
      <c r="AS848" s="60"/>
      <c r="AT848" s="45"/>
      <c r="AU848" s="45"/>
      <c r="AW848" s="45"/>
      <c r="AX848" s="46">
        <f t="shared" si="40"/>
        <v>0</v>
      </c>
      <c r="AY848" s="46">
        <f t="shared" si="41"/>
        <v>0</v>
      </c>
      <c r="AZ848" s="46">
        <f t="shared" si="42"/>
        <v>0</v>
      </c>
    </row>
    <row r="849" spans="3:52" ht="20.100000000000001" customHeight="1">
      <c r="C849" s="102"/>
      <c r="D849" s="3"/>
      <c r="F849" s="3"/>
      <c r="G849" s="3"/>
      <c r="H849" s="3"/>
      <c r="J849" s="3"/>
      <c r="K849" s="3"/>
      <c r="L849" s="4"/>
      <c r="M849" s="3"/>
      <c r="O849" s="58"/>
      <c r="Q849" s="64"/>
      <c r="R849" s="45"/>
      <c r="S849" s="45"/>
      <c r="U849" s="64"/>
      <c r="V849" s="45"/>
      <c r="W849" s="64"/>
      <c r="X849" s="64"/>
      <c r="Y849" s="45"/>
      <c r="Z849" s="45"/>
      <c r="AA849" s="105"/>
      <c r="AB849" s="105"/>
      <c r="AC849" s="105"/>
      <c r="AD849" s="64"/>
      <c r="AH849" s="64"/>
      <c r="AI849" s="45"/>
      <c r="AJ849" s="105"/>
      <c r="AK849" s="105"/>
      <c r="AL849" s="60"/>
      <c r="AM849" s="60"/>
      <c r="AN849" s="60"/>
      <c r="AO849" s="60"/>
      <c r="AP849" s="60"/>
      <c r="AQ849" s="60"/>
      <c r="AR849" s="60"/>
      <c r="AS849" s="60"/>
      <c r="AT849" s="45"/>
      <c r="AU849" s="45"/>
      <c r="AW849" s="45"/>
      <c r="AX849" s="46">
        <f t="shared" si="40"/>
        <v>0</v>
      </c>
      <c r="AY849" s="46">
        <f t="shared" si="41"/>
        <v>0</v>
      </c>
      <c r="AZ849" s="46">
        <f t="shared" si="42"/>
        <v>0</v>
      </c>
    </row>
    <row r="850" spans="3:52" ht="20.100000000000001" customHeight="1">
      <c r="C850" s="102"/>
      <c r="D850" s="3"/>
      <c r="E850" s="68"/>
      <c r="F850" s="3"/>
      <c r="G850" s="3"/>
      <c r="H850" s="3"/>
      <c r="J850" s="3"/>
      <c r="K850" s="3"/>
      <c r="L850" s="4"/>
      <c r="M850" s="3"/>
      <c r="O850" s="58"/>
      <c r="Q850" s="64"/>
      <c r="R850" s="45"/>
      <c r="S850" s="45"/>
      <c r="U850" s="64"/>
      <c r="V850" s="45"/>
      <c r="W850" s="64"/>
      <c r="X850" s="64"/>
      <c r="Y850" s="45"/>
      <c r="Z850" s="45"/>
      <c r="AA850" s="105"/>
      <c r="AB850" s="105"/>
      <c r="AC850" s="105"/>
      <c r="AD850" s="64"/>
      <c r="AG850" s="45"/>
      <c r="AH850" s="64"/>
      <c r="AI850" s="45"/>
      <c r="AJ850" s="105"/>
      <c r="AK850" s="105"/>
      <c r="AL850" s="60"/>
      <c r="AM850" s="60"/>
      <c r="AN850" s="60"/>
      <c r="AO850" s="60"/>
      <c r="AP850" s="60"/>
      <c r="AQ850" s="60"/>
      <c r="AR850" s="60"/>
      <c r="AS850" s="60"/>
      <c r="AT850" s="45"/>
      <c r="AU850" s="45"/>
      <c r="AW850" s="45"/>
      <c r="AX850" s="46">
        <f t="shared" si="40"/>
        <v>0</v>
      </c>
      <c r="AY850" s="46">
        <f t="shared" si="41"/>
        <v>0</v>
      </c>
      <c r="AZ850" s="46">
        <f t="shared" si="42"/>
        <v>0</v>
      </c>
    </row>
    <row r="851" spans="3:52" ht="20.100000000000001" customHeight="1">
      <c r="C851" s="102"/>
      <c r="D851" s="3"/>
      <c r="E851" s="68"/>
      <c r="F851" s="3"/>
      <c r="G851" s="3"/>
      <c r="H851" s="3"/>
      <c r="J851" s="3"/>
      <c r="K851" s="3"/>
      <c r="L851" s="4"/>
      <c r="M851" s="3"/>
      <c r="O851" s="58"/>
      <c r="Q851" s="64"/>
      <c r="R851" s="45"/>
      <c r="S851" s="45"/>
      <c r="U851" s="64"/>
      <c r="V851" s="45"/>
      <c r="W851" s="64"/>
      <c r="X851" s="64"/>
      <c r="Y851" s="45"/>
      <c r="Z851" s="45"/>
      <c r="AA851" s="105"/>
      <c r="AB851" s="105"/>
      <c r="AC851" s="105"/>
      <c r="AD851" s="64"/>
      <c r="AG851" s="45"/>
      <c r="AH851" s="64"/>
      <c r="AI851" s="45"/>
      <c r="AJ851" s="105"/>
      <c r="AK851" s="105"/>
      <c r="AL851" s="60"/>
      <c r="AM851" s="60"/>
      <c r="AN851" s="60"/>
      <c r="AO851" s="60"/>
      <c r="AP851" s="60"/>
      <c r="AQ851" s="60"/>
      <c r="AR851" s="60"/>
      <c r="AS851" s="60"/>
      <c r="AT851" s="45"/>
      <c r="AU851" s="45"/>
      <c r="AW851" s="45"/>
      <c r="AX851" s="46">
        <f t="shared" si="40"/>
        <v>0</v>
      </c>
      <c r="AY851" s="46">
        <f t="shared" si="41"/>
        <v>0</v>
      </c>
      <c r="AZ851" s="46">
        <f t="shared" si="42"/>
        <v>0</v>
      </c>
    </row>
    <row r="852" spans="3:52" ht="20.100000000000001" customHeight="1">
      <c r="C852" s="102"/>
      <c r="D852" s="3"/>
      <c r="F852" s="3"/>
      <c r="G852" s="3"/>
      <c r="H852" s="3"/>
      <c r="J852" s="3"/>
      <c r="K852" s="3"/>
      <c r="L852" s="4"/>
      <c r="M852" s="3"/>
      <c r="O852" s="58"/>
      <c r="Q852" s="64"/>
      <c r="R852" s="45"/>
      <c r="S852" s="45"/>
      <c r="U852" s="64"/>
      <c r="V852" s="45"/>
      <c r="W852" s="64"/>
      <c r="X852" s="64"/>
      <c r="Y852" s="45"/>
      <c r="Z852" s="45"/>
      <c r="AA852" s="105"/>
      <c r="AB852" s="105"/>
      <c r="AC852" s="105"/>
      <c r="AD852" s="64"/>
      <c r="AH852" s="64"/>
      <c r="AI852" s="45"/>
      <c r="AJ852" s="105"/>
      <c r="AK852" s="105"/>
      <c r="AL852" s="60"/>
      <c r="AM852" s="60"/>
      <c r="AN852" s="60"/>
      <c r="AO852" s="60"/>
      <c r="AP852" s="60"/>
      <c r="AQ852" s="60"/>
      <c r="AR852" s="60"/>
      <c r="AS852" s="60"/>
      <c r="AT852" s="45"/>
      <c r="AU852" s="45"/>
      <c r="AW852" s="45"/>
      <c r="AX852" s="46">
        <f t="shared" si="40"/>
        <v>0</v>
      </c>
      <c r="AY852" s="46">
        <f t="shared" si="41"/>
        <v>0</v>
      </c>
      <c r="AZ852" s="46">
        <f t="shared" si="42"/>
        <v>0</v>
      </c>
    </row>
    <row r="853" spans="3:52" ht="20.100000000000001" customHeight="1">
      <c r="C853" s="102"/>
      <c r="D853" s="3"/>
      <c r="F853" s="3"/>
      <c r="G853" s="3"/>
      <c r="H853" s="3"/>
      <c r="J853" s="3"/>
      <c r="K853" s="3"/>
      <c r="L853" s="4"/>
      <c r="M853" s="3"/>
      <c r="O853" s="58"/>
      <c r="Q853" s="64"/>
      <c r="R853" s="45"/>
      <c r="S853" s="45"/>
      <c r="U853" s="64"/>
      <c r="V853" s="45"/>
      <c r="W853" s="64"/>
      <c r="X853" s="64"/>
      <c r="Y853" s="45"/>
      <c r="Z853" s="45"/>
      <c r="AA853" s="105"/>
      <c r="AB853" s="105"/>
      <c r="AC853" s="105"/>
      <c r="AD853" s="64"/>
      <c r="AG853" s="45"/>
      <c r="AH853" s="64"/>
      <c r="AI853" s="45"/>
      <c r="AJ853" s="105"/>
      <c r="AK853" s="105"/>
      <c r="AL853" s="60"/>
      <c r="AM853" s="60"/>
      <c r="AN853" s="60"/>
      <c r="AO853" s="60"/>
      <c r="AP853" s="60"/>
      <c r="AQ853" s="60"/>
      <c r="AR853" s="60"/>
      <c r="AS853" s="60"/>
      <c r="AT853" s="45"/>
      <c r="AU853" s="45"/>
      <c r="AW853" s="45"/>
      <c r="AX853" s="46">
        <f t="shared" si="40"/>
        <v>0</v>
      </c>
      <c r="AY853" s="46">
        <f t="shared" si="41"/>
        <v>0</v>
      </c>
      <c r="AZ853" s="46">
        <f t="shared" si="42"/>
        <v>0</v>
      </c>
    </row>
    <row r="854" spans="3:52" ht="20.100000000000001" customHeight="1">
      <c r="C854" s="102"/>
      <c r="D854" s="3"/>
      <c r="E854" s="68"/>
      <c r="F854" s="3"/>
      <c r="G854" s="3"/>
      <c r="H854" s="3"/>
      <c r="J854" s="3"/>
      <c r="K854" s="3"/>
      <c r="L854" s="4"/>
      <c r="M854" s="3"/>
      <c r="O854" s="58"/>
      <c r="Q854" s="64"/>
      <c r="R854" s="45"/>
      <c r="S854" s="45"/>
      <c r="U854" s="64"/>
      <c r="V854" s="45"/>
      <c r="W854" s="64"/>
      <c r="X854" s="64"/>
      <c r="Y854" s="45"/>
      <c r="Z854" s="45"/>
      <c r="AA854" s="105"/>
      <c r="AB854" s="105"/>
      <c r="AC854" s="105"/>
      <c r="AD854" s="64"/>
      <c r="AH854" s="64"/>
      <c r="AI854" s="45"/>
      <c r="AJ854" s="105"/>
      <c r="AK854" s="105"/>
      <c r="AL854" s="60"/>
      <c r="AM854" s="60"/>
      <c r="AN854" s="60"/>
      <c r="AO854" s="60"/>
      <c r="AP854" s="60"/>
      <c r="AQ854" s="60"/>
      <c r="AR854" s="60"/>
      <c r="AS854" s="60"/>
      <c r="AT854" s="45"/>
      <c r="AU854" s="45"/>
      <c r="AW854" s="45"/>
      <c r="AX854" s="46">
        <f t="shared" si="40"/>
        <v>0</v>
      </c>
      <c r="AY854" s="46">
        <f t="shared" si="41"/>
        <v>0</v>
      </c>
      <c r="AZ854" s="46">
        <f t="shared" si="42"/>
        <v>0</v>
      </c>
    </row>
    <row r="855" spans="3:52" ht="20.100000000000001" customHeight="1">
      <c r="C855" s="102"/>
      <c r="D855" s="3"/>
      <c r="F855" s="3"/>
      <c r="G855" s="3"/>
      <c r="H855" s="3"/>
      <c r="J855" s="3"/>
      <c r="K855" s="3"/>
      <c r="L855" s="4"/>
      <c r="M855" s="3"/>
      <c r="O855" s="58"/>
      <c r="Q855" s="64"/>
      <c r="R855" s="45"/>
      <c r="S855" s="45"/>
      <c r="U855" s="64"/>
      <c r="V855" s="45"/>
      <c r="W855" s="64"/>
      <c r="X855" s="64"/>
      <c r="Y855" s="45"/>
      <c r="Z855" s="45"/>
      <c r="AA855" s="105"/>
      <c r="AB855" s="105"/>
      <c r="AC855" s="105"/>
      <c r="AD855" s="64"/>
      <c r="AH855" s="64"/>
      <c r="AI855" s="45"/>
      <c r="AJ855" s="105"/>
      <c r="AK855" s="105"/>
      <c r="AL855" s="60"/>
      <c r="AM855" s="60"/>
      <c r="AN855" s="60"/>
      <c r="AO855" s="60"/>
      <c r="AP855" s="60"/>
      <c r="AQ855" s="60"/>
      <c r="AR855" s="60"/>
      <c r="AS855" s="60"/>
      <c r="AT855" s="45"/>
      <c r="AU855" s="45"/>
      <c r="AW855" s="45"/>
      <c r="AX855" s="46">
        <f t="shared" si="40"/>
        <v>0</v>
      </c>
      <c r="AY855" s="46">
        <f t="shared" si="41"/>
        <v>0</v>
      </c>
      <c r="AZ855" s="46">
        <f t="shared" si="42"/>
        <v>0</v>
      </c>
    </row>
    <row r="856" spans="3:52" ht="20.100000000000001" customHeight="1">
      <c r="C856" s="102"/>
      <c r="D856" s="3"/>
      <c r="F856" s="3"/>
      <c r="G856" s="3"/>
      <c r="H856" s="3"/>
      <c r="J856" s="3"/>
      <c r="K856" s="3"/>
      <c r="L856" s="4"/>
      <c r="M856" s="3"/>
      <c r="O856" s="58"/>
      <c r="Q856" s="64"/>
      <c r="R856" s="45"/>
      <c r="S856" s="45"/>
      <c r="U856" s="64"/>
      <c r="V856" s="45"/>
      <c r="W856" s="64"/>
      <c r="X856" s="64"/>
      <c r="Y856" s="45"/>
      <c r="Z856" s="45"/>
      <c r="AA856" s="105"/>
      <c r="AB856" s="105"/>
      <c r="AC856" s="105"/>
      <c r="AD856" s="64"/>
      <c r="AH856" s="64"/>
      <c r="AI856" s="45"/>
      <c r="AJ856" s="105"/>
      <c r="AK856" s="105"/>
      <c r="AL856" s="60"/>
      <c r="AM856" s="60"/>
      <c r="AN856" s="60"/>
      <c r="AO856" s="60"/>
      <c r="AP856" s="60"/>
      <c r="AQ856" s="60"/>
      <c r="AR856" s="60"/>
      <c r="AS856" s="60"/>
      <c r="AT856" s="45"/>
      <c r="AU856" s="45"/>
      <c r="AW856" s="45"/>
      <c r="AX856" s="46">
        <f t="shared" si="40"/>
        <v>0</v>
      </c>
      <c r="AY856" s="46">
        <f t="shared" si="41"/>
        <v>0</v>
      </c>
      <c r="AZ856" s="46">
        <f t="shared" si="42"/>
        <v>0</v>
      </c>
    </row>
    <row r="857" spans="3:52" ht="20.100000000000001" customHeight="1">
      <c r="C857" s="102"/>
      <c r="D857" s="3"/>
      <c r="F857" s="3"/>
      <c r="G857" s="3"/>
      <c r="H857" s="3"/>
      <c r="J857" s="3"/>
      <c r="K857" s="3"/>
      <c r="L857" s="4"/>
      <c r="M857" s="3"/>
      <c r="O857" s="58"/>
      <c r="Q857" s="64"/>
      <c r="R857" s="45"/>
      <c r="S857" s="45"/>
      <c r="U857" s="64"/>
      <c r="V857" s="45"/>
      <c r="W857" s="64"/>
      <c r="X857" s="64"/>
      <c r="Y857" s="45"/>
      <c r="Z857" s="45"/>
      <c r="AA857" s="105"/>
      <c r="AB857" s="105"/>
      <c r="AC857" s="105"/>
      <c r="AD857" s="64"/>
      <c r="AG857" s="45"/>
      <c r="AH857" s="64"/>
      <c r="AI857" s="45"/>
      <c r="AJ857" s="105"/>
      <c r="AK857" s="105"/>
      <c r="AL857" s="60"/>
      <c r="AM857" s="60"/>
      <c r="AN857" s="60"/>
      <c r="AO857" s="60"/>
      <c r="AP857" s="60"/>
      <c r="AQ857" s="60"/>
      <c r="AR857" s="60"/>
      <c r="AS857" s="60"/>
      <c r="AT857" s="45"/>
      <c r="AU857" s="45"/>
      <c r="AW857" s="45"/>
      <c r="AX857" s="46">
        <f t="shared" si="40"/>
        <v>0</v>
      </c>
      <c r="AY857" s="46">
        <f t="shared" si="41"/>
        <v>0</v>
      </c>
      <c r="AZ857" s="46">
        <f t="shared" si="42"/>
        <v>0</v>
      </c>
    </row>
    <row r="858" spans="3:52" ht="20.100000000000001" customHeight="1">
      <c r="C858" s="102"/>
      <c r="D858" s="3"/>
      <c r="F858" s="3"/>
      <c r="G858" s="3"/>
      <c r="H858" s="3"/>
      <c r="J858" s="3"/>
      <c r="K858" s="3"/>
      <c r="L858" s="4"/>
      <c r="M858" s="3"/>
      <c r="O858" s="58"/>
      <c r="Q858" s="64"/>
      <c r="R858" s="45"/>
      <c r="S858" s="45"/>
      <c r="U858" s="64"/>
      <c r="V858" s="45"/>
      <c r="W858" s="64"/>
      <c r="X858" s="64"/>
      <c r="Y858" s="45"/>
      <c r="Z858" s="45"/>
      <c r="AA858" s="105"/>
      <c r="AB858" s="105"/>
      <c r="AC858" s="105"/>
      <c r="AD858" s="64"/>
      <c r="AH858" s="64"/>
      <c r="AI858" s="45"/>
      <c r="AJ858" s="105"/>
      <c r="AK858" s="105"/>
      <c r="AL858" s="60"/>
      <c r="AM858" s="60"/>
      <c r="AN858" s="60"/>
      <c r="AO858" s="60"/>
      <c r="AP858" s="60"/>
      <c r="AQ858" s="60"/>
      <c r="AR858" s="60"/>
      <c r="AS858" s="60"/>
      <c r="AT858" s="45"/>
      <c r="AU858" s="45"/>
      <c r="AW858" s="45"/>
      <c r="AX858" s="46">
        <f t="shared" si="40"/>
        <v>0</v>
      </c>
      <c r="AY858" s="46">
        <f t="shared" si="41"/>
        <v>0</v>
      </c>
      <c r="AZ858" s="46">
        <f t="shared" si="42"/>
        <v>0</v>
      </c>
    </row>
    <row r="859" spans="3:52" ht="20.100000000000001" customHeight="1">
      <c r="C859" s="102"/>
      <c r="D859" s="3"/>
      <c r="F859" s="3"/>
      <c r="G859" s="3"/>
      <c r="H859" s="3"/>
      <c r="J859" s="3"/>
      <c r="K859" s="3"/>
      <c r="L859" s="4"/>
      <c r="M859" s="3"/>
      <c r="O859" s="58"/>
      <c r="Q859" s="64"/>
      <c r="R859" s="45"/>
      <c r="S859" s="45"/>
      <c r="U859" s="64"/>
      <c r="V859" s="45"/>
      <c r="W859" s="64"/>
      <c r="X859" s="64"/>
      <c r="Y859" s="45"/>
      <c r="Z859" s="45"/>
      <c r="AA859" s="105"/>
      <c r="AB859" s="105"/>
      <c r="AC859" s="105"/>
      <c r="AD859" s="64"/>
      <c r="AH859" s="64"/>
      <c r="AI859" s="45"/>
      <c r="AJ859" s="105"/>
      <c r="AK859" s="105"/>
      <c r="AL859" s="60"/>
      <c r="AM859" s="60"/>
      <c r="AN859" s="60"/>
      <c r="AO859" s="60"/>
      <c r="AP859" s="60"/>
      <c r="AQ859" s="60"/>
      <c r="AR859" s="60"/>
      <c r="AS859" s="60"/>
      <c r="AT859" s="45"/>
      <c r="AU859" s="45"/>
      <c r="AW859" s="45"/>
      <c r="AX859" s="46">
        <f t="shared" si="40"/>
        <v>0</v>
      </c>
      <c r="AY859" s="46">
        <f t="shared" si="41"/>
        <v>0</v>
      </c>
      <c r="AZ859" s="46">
        <f t="shared" si="42"/>
        <v>0</v>
      </c>
    </row>
    <row r="860" spans="3:52" ht="20.100000000000001" customHeight="1">
      <c r="C860" s="102"/>
      <c r="D860" s="3"/>
      <c r="F860" s="3"/>
      <c r="G860" s="3"/>
      <c r="H860" s="3"/>
      <c r="J860" s="3"/>
      <c r="K860" s="3"/>
      <c r="L860" s="4"/>
      <c r="M860" s="3"/>
      <c r="O860" s="58"/>
      <c r="Q860" s="64"/>
      <c r="R860" s="45"/>
      <c r="S860" s="45"/>
      <c r="U860" s="64"/>
      <c r="V860" s="45"/>
      <c r="W860" s="64"/>
      <c r="X860" s="64"/>
      <c r="Y860" s="45"/>
      <c r="Z860" s="45"/>
      <c r="AA860" s="105"/>
      <c r="AB860" s="105"/>
      <c r="AC860" s="105"/>
      <c r="AD860" s="64"/>
      <c r="AG860" s="45"/>
      <c r="AH860" s="64"/>
      <c r="AI860" s="45"/>
      <c r="AJ860" s="105"/>
      <c r="AK860" s="105"/>
      <c r="AL860" s="60"/>
      <c r="AM860" s="60"/>
      <c r="AN860" s="60"/>
      <c r="AO860" s="60"/>
      <c r="AP860" s="60"/>
      <c r="AQ860" s="60"/>
      <c r="AR860" s="60"/>
      <c r="AS860" s="60"/>
      <c r="AT860" s="45"/>
      <c r="AU860" s="45"/>
      <c r="AW860" s="45"/>
      <c r="AX860" s="46">
        <f t="shared" si="40"/>
        <v>0</v>
      </c>
      <c r="AY860" s="46">
        <f t="shared" si="41"/>
        <v>0</v>
      </c>
      <c r="AZ860" s="46">
        <f t="shared" si="42"/>
        <v>0</v>
      </c>
    </row>
    <row r="861" spans="3:52" ht="20.100000000000001" customHeight="1">
      <c r="C861" s="102"/>
      <c r="D861" s="3"/>
      <c r="F861" s="3"/>
      <c r="G861" s="3"/>
      <c r="H861" s="3"/>
      <c r="J861" s="3"/>
      <c r="K861" s="3"/>
      <c r="L861" s="4"/>
      <c r="M861" s="3"/>
      <c r="O861" s="58"/>
      <c r="Q861" s="64"/>
      <c r="R861" s="45"/>
      <c r="S861" s="45"/>
      <c r="U861" s="64"/>
      <c r="V861" s="45"/>
      <c r="W861" s="64"/>
      <c r="X861" s="64"/>
      <c r="Y861" s="45"/>
      <c r="Z861" s="45"/>
      <c r="AA861" s="105"/>
      <c r="AB861" s="105"/>
      <c r="AC861" s="105"/>
      <c r="AD861" s="64"/>
      <c r="AH861" s="64"/>
      <c r="AI861" s="45"/>
      <c r="AJ861" s="105"/>
      <c r="AK861" s="105"/>
      <c r="AL861" s="60"/>
      <c r="AM861" s="60"/>
      <c r="AN861" s="60"/>
      <c r="AO861" s="60"/>
      <c r="AP861" s="60"/>
      <c r="AQ861" s="60"/>
      <c r="AR861" s="60"/>
      <c r="AS861" s="60"/>
      <c r="AT861" s="45"/>
      <c r="AU861" s="45"/>
      <c r="AW861" s="45"/>
      <c r="AX861" s="46">
        <f t="shared" si="40"/>
        <v>0</v>
      </c>
      <c r="AY861" s="46">
        <f t="shared" si="41"/>
        <v>0</v>
      </c>
      <c r="AZ861" s="46">
        <f t="shared" si="42"/>
        <v>0</v>
      </c>
    </row>
    <row r="862" spans="3:52" ht="20.100000000000001" customHeight="1">
      <c r="C862" s="102"/>
      <c r="D862" s="3"/>
      <c r="F862" s="3"/>
      <c r="G862" s="3"/>
      <c r="H862" s="3"/>
      <c r="J862" s="3"/>
      <c r="K862" s="3"/>
      <c r="L862" s="4"/>
      <c r="M862" s="3"/>
      <c r="O862" s="58"/>
      <c r="Q862" s="64"/>
      <c r="R862" s="45"/>
      <c r="S862" s="45"/>
      <c r="U862" s="64"/>
      <c r="V862" s="45"/>
      <c r="W862" s="64"/>
      <c r="X862" s="64"/>
      <c r="Y862" s="45"/>
      <c r="Z862" s="45"/>
      <c r="AA862" s="105"/>
      <c r="AB862" s="105"/>
      <c r="AC862" s="105"/>
      <c r="AD862" s="64"/>
      <c r="AG862" s="45"/>
      <c r="AH862" s="64"/>
      <c r="AI862" s="45"/>
      <c r="AJ862" s="105"/>
      <c r="AK862" s="105"/>
      <c r="AL862" s="60"/>
      <c r="AM862" s="60"/>
      <c r="AN862" s="60"/>
      <c r="AO862" s="60"/>
      <c r="AP862" s="60"/>
      <c r="AQ862" s="60"/>
      <c r="AR862" s="60"/>
      <c r="AS862" s="60"/>
      <c r="AT862" s="45"/>
      <c r="AU862" s="45"/>
      <c r="AW862" s="45"/>
      <c r="AX862" s="46">
        <f t="shared" si="40"/>
        <v>0</v>
      </c>
      <c r="AY862" s="46">
        <f t="shared" si="41"/>
        <v>0</v>
      </c>
      <c r="AZ862" s="46">
        <f t="shared" si="42"/>
        <v>0</v>
      </c>
    </row>
    <row r="863" spans="3:52" ht="20.100000000000001" customHeight="1">
      <c r="C863" s="102"/>
      <c r="D863" s="3"/>
      <c r="F863" s="3"/>
      <c r="G863" s="3"/>
      <c r="H863" s="3"/>
      <c r="J863" s="3"/>
      <c r="K863" s="3"/>
      <c r="L863" s="4"/>
      <c r="M863" s="3"/>
      <c r="O863" s="58"/>
      <c r="Q863" s="64"/>
      <c r="R863" s="45"/>
      <c r="S863" s="45"/>
      <c r="U863" s="64"/>
      <c r="V863" s="45"/>
      <c r="W863" s="64"/>
      <c r="X863" s="64"/>
      <c r="Y863" s="45"/>
      <c r="Z863" s="45"/>
      <c r="AA863" s="105"/>
      <c r="AB863" s="105"/>
      <c r="AC863" s="105"/>
      <c r="AD863" s="64"/>
      <c r="AH863" s="64"/>
      <c r="AI863" s="45"/>
      <c r="AJ863" s="105"/>
      <c r="AK863" s="105"/>
      <c r="AL863" s="60"/>
      <c r="AM863" s="60"/>
      <c r="AN863" s="60"/>
      <c r="AO863" s="60"/>
      <c r="AP863" s="60"/>
      <c r="AQ863" s="60"/>
      <c r="AR863" s="60"/>
      <c r="AS863" s="60"/>
      <c r="AT863" s="45"/>
      <c r="AU863" s="45"/>
      <c r="AW863" s="45"/>
      <c r="AX863" s="46">
        <f t="shared" si="40"/>
        <v>0</v>
      </c>
      <c r="AY863" s="46">
        <f t="shared" si="41"/>
        <v>0</v>
      </c>
      <c r="AZ863" s="46">
        <f t="shared" si="42"/>
        <v>0</v>
      </c>
    </row>
    <row r="864" spans="3:52" ht="20.100000000000001" customHeight="1">
      <c r="C864" s="102"/>
      <c r="D864" s="3"/>
      <c r="F864" s="3"/>
      <c r="G864" s="3"/>
      <c r="H864" s="3"/>
      <c r="J864" s="3"/>
      <c r="K864" s="3"/>
      <c r="L864" s="4"/>
      <c r="M864" s="3"/>
      <c r="O864" s="58"/>
      <c r="Q864" s="64"/>
      <c r="R864" s="45"/>
      <c r="S864" s="45"/>
      <c r="U864" s="64"/>
      <c r="V864" s="45"/>
      <c r="W864" s="64"/>
      <c r="X864" s="64"/>
      <c r="Y864" s="45"/>
      <c r="Z864" s="45"/>
      <c r="AA864" s="105"/>
      <c r="AB864" s="105"/>
      <c r="AC864" s="105"/>
      <c r="AD864" s="64"/>
      <c r="AG864" s="45"/>
      <c r="AH864" s="64"/>
      <c r="AI864" s="45"/>
      <c r="AJ864" s="105"/>
      <c r="AK864" s="105"/>
      <c r="AL864" s="60"/>
      <c r="AM864" s="60"/>
      <c r="AN864" s="60"/>
      <c r="AO864" s="60"/>
      <c r="AP864" s="60"/>
      <c r="AQ864" s="60"/>
      <c r="AR864" s="60"/>
      <c r="AS864" s="60"/>
      <c r="AT864" s="45"/>
      <c r="AU864" s="45"/>
      <c r="AW864" s="45"/>
      <c r="AX864" s="46">
        <f t="shared" si="40"/>
        <v>0</v>
      </c>
      <c r="AY864" s="46">
        <f t="shared" si="41"/>
        <v>0</v>
      </c>
      <c r="AZ864" s="46">
        <f t="shared" si="42"/>
        <v>0</v>
      </c>
    </row>
    <row r="865" spans="3:52" ht="20.100000000000001" customHeight="1">
      <c r="C865" s="102"/>
      <c r="D865" s="3"/>
      <c r="F865" s="3"/>
      <c r="G865" s="3"/>
      <c r="H865" s="3"/>
      <c r="J865" s="3"/>
      <c r="K865" s="3"/>
      <c r="L865" s="4"/>
      <c r="M865" s="3"/>
      <c r="O865" s="58"/>
      <c r="Q865" s="64"/>
      <c r="R865" s="45"/>
      <c r="S865" s="45"/>
      <c r="U865" s="64"/>
      <c r="V865" s="45"/>
      <c r="W865" s="64"/>
      <c r="X865" s="64"/>
      <c r="Y865" s="45"/>
      <c r="Z865" s="45"/>
      <c r="AA865" s="105"/>
      <c r="AB865" s="105"/>
      <c r="AC865" s="105"/>
      <c r="AD865" s="64"/>
      <c r="AH865" s="64"/>
      <c r="AI865" s="45"/>
      <c r="AJ865" s="105"/>
      <c r="AK865" s="105"/>
      <c r="AL865" s="60"/>
      <c r="AM865" s="60"/>
      <c r="AN865" s="60"/>
      <c r="AO865" s="60"/>
      <c r="AP865" s="60"/>
      <c r="AQ865" s="60"/>
      <c r="AR865" s="60"/>
      <c r="AS865" s="60"/>
      <c r="AT865" s="45"/>
      <c r="AU865" s="45"/>
      <c r="AW865" s="45"/>
      <c r="AX865" s="46">
        <f t="shared" si="40"/>
        <v>0</v>
      </c>
      <c r="AY865" s="46">
        <f t="shared" si="41"/>
        <v>0</v>
      </c>
      <c r="AZ865" s="46">
        <f t="shared" si="42"/>
        <v>0</v>
      </c>
    </row>
    <row r="866" spans="3:52" ht="20.100000000000001" customHeight="1">
      <c r="C866" s="102"/>
      <c r="D866" s="3"/>
      <c r="F866" s="3"/>
      <c r="G866" s="3"/>
      <c r="H866" s="3"/>
      <c r="J866" s="3"/>
      <c r="K866" s="3"/>
      <c r="L866" s="4"/>
      <c r="M866" s="3"/>
      <c r="O866" s="58"/>
      <c r="Q866" s="64"/>
      <c r="R866" s="45"/>
      <c r="S866" s="45"/>
      <c r="U866" s="64"/>
      <c r="V866" s="45"/>
      <c r="W866" s="64"/>
      <c r="X866" s="64"/>
      <c r="Y866" s="45"/>
      <c r="Z866" s="45"/>
      <c r="AA866" s="105"/>
      <c r="AB866" s="105"/>
      <c r="AC866" s="105"/>
      <c r="AD866" s="64"/>
      <c r="AG866" s="45"/>
      <c r="AH866" s="64"/>
      <c r="AI866" s="45"/>
      <c r="AJ866" s="105"/>
      <c r="AK866" s="105"/>
      <c r="AL866" s="60"/>
      <c r="AM866" s="60"/>
      <c r="AN866" s="60"/>
      <c r="AO866" s="60"/>
      <c r="AP866" s="60"/>
      <c r="AQ866" s="60"/>
      <c r="AR866" s="60"/>
      <c r="AS866" s="60"/>
      <c r="AT866" s="45"/>
      <c r="AU866" s="45"/>
      <c r="AW866" s="45"/>
      <c r="AX866" s="46">
        <f t="shared" si="40"/>
        <v>0</v>
      </c>
      <c r="AY866" s="46">
        <f t="shared" si="41"/>
        <v>0</v>
      </c>
      <c r="AZ866" s="46">
        <f t="shared" si="42"/>
        <v>0</v>
      </c>
    </row>
    <row r="867" spans="3:52" ht="20.100000000000001" customHeight="1">
      <c r="C867" s="102"/>
      <c r="D867" s="3"/>
      <c r="F867" s="3"/>
      <c r="G867" s="3"/>
      <c r="H867" s="3"/>
      <c r="J867" s="3"/>
      <c r="K867" s="3"/>
      <c r="L867" s="4"/>
      <c r="M867" s="3"/>
      <c r="O867" s="58"/>
      <c r="Q867" s="64"/>
      <c r="R867" s="45"/>
      <c r="S867" s="45"/>
      <c r="U867" s="64"/>
      <c r="V867" s="45"/>
      <c r="W867" s="64"/>
      <c r="X867" s="64"/>
      <c r="Y867" s="45"/>
      <c r="Z867" s="45"/>
      <c r="AA867" s="105"/>
      <c r="AB867" s="105"/>
      <c r="AC867" s="105"/>
      <c r="AD867" s="64"/>
      <c r="AG867" s="45"/>
      <c r="AH867" s="64"/>
      <c r="AI867" s="45"/>
      <c r="AJ867" s="105"/>
      <c r="AK867" s="105"/>
      <c r="AL867" s="60"/>
      <c r="AM867" s="60"/>
      <c r="AN867" s="60"/>
      <c r="AO867" s="60"/>
      <c r="AP867" s="60"/>
      <c r="AQ867" s="60"/>
      <c r="AR867" s="60"/>
      <c r="AS867" s="60"/>
      <c r="AT867" s="45"/>
      <c r="AU867" s="45"/>
      <c r="AW867" s="45"/>
      <c r="AX867" s="46">
        <f t="shared" si="40"/>
        <v>0</v>
      </c>
      <c r="AY867" s="46">
        <f t="shared" si="41"/>
        <v>0</v>
      </c>
      <c r="AZ867" s="46">
        <f t="shared" si="42"/>
        <v>0</v>
      </c>
    </row>
    <row r="868" spans="3:52" ht="20.100000000000001" customHeight="1">
      <c r="C868" s="102"/>
      <c r="D868" s="3"/>
      <c r="F868" s="3"/>
      <c r="G868" s="3"/>
      <c r="H868" s="3"/>
      <c r="J868" s="3"/>
      <c r="K868" s="3"/>
      <c r="L868" s="4"/>
      <c r="M868" s="3"/>
      <c r="O868" s="58"/>
      <c r="Q868" s="64"/>
      <c r="R868" s="45"/>
      <c r="S868" s="45"/>
      <c r="U868" s="64"/>
      <c r="V868" s="45"/>
      <c r="W868" s="64"/>
      <c r="X868" s="64"/>
      <c r="Y868" s="45"/>
      <c r="Z868" s="45"/>
      <c r="AA868" s="105"/>
      <c r="AB868" s="105"/>
      <c r="AC868" s="105"/>
      <c r="AD868" s="64"/>
      <c r="AG868" s="45"/>
      <c r="AH868" s="64"/>
      <c r="AI868" s="45"/>
      <c r="AJ868" s="105"/>
      <c r="AK868" s="105"/>
      <c r="AL868" s="60"/>
      <c r="AM868" s="60"/>
      <c r="AN868" s="60"/>
      <c r="AO868" s="60"/>
      <c r="AP868" s="60"/>
      <c r="AQ868" s="60"/>
      <c r="AR868" s="60"/>
      <c r="AS868" s="60"/>
      <c r="AT868" s="45"/>
      <c r="AU868" s="45"/>
      <c r="AW868" s="45"/>
      <c r="AX868" s="46">
        <f t="shared" si="40"/>
        <v>0</v>
      </c>
      <c r="AY868" s="46">
        <f t="shared" si="41"/>
        <v>0</v>
      </c>
      <c r="AZ868" s="46">
        <f t="shared" si="42"/>
        <v>0</v>
      </c>
    </row>
    <row r="869" spans="3:52" ht="20.100000000000001" customHeight="1">
      <c r="C869" s="102"/>
      <c r="D869" s="3"/>
      <c r="F869" s="3"/>
      <c r="G869" s="3"/>
      <c r="H869" s="3"/>
      <c r="J869" s="3"/>
      <c r="K869" s="3"/>
      <c r="L869" s="4"/>
      <c r="M869" s="3"/>
      <c r="O869" s="58"/>
      <c r="Q869" s="64"/>
      <c r="R869" s="45"/>
      <c r="S869" s="45"/>
      <c r="U869" s="64"/>
      <c r="V869" s="45"/>
      <c r="W869" s="64"/>
      <c r="X869" s="64"/>
      <c r="Y869" s="45"/>
      <c r="Z869" s="45"/>
      <c r="AA869" s="105"/>
      <c r="AB869" s="105"/>
      <c r="AC869" s="105"/>
      <c r="AD869" s="64"/>
      <c r="AG869" s="45"/>
      <c r="AH869" s="64"/>
      <c r="AI869" s="45"/>
      <c r="AJ869" s="105"/>
      <c r="AK869" s="105"/>
      <c r="AL869" s="60"/>
      <c r="AM869" s="60"/>
      <c r="AN869" s="60"/>
      <c r="AO869" s="60"/>
      <c r="AP869" s="60"/>
      <c r="AQ869" s="60"/>
      <c r="AR869" s="60"/>
      <c r="AS869" s="60"/>
      <c r="AT869" s="45"/>
      <c r="AU869" s="45"/>
      <c r="AW869" s="45"/>
      <c r="AX869" s="46">
        <f t="shared" si="40"/>
        <v>0</v>
      </c>
      <c r="AY869" s="46">
        <f t="shared" si="41"/>
        <v>0</v>
      </c>
      <c r="AZ869" s="46">
        <f t="shared" si="42"/>
        <v>0</v>
      </c>
    </row>
    <row r="870" spans="3:52" ht="20.100000000000001" customHeight="1">
      <c r="C870" s="102"/>
      <c r="D870" s="3"/>
      <c r="F870" s="3"/>
      <c r="G870" s="3"/>
      <c r="H870" s="3"/>
      <c r="J870" s="3"/>
      <c r="K870" s="3"/>
      <c r="L870" s="4"/>
      <c r="M870" s="3"/>
      <c r="O870" s="58"/>
      <c r="Q870" s="64"/>
      <c r="R870" s="45"/>
      <c r="S870" s="45"/>
      <c r="U870" s="64"/>
      <c r="V870" s="45"/>
      <c r="W870" s="64"/>
      <c r="X870" s="64"/>
      <c r="Y870" s="45"/>
      <c r="Z870" s="45"/>
      <c r="AA870" s="105"/>
      <c r="AB870" s="105"/>
      <c r="AC870" s="105"/>
      <c r="AD870" s="64"/>
      <c r="AG870" s="45"/>
      <c r="AH870" s="64"/>
      <c r="AI870" s="45"/>
      <c r="AJ870" s="105"/>
      <c r="AK870" s="105"/>
      <c r="AL870" s="60"/>
      <c r="AM870" s="60"/>
      <c r="AN870" s="60"/>
      <c r="AO870" s="60"/>
      <c r="AP870" s="60"/>
      <c r="AQ870" s="60"/>
      <c r="AR870" s="60"/>
      <c r="AS870" s="60"/>
      <c r="AT870" s="45"/>
      <c r="AU870" s="45"/>
      <c r="AW870" s="45"/>
      <c r="AX870" s="46">
        <f t="shared" si="40"/>
        <v>0</v>
      </c>
      <c r="AY870" s="46">
        <f t="shared" si="41"/>
        <v>0</v>
      </c>
      <c r="AZ870" s="46">
        <f t="shared" si="42"/>
        <v>0</v>
      </c>
    </row>
    <row r="871" spans="3:52" ht="20.100000000000001" customHeight="1">
      <c r="C871" s="102"/>
      <c r="D871" s="3"/>
      <c r="F871" s="3"/>
      <c r="G871" s="3"/>
      <c r="H871" s="3"/>
      <c r="J871" s="3"/>
      <c r="K871" s="3"/>
      <c r="L871" s="4"/>
      <c r="M871" s="3"/>
      <c r="O871" s="58"/>
      <c r="Q871" s="64"/>
      <c r="R871" s="45"/>
      <c r="S871" s="45"/>
      <c r="U871" s="64"/>
      <c r="V871" s="45"/>
      <c r="W871" s="64"/>
      <c r="X871" s="64"/>
      <c r="Y871" s="45"/>
      <c r="Z871" s="45"/>
      <c r="AA871" s="105"/>
      <c r="AB871" s="105"/>
      <c r="AC871" s="105"/>
      <c r="AD871" s="64"/>
      <c r="AH871" s="64"/>
      <c r="AI871" s="45"/>
      <c r="AJ871" s="105"/>
      <c r="AK871" s="105"/>
      <c r="AL871" s="60"/>
      <c r="AM871" s="60"/>
      <c r="AN871" s="60"/>
      <c r="AO871" s="60"/>
      <c r="AP871" s="60"/>
      <c r="AQ871" s="60"/>
      <c r="AR871" s="60"/>
      <c r="AS871" s="60"/>
      <c r="AT871" s="45"/>
      <c r="AU871" s="45"/>
      <c r="AW871" s="45"/>
      <c r="AX871" s="46">
        <f t="shared" si="40"/>
        <v>0</v>
      </c>
      <c r="AY871" s="46">
        <f t="shared" si="41"/>
        <v>0</v>
      </c>
      <c r="AZ871" s="46">
        <f t="shared" si="42"/>
        <v>0</v>
      </c>
    </row>
    <row r="872" spans="3:52" ht="20.100000000000001" customHeight="1">
      <c r="C872" s="102"/>
      <c r="D872" s="3"/>
      <c r="F872" s="3"/>
      <c r="G872" s="3"/>
      <c r="H872" s="3"/>
      <c r="J872" s="3"/>
      <c r="K872" s="3"/>
      <c r="L872" s="4"/>
      <c r="M872" s="3"/>
      <c r="O872" s="58"/>
      <c r="Q872" s="64"/>
      <c r="R872" s="45"/>
      <c r="S872" s="45"/>
      <c r="U872" s="64"/>
      <c r="V872" s="45"/>
      <c r="W872" s="64"/>
      <c r="X872" s="64"/>
      <c r="Y872" s="45"/>
      <c r="Z872" s="45"/>
      <c r="AA872" s="105"/>
      <c r="AB872" s="105"/>
      <c r="AC872" s="105"/>
      <c r="AD872" s="64"/>
      <c r="AH872" s="64"/>
      <c r="AI872" s="45"/>
      <c r="AJ872" s="105"/>
      <c r="AK872" s="105"/>
      <c r="AL872" s="60"/>
      <c r="AM872" s="60"/>
      <c r="AN872" s="60"/>
      <c r="AO872" s="60"/>
      <c r="AP872" s="60"/>
      <c r="AQ872" s="60"/>
      <c r="AR872" s="60"/>
      <c r="AS872" s="60"/>
      <c r="AT872" s="45"/>
      <c r="AU872" s="45"/>
      <c r="AW872" s="45"/>
      <c r="AX872" s="46">
        <f t="shared" si="40"/>
        <v>0</v>
      </c>
      <c r="AY872" s="46">
        <f t="shared" si="41"/>
        <v>0</v>
      </c>
      <c r="AZ872" s="46">
        <f t="shared" si="42"/>
        <v>0</v>
      </c>
    </row>
    <row r="873" spans="3:52" ht="20.100000000000001" customHeight="1">
      <c r="C873" s="102"/>
      <c r="D873" s="3"/>
      <c r="F873" s="3"/>
      <c r="G873" s="3"/>
      <c r="H873" s="3"/>
      <c r="J873" s="3"/>
      <c r="K873" s="3"/>
      <c r="L873" s="4"/>
      <c r="M873" s="3"/>
      <c r="O873" s="58"/>
      <c r="Q873" s="64"/>
      <c r="R873" s="45"/>
      <c r="S873" s="45"/>
      <c r="U873" s="64"/>
      <c r="V873" s="45"/>
      <c r="W873" s="64"/>
      <c r="X873" s="64"/>
      <c r="Y873" s="45"/>
      <c r="Z873" s="45"/>
      <c r="AA873" s="105"/>
      <c r="AB873" s="105"/>
      <c r="AC873" s="105"/>
      <c r="AD873" s="64"/>
      <c r="AH873" s="64"/>
      <c r="AI873" s="45"/>
      <c r="AJ873" s="105"/>
      <c r="AK873" s="105"/>
      <c r="AL873" s="60"/>
      <c r="AM873" s="60"/>
      <c r="AN873" s="60"/>
      <c r="AO873" s="60"/>
      <c r="AP873" s="60"/>
      <c r="AQ873" s="60"/>
      <c r="AR873" s="60"/>
      <c r="AS873" s="60"/>
      <c r="AT873" s="45"/>
      <c r="AU873" s="45"/>
      <c r="AW873" s="45"/>
      <c r="AX873" s="46">
        <f t="shared" si="40"/>
        <v>0</v>
      </c>
      <c r="AY873" s="46">
        <f t="shared" si="41"/>
        <v>0</v>
      </c>
      <c r="AZ873" s="46">
        <f t="shared" si="42"/>
        <v>0</v>
      </c>
    </row>
    <row r="874" spans="3:52" ht="20.100000000000001" customHeight="1">
      <c r="C874" s="102"/>
      <c r="D874" s="3"/>
      <c r="F874" s="3"/>
      <c r="G874" s="3"/>
      <c r="H874" s="3"/>
      <c r="J874" s="3"/>
      <c r="K874" s="3"/>
      <c r="L874" s="4"/>
      <c r="M874" s="3"/>
      <c r="O874" s="58"/>
      <c r="Q874" s="64"/>
      <c r="R874" s="45"/>
      <c r="S874" s="45"/>
      <c r="U874" s="64"/>
      <c r="V874" s="45"/>
      <c r="W874" s="64"/>
      <c r="X874" s="64"/>
      <c r="Y874" s="45"/>
      <c r="Z874" s="45"/>
      <c r="AA874" s="105"/>
      <c r="AB874" s="105"/>
      <c r="AC874" s="105"/>
      <c r="AD874" s="64"/>
      <c r="AH874" s="64"/>
      <c r="AI874" s="45"/>
      <c r="AJ874" s="105"/>
      <c r="AK874" s="105"/>
      <c r="AL874" s="60"/>
      <c r="AM874" s="60"/>
      <c r="AN874" s="60"/>
      <c r="AO874" s="60"/>
      <c r="AP874" s="60"/>
      <c r="AQ874" s="60"/>
      <c r="AR874" s="60"/>
      <c r="AS874" s="60"/>
      <c r="AT874" s="45"/>
      <c r="AU874" s="45"/>
      <c r="AW874" s="45"/>
      <c r="AX874" s="46">
        <f t="shared" si="40"/>
        <v>0</v>
      </c>
      <c r="AY874" s="46">
        <f t="shared" si="41"/>
        <v>0</v>
      </c>
      <c r="AZ874" s="46">
        <f t="shared" si="42"/>
        <v>0</v>
      </c>
    </row>
    <row r="875" spans="3:52" ht="20.100000000000001" customHeight="1">
      <c r="C875" s="102"/>
      <c r="D875" s="3"/>
      <c r="F875" s="3"/>
      <c r="G875" s="3"/>
      <c r="H875" s="3"/>
      <c r="J875" s="3"/>
      <c r="K875" s="3"/>
      <c r="L875" s="4"/>
      <c r="M875" s="3"/>
      <c r="O875" s="58"/>
      <c r="Q875" s="64"/>
      <c r="R875" s="45"/>
      <c r="S875" s="45"/>
      <c r="U875" s="64"/>
      <c r="V875" s="45"/>
      <c r="W875" s="64"/>
      <c r="X875" s="64"/>
      <c r="Y875" s="45"/>
      <c r="Z875" s="45"/>
      <c r="AA875" s="105"/>
      <c r="AB875" s="105"/>
      <c r="AC875" s="105"/>
      <c r="AD875" s="64"/>
      <c r="AG875" s="45"/>
      <c r="AH875" s="64"/>
      <c r="AI875" s="45"/>
      <c r="AJ875" s="105"/>
      <c r="AK875" s="105"/>
      <c r="AL875" s="60"/>
      <c r="AM875" s="60"/>
      <c r="AN875" s="60"/>
      <c r="AO875" s="60"/>
      <c r="AP875" s="60"/>
      <c r="AQ875" s="60"/>
      <c r="AR875" s="60"/>
      <c r="AS875" s="60"/>
      <c r="AT875" s="45"/>
      <c r="AU875" s="45"/>
      <c r="AW875" s="45"/>
      <c r="AX875" s="46">
        <f t="shared" si="40"/>
        <v>0</v>
      </c>
      <c r="AY875" s="46">
        <f t="shared" si="41"/>
        <v>0</v>
      </c>
      <c r="AZ875" s="46">
        <f t="shared" si="42"/>
        <v>0</v>
      </c>
    </row>
    <row r="876" spans="3:52" ht="20.100000000000001" customHeight="1">
      <c r="C876" s="102"/>
      <c r="D876" s="3"/>
      <c r="F876" s="3"/>
      <c r="G876" s="3"/>
      <c r="H876" s="3"/>
      <c r="J876" s="3"/>
      <c r="K876" s="3"/>
      <c r="L876" s="4"/>
      <c r="M876" s="3"/>
      <c r="O876" s="58"/>
      <c r="Q876" s="64"/>
      <c r="R876" s="45"/>
      <c r="S876" s="45"/>
      <c r="U876" s="64"/>
      <c r="V876" s="45"/>
      <c r="W876" s="64"/>
      <c r="X876" s="64"/>
      <c r="Y876" s="45"/>
      <c r="Z876" s="45"/>
      <c r="AA876" s="105"/>
      <c r="AB876" s="105"/>
      <c r="AC876" s="105"/>
      <c r="AD876" s="64"/>
      <c r="AH876" s="64"/>
      <c r="AI876" s="45"/>
      <c r="AJ876" s="105"/>
      <c r="AK876" s="105"/>
      <c r="AL876" s="60"/>
      <c r="AM876" s="60"/>
      <c r="AN876" s="60"/>
      <c r="AO876" s="60"/>
      <c r="AP876" s="60"/>
      <c r="AQ876" s="60"/>
      <c r="AR876" s="60"/>
      <c r="AS876" s="60"/>
      <c r="AT876" s="45"/>
      <c r="AU876" s="45"/>
      <c r="AW876" s="45"/>
      <c r="AX876" s="46">
        <f t="shared" si="40"/>
        <v>0</v>
      </c>
      <c r="AY876" s="46">
        <f t="shared" si="41"/>
        <v>0</v>
      </c>
      <c r="AZ876" s="46">
        <f t="shared" si="42"/>
        <v>0</v>
      </c>
    </row>
    <row r="877" spans="3:52" ht="20.100000000000001" customHeight="1">
      <c r="C877" s="102"/>
      <c r="D877" s="3"/>
      <c r="F877" s="3"/>
      <c r="G877" s="3"/>
      <c r="H877" s="3"/>
      <c r="J877" s="3"/>
      <c r="K877" s="3"/>
      <c r="L877" s="4"/>
      <c r="M877" s="3"/>
      <c r="O877" s="58"/>
      <c r="Q877" s="64"/>
      <c r="R877" s="45"/>
      <c r="S877" s="45"/>
      <c r="U877" s="64"/>
      <c r="V877" s="45"/>
      <c r="W877" s="64"/>
      <c r="X877" s="64"/>
      <c r="Y877" s="45"/>
      <c r="Z877" s="45"/>
      <c r="AA877" s="105"/>
      <c r="AB877" s="105"/>
      <c r="AC877" s="105"/>
      <c r="AD877" s="64"/>
      <c r="AG877" s="45"/>
      <c r="AH877" s="64"/>
      <c r="AI877" s="45"/>
      <c r="AJ877" s="105"/>
      <c r="AK877" s="105"/>
      <c r="AL877" s="60"/>
      <c r="AM877" s="60"/>
      <c r="AN877" s="60"/>
      <c r="AO877" s="60"/>
      <c r="AP877" s="60"/>
      <c r="AQ877" s="60"/>
      <c r="AR877" s="60"/>
      <c r="AS877" s="60"/>
      <c r="AT877" s="45"/>
      <c r="AU877" s="45"/>
      <c r="AW877" s="45"/>
      <c r="AX877" s="46">
        <f t="shared" si="40"/>
        <v>0</v>
      </c>
      <c r="AY877" s="46">
        <f t="shared" si="41"/>
        <v>0</v>
      </c>
      <c r="AZ877" s="46">
        <f t="shared" si="42"/>
        <v>0</v>
      </c>
    </row>
    <row r="878" spans="3:52" ht="20.100000000000001" customHeight="1">
      <c r="C878" s="102"/>
      <c r="D878" s="3"/>
      <c r="F878" s="3"/>
      <c r="G878" s="3"/>
      <c r="H878" s="3"/>
      <c r="J878" s="3"/>
      <c r="K878" s="3"/>
      <c r="L878" s="4"/>
      <c r="M878" s="3"/>
      <c r="O878" s="58"/>
      <c r="Q878" s="64"/>
      <c r="R878" s="45"/>
      <c r="S878" s="45"/>
      <c r="U878" s="64"/>
      <c r="V878" s="45"/>
      <c r="W878" s="64"/>
      <c r="X878" s="64"/>
      <c r="Y878" s="45"/>
      <c r="Z878" s="45"/>
      <c r="AA878" s="105"/>
      <c r="AB878" s="105"/>
      <c r="AC878" s="105"/>
      <c r="AD878" s="64"/>
      <c r="AG878" s="45"/>
      <c r="AH878" s="64"/>
      <c r="AI878" s="45"/>
      <c r="AJ878" s="105"/>
      <c r="AK878" s="105"/>
      <c r="AL878" s="60"/>
      <c r="AM878" s="60"/>
      <c r="AN878" s="60"/>
      <c r="AO878" s="60"/>
      <c r="AP878" s="60"/>
      <c r="AQ878" s="60"/>
      <c r="AR878" s="60"/>
      <c r="AS878" s="60"/>
      <c r="AT878" s="45"/>
      <c r="AU878" s="45"/>
      <c r="AW878" s="45"/>
      <c r="AX878" s="46">
        <f t="shared" si="40"/>
        <v>0</v>
      </c>
      <c r="AY878" s="46">
        <f t="shared" si="41"/>
        <v>0</v>
      </c>
      <c r="AZ878" s="46">
        <f t="shared" si="42"/>
        <v>0</v>
      </c>
    </row>
    <row r="879" spans="3:52" ht="20.100000000000001" customHeight="1">
      <c r="C879" s="102"/>
      <c r="D879" s="3"/>
      <c r="F879" s="3"/>
      <c r="G879" s="3"/>
      <c r="H879" s="3"/>
      <c r="J879" s="3"/>
      <c r="K879" s="3"/>
      <c r="L879" s="4"/>
      <c r="M879" s="3"/>
      <c r="O879" s="58"/>
      <c r="Q879" s="64"/>
      <c r="R879" s="45"/>
      <c r="S879" s="45"/>
      <c r="U879" s="64"/>
      <c r="V879" s="45"/>
      <c r="W879" s="64"/>
      <c r="X879" s="64"/>
      <c r="Y879" s="45"/>
      <c r="Z879" s="45"/>
      <c r="AA879" s="105"/>
      <c r="AB879" s="105"/>
      <c r="AC879" s="105"/>
      <c r="AD879" s="64"/>
      <c r="AH879" s="64"/>
      <c r="AI879" s="45"/>
      <c r="AJ879" s="105"/>
      <c r="AK879" s="105"/>
      <c r="AL879" s="60"/>
      <c r="AM879" s="60"/>
      <c r="AN879" s="60"/>
      <c r="AO879" s="60"/>
      <c r="AP879" s="60"/>
      <c r="AQ879" s="60"/>
      <c r="AR879" s="60"/>
      <c r="AS879" s="60"/>
      <c r="AT879" s="45"/>
      <c r="AU879" s="45"/>
      <c r="AW879" s="45"/>
      <c r="AX879" s="46">
        <f t="shared" si="40"/>
        <v>0</v>
      </c>
      <c r="AY879" s="46">
        <f t="shared" si="41"/>
        <v>0</v>
      </c>
      <c r="AZ879" s="46">
        <f t="shared" si="42"/>
        <v>0</v>
      </c>
    </row>
    <row r="880" spans="3:52" ht="20.100000000000001" customHeight="1">
      <c r="C880" s="102"/>
      <c r="D880" s="3"/>
      <c r="F880" s="3"/>
      <c r="G880" s="3"/>
      <c r="H880" s="3"/>
      <c r="J880" s="3"/>
      <c r="K880" s="3"/>
      <c r="L880" s="4"/>
      <c r="M880" s="3"/>
      <c r="O880" s="58"/>
      <c r="Q880" s="64"/>
      <c r="R880" s="45"/>
      <c r="S880" s="45"/>
      <c r="U880" s="64"/>
      <c r="V880" s="45"/>
      <c r="W880" s="64"/>
      <c r="X880" s="64"/>
      <c r="Y880" s="45"/>
      <c r="Z880" s="45"/>
      <c r="AA880" s="105"/>
      <c r="AB880" s="105"/>
      <c r="AC880" s="105"/>
      <c r="AD880" s="64"/>
      <c r="AG880" s="45"/>
      <c r="AH880" s="64"/>
      <c r="AI880" s="45"/>
      <c r="AJ880" s="105"/>
      <c r="AK880" s="105"/>
      <c r="AL880" s="60"/>
      <c r="AM880" s="60"/>
      <c r="AN880" s="60"/>
      <c r="AO880" s="60"/>
      <c r="AP880" s="60"/>
      <c r="AQ880" s="60"/>
      <c r="AR880" s="60"/>
      <c r="AS880" s="60"/>
      <c r="AT880" s="45"/>
      <c r="AU880" s="45"/>
      <c r="AW880" s="45"/>
      <c r="AX880" s="46">
        <f t="shared" si="40"/>
        <v>0</v>
      </c>
      <c r="AY880" s="46">
        <f t="shared" si="41"/>
        <v>0</v>
      </c>
      <c r="AZ880" s="46">
        <f t="shared" si="42"/>
        <v>0</v>
      </c>
    </row>
    <row r="881" spans="3:52" ht="20.100000000000001" customHeight="1">
      <c r="C881" s="102"/>
      <c r="D881" s="3"/>
      <c r="F881" s="3"/>
      <c r="G881" s="3"/>
      <c r="H881" s="3"/>
      <c r="J881" s="3"/>
      <c r="K881" s="3"/>
      <c r="L881" s="4"/>
      <c r="M881" s="3"/>
      <c r="O881" s="58"/>
      <c r="Q881" s="64"/>
      <c r="R881" s="45"/>
      <c r="S881" s="45"/>
      <c r="U881" s="64"/>
      <c r="V881" s="45"/>
      <c r="W881" s="64"/>
      <c r="X881" s="64"/>
      <c r="Y881" s="45"/>
      <c r="Z881" s="45"/>
      <c r="AA881" s="105"/>
      <c r="AB881" s="105"/>
      <c r="AC881" s="105"/>
      <c r="AD881" s="64"/>
      <c r="AH881" s="64"/>
      <c r="AI881" s="45"/>
      <c r="AJ881" s="105"/>
      <c r="AK881" s="105"/>
      <c r="AL881" s="60"/>
      <c r="AM881" s="60"/>
      <c r="AN881" s="60"/>
      <c r="AO881" s="60"/>
      <c r="AP881" s="60"/>
      <c r="AQ881" s="60"/>
      <c r="AR881" s="60"/>
      <c r="AS881" s="60"/>
      <c r="AT881" s="45"/>
      <c r="AU881" s="45"/>
      <c r="AW881" s="45"/>
      <c r="AX881" s="46">
        <f t="shared" si="40"/>
        <v>0</v>
      </c>
      <c r="AY881" s="46">
        <f t="shared" si="41"/>
        <v>0</v>
      </c>
      <c r="AZ881" s="46">
        <f t="shared" si="42"/>
        <v>0</v>
      </c>
    </row>
    <row r="882" spans="3:52" ht="20.100000000000001" customHeight="1">
      <c r="C882" s="102"/>
      <c r="D882" s="3"/>
      <c r="F882" s="3"/>
      <c r="G882" s="3"/>
      <c r="H882" s="3"/>
      <c r="J882" s="3"/>
      <c r="K882" s="3"/>
      <c r="L882" s="4"/>
      <c r="M882" s="3"/>
      <c r="O882" s="58"/>
      <c r="Q882" s="64"/>
      <c r="R882" s="45"/>
      <c r="S882" s="45"/>
      <c r="U882" s="64"/>
      <c r="V882" s="45"/>
      <c r="W882" s="64"/>
      <c r="X882" s="64"/>
      <c r="Y882" s="45"/>
      <c r="Z882" s="45"/>
      <c r="AA882" s="105"/>
      <c r="AB882" s="105"/>
      <c r="AC882" s="105"/>
      <c r="AD882" s="64"/>
      <c r="AH882" s="64"/>
      <c r="AI882" s="45"/>
      <c r="AJ882" s="105"/>
      <c r="AK882" s="105"/>
      <c r="AL882" s="60"/>
      <c r="AM882" s="60"/>
      <c r="AN882" s="60"/>
      <c r="AO882" s="60"/>
      <c r="AP882" s="60"/>
      <c r="AQ882" s="60"/>
      <c r="AR882" s="60"/>
      <c r="AS882" s="60"/>
      <c r="AT882" s="45"/>
      <c r="AU882" s="45"/>
      <c r="AW882" s="45"/>
      <c r="AX882" s="46">
        <f t="shared" si="40"/>
        <v>0</v>
      </c>
      <c r="AY882" s="46">
        <f t="shared" si="41"/>
        <v>0</v>
      </c>
      <c r="AZ882" s="46">
        <f t="shared" si="42"/>
        <v>0</v>
      </c>
    </row>
    <row r="883" spans="3:52" ht="20.100000000000001" customHeight="1">
      <c r="C883" s="102"/>
      <c r="D883" s="3"/>
      <c r="F883" s="3"/>
      <c r="G883" s="3"/>
      <c r="H883" s="3"/>
      <c r="J883" s="3"/>
      <c r="K883" s="3"/>
      <c r="L883" s="4"/>
      <c r="M883" s="3"/>
      <c r="O883" s="58"/>
      <c r="Q883" s="64"/>
      <c r="R883" s="45"/>
      <c r="S883" s="45"/>
      <c r="U883" s="64"/>
      <c r="V883" s="45"/>
      <c r="W883" s="64"/>
      <c r="X883" s="64"/>
      <c r="Y883" s="45"/>
      <c r="Z883" s="45"/>
      <c r="AA883" s="105"/>
      <c r="AB883" s="105"/>
      <c r="AC883" s="105"/>
      <c r="AD883" s="64"/>
      <c r="AH883" s="64"/>
      <c r="AI883" s="45"/>
      <c r="AJ883" s="105"/>
      <c r="AK883" s="105"/>
      <c r="AL883" s="60"/>
      <c r="AM883" s="60"/>
      <c r="AN883" s="60"/>
      <c r="AO883" s="60"/>
      <c r="AP883" s="60"/>
      <c r="AQ883" s="60"/>
      <c r="AR883" s="60"/>
      <c r="AS883" s="60"/>
      <c r="AT883" s="45"/>
      <c r="AU883" s="45"/>
      <c r="AW883" s="45"/>
      <c r="AX883" s="46">
        <f t="shared" si="40"/>
        <v>0</v>
      </c>
      <c r="AY883" s="46">
        <f t="shared" si="41"/>
        <v>0</v>
      </c>
      <c r="AZ883" s="46">
        <f t="shared" si="42"/>
        <v>0</v>
      </c>
    </row>
    <row r="884" spans="3:52" ht="20.100000000000001" customHeight="1">
      <c r="C884" s="102"/>
      <c r="D884" s="3"/>
      <c r="F884" s="3"/>
      <c r="G884" s="3"/>
      <c r="H884" s="3"/>
      <c r="J884" s="3"/>
      <c r="K884" s="3"/>
      <c r="L884" s="4"/>
      <c r="M884" s="3"/>
      <c r="O884" s="58"/>
      <c r="Q884" s="64"/>
      <c r="R884" s="45"/>
      <c r="S884" s="45"/>
      <c r="U884" s="64"/>
      <c r="V884" s="45"/>
      <c r="W884" s="64"/>
      <c r="X884" s="64"/>
      <c r="Y884" s="45"/>
      <c r="Z884" s="45"/>
      <c r="AA884" s="105"/>
      <c r="AB884" s="105"/>
      <c r="AC884" s="105"/>
      <c r="AD884" s="64"/>
      <c r="AH884" s="64"/>
      <c r="AI884" s="45"/>
      <c r="AJ884" s="105"/>
      <c r="AK884" s="105"/>
      <c r="AL884" s="60"/>
      <c r="AM884" s="60"/>
      <c r="AN884" s="60"/>
      <c r="AO884" s="60"/>
      <c r="AP884" s="60"/>
      <c r="AQ884" s="60"/>
      <c r="AR884" s="60"/>
      <c r="AS884" s="60"/>
      <c r="AT884" s="45"/>
      <c r="AU884" s="45"/>
      <c r="AW884" s="45"/>
      <c r="AX884" s="46">
        <f t="shared" si="40"/>
        <v>0</v>
      </c>
      <c r="AY884" s="46">
        <f t="shared" si="41"/>
        <v>0</v>
      </c>
      <c r="AZ884" s="46">
        <f t="shared" si="42"/>
        <v>0</v>
      </c>
    </row>
    <row r="885" spans="3:52" ht="20.100000000000001" customHeight="1">
      <c r="C885" s="102"/>
      <c r="D885" s="3"/>
      <c r="F885" s="3"/>
      <c r="G885" s="3"/>
      <c r="H885" s="3"/>
      <c r="J885" s="3"/>
      <c r="K885" s="3"/>
      <c r="L885" s="4"/>
      <c r="M885" s="3"/>
      <c r="O885" s="58"/>
      <c r="Q885" s="64"/>
      <c r="R885" s="45"/>
      <c r="S885" s="45"/>
      <c r="U885" s="64"/>
      <c r="V885" s="45"/>
      <c r="W885" s="64"/>
      <c r="X885" s="64"/>
      <c r="Y885" s="45"/>
      <c r="Z885" s="45"/>
      <c r="AA885" s="105"/>
      <c r="AB885" s="105"/>
      <c r="AC885" s="105"/>
      <c r="AD885" s="64"/>
      <c r="AG885" s="45"/>
      <c r="AH885" s="64"/>
      <c r="AI885" s="45"/>
      <c r="AJ885" s="105"/>
      <c r="AK885" s="105"/>
      <c r="AL885" s="60"/>
      <c r="AM885" s="60"/>
      <c r="AN885" s="60"/>
      <c r="AO885" s="60"/>
      <c r="AP885" s="60"/>
      <c r="AQ885" s="60"/>
      <c r="AR885" s="60"/>
      <c r="AS885" s="60"/>
      <c r="AT885" s="45"/>
      <c r="AU885" s="45"/>
      <c r="AW885" s="45"/>
      <c r="AX885" s="46">
        <f t="shared" si="40"/>
        <v>0</v>
      </c>
      <c r="AY885" s="46">
        <f t="shared" si="41"/>
        <v>0</v>
      </c>
      <c r="AZ885" s="46">
        <f t="shared" si="42"/>
        <v>0</v>
      </c>
    </row>
    <row r="886" spans="3:52" ht="20.100000000000001" customHeight="1">
      <c r="C886" s="102"/>
      <c r="D886" s="3"/>
      <c r="F886" s="3"/>
      <c r="G886" s="3"/>
      <c r="H886" s="3"/>
      <c r="J886" s="3"/>
      <c r="K886" s="3"/>
      <c r="L886" s="4"/>
      <c r="M886" s="3"/>
      <c r="O886" s="58"/>
      <c r="Q886" s="64"/>
      <c r="R886" s="45"/>
      <c r="S886" s="45"/>
      <c r="U886" s="64"/>
      <c r="V886" s="45"/>
      <c r="W886" s="64"/>
      <c r="X886" s="64"/>
      <c r="Y886" s="45"/>
      <c r="Z886" s="45"/>
      <c r="AA886" s="105"/>
      <c r="AB886" s="105"/>
      <c r="AC886" s="105"/>
      <c r="AD886" s="64"/>
      <c r="AH886" s="64"/>
      <c r="AI886" s="45"/>
      <c r="AJ886" s="105"/>
      <c r="AK886" s="105"/>
      <c r="AL886" s="60"/>
      <c r="AM886" s="60"/>
      <c r="AN886" s="60"/>
      <c r="AO886" s="60"/>
      <c r="AP886" s="60"/>
      <c r="AQ886" s="60"/>
      <c r="AR886" s="60"/>
      <c r="AS886" s="60"/>
      <c r="AT886" s="45"/>
      <c r="AU886" s="45"/>
      <c r="AW886" s="45"/>
      <c r="AX886" s="46">
        <f t="shared" si="40"/>
        <v>0</v>
      </c>
      <c r="AY886" s="46">
        <f t="shared" si="41"/>
        <v>0</v>
      </c>
      <c r="AZ886" s="46">
        <f t="shared" si="42"/>
        <v>0</v>
      </c>
    </row>
    <row r="887" spans="3:52" ht="20.100000000000001" customHeight="1">
      <c r="C887" s="102"/>
      <c r="D887" s="3"/>
      <c r="F887" s="3"/>
      <c r="G887" s="3"/>
      <c r="H887" s="3"/>
      <c r="J887" s="3"/>
      <c r="K887" s="3"/>
      <c r="L887" s="4"/>
      <c r="M887" s="3"/>
      <c r="O887" s="58"/>
      <c r="Q887" s="64"/>
      <c r="R887" s="45"/>
      <c r="S887" s="45"/>
      <c r="U887" s="64"/>
      <c r="V887" s="45"/>
      <c r="W887" s="64"/>
      <c r="X887" s="64"/>
      <c r="Y887" s="45"/>
      <c r="Z887" s="45"/>
      <c r="AA887" s="105"/>
      <c r="AB887" s="105"/>
      <c r="AC887" s="105"/>
      <c r="AD887" s="64"/>
      <c r="AG887" s="45"/>
      <c r="AH887" s="64"/>
      <c r="AI887" s="45"/>
      <c r="AJ887" s="105"/>
      <c r="AK887" s="105"/>
      <c r="AL887" s="60"/>
      <c r="AM887" s="60"/>
      <c r="AN887" s="60"/>
      <c r="AO887" s="60"/>
      <c r="AP887" s="60"/>
      <c r="AQ887" s="60"/>
      <c r="AR887" s="60"/>
      <c r="AS887" s="60"/>
      <c r="AT887" s="45"/>
      <c r="AU887" s="45"/>
      <c r="AW887" s="45"/>
      <c r="AX887" s="46">
        <f t="shared" si="40"/>
        <v>0</v>
      </c>
      <c r="AY887" s="46">
        <f t="shared" si="41"/>
        <v>0</v>
      </c>
      <c r="AZ887" s="46">
        <f t="shared" si="42"/>
        <v>0</v>
      </c>
    </row>
    <row r="888" spans="3:52" ht="20.100000000000001" customHeight="1">
      <c r="C888" s="102"/>
      <c r="D888" s="3"/>
      <c r="F888" s="3"/>
      <c r="G888" s="3"/>
      <c r="H888" s="3"/>
      <c r="J888" s="3"/>
      <c r="K888" s="3"/>
      <c r="L888" s="4"/>
      <c r="M888" s="3"/>
      <c r="O888" s="58"/>
      <c r="Q888" s="64"/>
      <c r="R888" s="45"/>
      <c r="S888" s="45"/>
      <c r="U888" s="64"/>
      <c r="V888" s="45"/>
      <c r="W888" s="64"/>
      <c r="X888" s="64"/>
      <c r="Y888" s="45"/>
      <c r="Z888" s="45"/>
      <c r="AA888" s="105"/>
      <c r="AB888" s="105"/>
      <c r="AC888" s="105"/>
      <c r="AD888" s="64"/>
      <c r="AH888" s="64"/>
      <c r="AI888" s="45"/>
      <c r="AJ888" s="105"/>
      <c r="AK888" s="105"/>
      <c r="AL888" s="60"/>
      <c r="AM888" s="60"/>
      <c r="AN888" s="60"/>
      <c r="AO888" s="60"/>
      <c r="AP888" s="60"/>
      <c r="AQ888" s="60"/>
      <c r="AR888" s="60"/>
      <c r="AS888" s="60"/>
      <c r="AT888" s="45"/>
      <c r="AU888" s="45"/>
      <c r="AW888" s="45"/>
      <c r="AX888" s="46">
        <f t="shared" si="40"/>
        <v>0</v>
      </c>
      <c r="AY888" s="46">
        <f t="shared" si="41"/>
        <v>0</v>
      </c>
      <c r="AZ888" s="46">
        <f t="shared" si="42"/>
        <v>0</v>
      </c>
    </row>
    <row r="889" spans="3:52" ht="20.100000000000001" customHeight="1">
      <c r="C889" s="102"/>
      <c r="D889" s="3"/>
      <c r="F889" s="3"/>
      <c r="G889" s="3"/>
      <c r="H889" s="3"/>
      <c r="J889" s="3"/>
      <c r="K889" s="3"/>
      <c r="L889" s="4"/>
      <c r="M889" s="3"/>
      <c r="O889" s="58"/>
      <c r="Q889" s="64"/>
      <c r="R889" s="45"/>
      <c r="S889" s="45"/>
      <c r="U889" s="64"/>
      <c r="V889" s="45"/>
      <c r="W889" s="64"/>
      <c r="X889" s="64"/>
      <c r="Y889" s="45"/>
      <c r="Z889" s="45"/>
      <c r="AA889" s="105"/>
      <c r="AB889" s="105"/>
      <c r="AC889" s="105"/>
      <c r="AD889" s="64"/>
      <c r="AG889" s="45"/>
      <c r="AH889" s="64"/>
      <c r="AI889" s="45"/>
      <c r="AJ889" s="105"/>
      <c r="AK889" s="105"/>
      <c r="AL889" s="60"/>
      <c r="AM889" s="60"/>
      <c r="AN889" s="60"/>
      <c r="AO889" s="60"/>
      <c r="AP889" s="60"/>
      <c r="AQ889" s="60"/>
      <c r="AR889" s="60"/>
      <c r="AS889" s="60"/>
      <c r="AT889" s="45"/>
      <c r="AU889" s="45"/>
      <c r="AW889" s="45"/>
      <c r="AX889" s="46">
        <f t="shared" si="40"/>
        <v>0</v>
      </c>
      <c r="AY889" s="46">
        <f t="shared" si="41"/>
        <v>0</v>
      </c>
      <c r="AZ889" s="46">
        <f t="shared" si="42"/>
        <v>0</v>
      </c>
    </row>
    <row r="890" spans="3:52" ht="20.100000000000001" customHeight="1">
      <c r="C890" s="102"/>
      <c r="D890" s="3"/>
      <c r="F890" s="3"/>
      <c r="G890" s="3"/>
      <c r="H890" s="3"/>
      <c r="J890" s="3"/>
      <c r="K890" s="3"/>
      <c r="L890" s="4"/>
      <c r="M890" s="3"/>
      <c r="O890" s="58"/>
      <c r="Q890" s="64"/>
      <c r="R890" s="45"/>
      <c r="S890" s="45"/>
      <c r="U890" s="64"/>
      <c r="V890" s="45"/>
      <c r="W890" s="64"/>
      <c r="X890" s="64"/>
      <c r="Y890" s="45"/>
      <c r="Z890" s="45"/>
      <c r="AA890" s="105"/>
      <c r="AB890" s="105"/>
      <c r="AC890" s="105"/>
      <c r="AD890" s="64"/>
      <c r="AG890" s="45"/>
      <c r="AH890" s="64"/>
      <c r="AI890" s="45"/>
      <c r="AJ890" s="105"/>
      <c r="AK890" s="105"/>
      <c r="AL890" s="60"/>
      <c r="AM890" s="60"/>
      <c r="AN890" s="60"/>
      <c r="AO890" s="60"/>
      <c r="AP890" s="60"/>
      <c r="AQ890" s="60"/>
      <c r="AR890" s="60"/>
      <c r="AS890" s="60"/>
      <c r="AT890" s="45"/>
      <c r="AU890" s="45"/>
      <c r="AW890" s="45"/>
      <c r="AX890" s="46">
        <f t="shared" si="40"/>
        <v>0</v>
      </c>
      <c r="AY890" s="46">
        <f t="shared" si="41"/>
        <v>0</v>
      </c>
      <c r="AZ890" s="46">
        <f t="shared" si="42"/>
        <v>0</v>
      </c>
    </row>
    <row r="891" spans="3:52" ht="20.100000000000001" customHeight="1">
      <c r="C891" s="102"/>
      <c r="D891" s="3"/>
      <c r="F891" s="3"/>
      <c r="G891" s="3"/>
      <c r="H891" s="3"/>
      <c r="J891" s="3"/>
      <c r="K891" s="3"/>
      <c r="L891" s="4"/>
      <c r="M891" s="3"/>
      <c r="O891" s="58"/>
      <c r="Q891" s="64"/>
      <c r="R891" s="45"/>
      <c r="S891" s="45"/>
      <c r="U891" s="64"/>
      <c r="V891" s="45"/>
      <c r="W891" s="64"/>
      <c r="X891" s="64"/>
      <c r="Y891" s="45"/>
      <c r="Z891" s="45"/>
      <c r="AA891" s="105"/>
      <c r="AB891" s="105"/>
      <c r="AC891" s="105"/>
      <c r="AD891" s="64"/>
      <c r="AG891" s="45"/>
      <c r="AH891" s="64"/>
      <c r="AI891" s="45"/>
      <c r="AJ891" s="105"/>
      <c r="AK891" s="105"/>
      <c r="AL891" s="60"/>
      <c r="AM891" s="60"/>
      <c r="AN891" s="60"/>
      <c r="AO891" s="60"/>
      <c r="AP891" s="60"/>
      <c r="AQ891" s="60"/>
      <c r="AR891" s="60"/>
      <c r="AS891" s="60"/>
      <c r="AT891" s="45"/>
      <c r="AU891" s="45"/>
      <c r="AW891" s="45"/>
      <c r="AX891" s="46">
        <f t="shared" si="40"/>
        <v>0</v>
      </c>
      <c r="AY891" s="46">
        <f t="shared" si="41"/>
        <v>0</v>
      </c>
      <c r="AZ891" s="46">
        <f t="shared" si="42"/>
        <v>0</v>
      </c>
    </row>
    <row r="892" spans="3:52" ht="20.100000000000001" customHeight="1">
      <c r="C892" s="102"/>
      <c r="D892" s="3"/>
      <c r="F892" s="3"/>
      <c r="G892" s="3"/>
      <c r="H892" s="3"/>
      <c r="J892" s="3"/>
      <c r="K892" s="3"/>
      <c r="L892" s="4"/>
      <c r="M892" s="3"/>
      <c r="O892" s="58"/>
      <c r="Q892" s="64"/>
      <c r="R892" s="45"/>
      <c r="S892" s="45"/>
      <c r="U892" s="64"/>
      <c r="V892" s="45"/>
      <c r="W892" s="64"/>
      <c r="X892" s="64"/>
      <c r="Y892" s="45"/>
      <c r="Z892" s="45"/>
      <c r="AA892" s="105"/>
      <c r="AB892" s="105"/>
      <c r="AC892" s="105"/>
      <c r="AD892" s="64"/>
      <c r="AG892" s="45"/>
      <c r="AH892" s="64"/>
      <c r="AI892" s="45"/>
      <c r="AJ892" s="105"/>
      <c r="AK892" s="105"/>
      <c r="AL892" s="60"/>
      <c r="AM892" s="60"/>
      <c r="AN892" s="60"/>
      <c r="AO892" s="60"/>
      <c r="AP892" s="60"/>
      <c r="AQ892" s="60"/>
      <c r="AR892" s="60"/>
      <c r="AS892" s="60"/>
      <c r="AT892" s="45"/>
      <c r="AU892" s="45"/>
      <c r="AW892" s="45"/>
      <c r="AX892" s="46">
        <f t="shared" si="40"/>
        <v>0</v>
      </c>
      <c r="AY892" s="46">
        <f t="shared" si="41"/>
        <v>0</v>
      </c>
      <c r="AZ892" s="46">
        <f t="shared" si="42"/>
        <v>0</v>
      </c>
    </row>
    <row r="893" spans="3:52" ht="20.100000000000001" customHeight="1">
      <c r="C893" s="102"/>
      <c r="D893" s="3"/>
      <c r="F893" s="3"/>
      <c r="G893" s="3"/>
      <c r="H893" s="3"/>
      <c r="J893" s="3"/>
      <c r="K893" s="3"/>
      <c r="L893" s="4"/>
      <c r="M893" s="3"/>
      <c r="O893" s="58"/>
      <c r="Q893" s="64"/>
      <c r="R893" s="45"/>
      <c r="S893" s="45"/>
      <c r="U893" s="64"/>
      <c r="V893" s="45"/>
      <c r="W893" s="64"/>
      <c r="X893" s="64"/>
      <c r="Y893" s="45"/>
      <c r="Z893" s="45"/>
      <c r="AA893" s="105"/>
      <c r="AB893" s="105"/>
      <c r="AC893" s="105"/>
      <c r="AD893" s="64"/>
      <c r="AH893" s="64"/>
      <c r="AI893" s="45"/>
      <c r="AJ893" s="105"/>
      <c r="AK893" s="105"/>
      <c r="AL893" s="60"/>
      <c r="AM893" s="60"/>
      <c r="AN893" s="60"/>
      <c r="AO893" s="60"/>
      <c r="AP893" s="60"/>
      <c r="AQ893" s="60"/>
      <c r="AR893" s="60"/>
      <c r="AS893" s="60"/>
      <c r="AT893" s="45"/>
      <c r="AU893" s="45"/>
      <c r="AW893" s="45"/>
      <c r="AX893" s="46">
        <f t="shared" si="40"/>
        <v>0</v>
      </c>
      <c r="AY893" s="46">
        <f t="shared" si="41"/>
        <v>0</v>
      </c>
      <c r="AZ893" s="46">
        <f t="shared" si="42"/>
        <v>0</v>
      </c>
    </row>
    <row r="894" spans="3:52" ht="20.100000000000001" customHeight="1">
      <c r="C894" s="102"/>
      <c r="D894" s="3"/>
      <c r="F894" s="3"/>
      <c r="G894" s="3"/>
      <c r="H894" s="3"/>
      <c r="J894" s="3"/>
      <c r="K894" s="3"/>
      <c r="L894" s="4"/>
      <c r="M894" s="3"/>
      <c r="O894" s="58"/>
      <c r="Q894" s="64"/>
      <c r="R894" s="45"/>
      <c r="S894" s="45"/>
      <c r="U894" s="64"/>
      <c r="V894" s="45"/>
      <c r="W894" s="64"/>
      <c r="X894" s="64"/>
      <c r="Y894" s="45"/>
      <c r="Z894" s="45"/>
      <c r="AA894" s="105"/>
      <c r="AB894" s="105"/>
      <c r="AC894" s="105"/>
      <c r="AD894" s="64"/>
      <c r="AG894" s="45"/>
      <c r="AH894" s="64"/>
      <c r="AI894" s="45"/>
      <c r="AJ894" s="105"/>
      <c r="AK894" s="105"/>
      <c r="AL894" s="60"/>
      <c r="AM894" s="60"/>
      <c r="AN894" s="60"/>
      <c r="AO894" s="60"/>
      <c r="AP894" s="60"/>
      <c r="AQ894" s="60"/>
      <c r="AR894" s="60"/>
      <c r="AS894" s="60"/>
      <c r="AT894" s="45"/>
      <c r="AU894" s="45"/>
      <c r="AW894" s="45"/>
      <c r="AX894" s="46">
        <f t="shared" si="40"/>
        <v>0</v>
      </c>
      <c r="AY894" s="46">
        <f t="shared" si="41"/>
        <v>0</v>
      </c>
      <c r="AZ894" s="46">
        <f t="shared" si="42"/>
        <v>0</v>
      </c>
    </row>
    <row r="895" spans="3:52" ht="20.100000000000001" customHeight="1">
      <c r="C895" s="102"/>
      <c r="D895" s="3"/>
      <c r="F895" s="3"/>
      <c r="G895" s="3"/>
      <c r="H895" s="3"/>
      <c r="J895" s="3"/>
      <c r="K895" s="3"/>
      <c r="L895" s="4"/>
      <c r="M895" s="3"/>
      <c r="O895" s="58"/>
      <c r="Q895" s="64"/>
      <c r="R895" s="45"/>
      <c r="S895" s="45"/>
      <c r="U895" s="64"/>
      <c r="V895" s="45"/>
      <c r="W895" s="64"/>
      <c r="X895" s="64"/>
      <c r="Y895" s="45"/>
      <c r="Z895" s="45"/>
      <c r="AA895" s="105"/>
      <c r="AB895" s="105"/>
      <c r="AC895" s="105"/>
      <c r="AD895" s="64"/>
      <c r="AG895" s="45"/>
      <c r="AH895" s="64"/>
      <c r="AI895" s="45"/>
      <c r="AJ895" s="105"/>
      <c r="AK895" s="105"/>
      <c r="AL895" s="60"/>
      <c r="AM895" s="60"/>
      <c r="AN895" s="60"/>
      <c r="AO895" s="60"/>
      <c r="AP895" s="60"/>
      <c r="AQ895" s="60"/>
      <c r="AR895" s="60"/>
      <c r="AS895" s="60"/>
      <c r="AT895" s="45"/>
      <c r="AU895" s="45"/>
      <c r="AW895" s="45"/>
      <c r="AX895" s="46">
        <f t="shared" si="40"/>
        <v>0</v>
      </c>
      <c r="AY895" s="46">
        <f t="shared" si="41"/>
        <v>0</v>
      </c>
      <c r="AZ895" s="46">
        <f t="shared" si="42"/>
        <v>0</v>
      </c>
    </row>
    <row r="896" spans="3:52" ht="20.100000000000001" customHeight="1">
      <c r="C896" s="102"/>
      <c r="D896" s="3"/>
      <c r="F896" s="3"/>
      <c r="G896" s="3"/>
      <c r="H896" s="3"/>
      <c r="J896" s="3"/>
      <c r="K896" s="3"/>
      <c r="L896" s="4"/>
      <c r="M896" s="3"/>
      <c r="O896" s="58"/>
      <c r="Q896" s="64"/>
      <c r="R896" s="45"/>
      <c r="S896" s="45"/>
      <c r="U896" s="64"/>
      <c r="V896" s="45"/>
      <c r="W896" s="64"/>
      <c r="X896" s="64"/>
      <c r="Y896" s="45"/>
      <c r="Z896" s="45"/>
      <c r="AA896" s="105"/>
      <c r="AB896" s="105"/>
      <c r="AC896" s="105"/>
      <c r="AD896" s="64"/>
      <c r="AG896" s="45"/>
      <c r="AH896" s="64"/>
      <c r="AI896" s="45"/>
      <c r="AJ896" s="105"/>
      <c r="AK896" s="105"/>
      <c r="AL896" s="60"/>
      <c r="AM896" s="60"/>
      <c r="AN896" s="60"/>
      <c r="AO896" s="60"/>
      <c r="AP896" s="60"/>
      <c r="AQ896" s="60"/>
      <c r="AR896" s="60"/>
      <c r="AS896" s="60"/>
      <c r="AT896" s="45"/>
      <c r="AU896" s="45"/>
      <c r="AW896" s="45"/>
      <c r="AX896" s="46">
        <f t="shared" si="40"/>
        <v>0</v>
      </c>
      <c r="AY896" s="46">
        <f t="shared" si="41"/>
        <v>0</v>
      </c>
      <c r="AZ896" s="46">
        <f t="shared" si="42"/>
        <v>0</v>
      </c>
    </row>
    <row r="897" spans="3:52" ht="20.100000000000001" customHeight="1">
      <c r="C897" s="102"/>
      <c r="D897" s="3"/>
      <c r="F897" s="3"/>
      <c r="G897" s="3"/>
      <c r="H897" s="3"/>
      <c r="J897" s="3"/>
      <c r="K897" s="3"/>
      <c r="L897" s="4"/>
      <c r="M897" s="3"/>
      <c r="O897" s="58"/>
      <c r="Q897" s="64"/>
      <c r="R897" s="45"/>
      <c r="S897" s="45"/>
      <c r="U897" s="64"/>
      <c r="V897" s="45"/>
      <c r="W897" s="64"/>
      <c r="X897" s="64"/>
      <c r="Y897" s="45"/>
      <c r="Z897" s="45"/>
      <c r="AA897" s="105"/>
      <c r="AB897" s="105"/>
      <c r="AC897" s="105"/>
      <c r="AD897" s="64"/>
      <c r="AH897" s="64"/>
      <c r="AI897" s="45"/>
      <c r="AJ897" s="105"/>
      <c r="AK897" s="105"/>
      <c r="AL897" s="60"/>
      <c r="AM897" s="60"/>
      <c r="AN897" s="60"/>
      <c r="AO897" s="60"/>
      <c r="AP897" s="60"/>
      <c r="AQ897" s="60"/>
      <c r="AR897" s="60"/>
      <c r="AS897" s="60"/>
      <c r="AT897" s="45"/>
      <c r="AU897" s="45"/>
      <c r="AW897" s="45"/>
      <c r="AX897" s="46">
        <f t="shared" si="40"/>
        <v>0</v>
      </c>
      <c r="AY897" s="46">
        <f t="shared" si="41"/>
        <v>0</v>
      </c>
      <c r="AZ897" s="46">
        <f t="shared" si="42"/>
        <v>0</v>
      </c>
    </row>
    <row r="898" spans="3:52" ht="20.100000000000001" customHeight="1">
      <c r="C898" s="102"/>
      <c r="D898" s="3"/>
      <c r="F898" s="3"/>
      <c r="G898" s="3"/>
      <c r="H898" s="3"/>
      <c r="J898" s="3"/>
      <c r="K898" s="3"/>
      <c r="L898" s="4"/>
      <c r="M898" s="3"/>
      <c r="O898" s="58"/>
      <c r="Q898" s="64"/>
      <c r="R898" s="45"/>
      <c r="S898" s="45"/>
      <c r="U898" s="64"/>
      <c r="V898" s="45"/>
      <c r="W898" s="64"/>
      <c r="X898" s="64"/>
      <c r="Y898" s="45"/>
      <c r="Z898" s="45"/>
      <c r="AA898" s="105"/>
      <c r="AB898" s="105"/>
      <c r="AC898" s="105"/>
      <c r="AD898" s="64"/>
      <c r="AH898" s="64"/>
      <c r="AI898" s="45"/>
      <c r="AJ898" s="105"/>
      <c r="AK898" s="105"/>
      <c r="AL898" s="60"/>
      <c r="AM898" s="60"/>
      <c r="AN898" s="60"/>
      <c r="AO898" s="60"/>
      <c r="AP898" s="60"/>
      <c r="AQ898" s="60"/>
      <c r="AR898" s="60"/>
      <c r="AS898" s="60"/>
      <c r="AT898" s="45"/>
      <c r="AU898" s="45"/>
      <c r="AW898" s="45"/>
      <c r="AX898" s="46">
        <f t="shared" si="40"/>
        <v>0</v>
      </c>
      <c r="AY898" s="46">
        <f t="shared" si="41"/>
        <v>0</v>
      </c>
      <c r="AZ898" s="46">
        <f t="shared" si="42"/>
        <v>0</v>
      </c>
    </row>
    <row r="899" spans="3:52" ht="20.100000000000001" customHeight="1">
      <c r="C899" s="102"/>
      <c r="D899" s="3"/>
      <c r="F899" s="3"/>
      <c r="G899" s="3"/>
      <c r="H899" s="3"/>
      <c r="J899" s="3"/>
      <c r="K899" s="3"/>
      <c r="L899" s="4"/>
      <c r="M899" s="3"/>
      <c r="O899" s="58"/>
      <c r="Q899" s="64"/>
      <c r="R899" s="45"/>
      <c r="S899" s="45"/>
      <c r="U899" s="64"/>
      <c r="V899" s="45"/>
      <c r="W899" s="64"/>
      <c r="X899" s="64"/>
      <c r="Y899" s="45"/>
      <c r="Z899" s="45"/>
      <c r="AA899" s="105"/>
      <c r="AB899" s="105"/>
      <c r="AC899" s="105"/>
      <c r="AD899" s="64"/>
      <c r="AH899" s="64"/>
      <c r="AI899" s="45"/>
      <c r="AJ899" s="105"/>
      <c r="AK899" s="105"/>
      <c r="AL899" s="60"/>
      <c r="AM899" s="60"/>
      <c r="AN899" s="60"/>
      <c r="AO899" s="60"/>
      <c r="AP899" s="60"/>
      <c r="AQ899" s="60"/>
      <c r="AR899" s="60"/>
      <c r="AS899" s="60"/>
      <c r="AT899" s="45"/>
      <c r="AU899" s="45"/>
      <c r="AW899" s="45"/>
      <c r="AX899" s="46">
        <f t="shared" si="40"/>
        <v>0</v>
      </c>
      <c r="AY899" s="46">
        <f t="shared" si="41"/>
        <v>0</v>
      </c>
      <c r="AZ899" s="46">
        <f t="shared" si="42"/>
        <v>0</v>
      </c>
    </row>
    <row r="900" spans="3:52" ht="20.100000000000001" customHeight="1">
      <c r="C900" s="102"/>
      <c r="D900" s="3"/>
      <c r="F900" s="3"/>
      <c r="G900" s="3"/>
      <c r="H900" s="3"/>
      <c r="J900" s="3"/>
      <c r="K900" s="3"/>
      <c r="L900" s="4"/>
      <c r="M900" s="3"/>
      <c r="O900" s="58"/>
      <c r="Q900" s="64"/>
      <c r="R900" s="45"/>
      <c r="S900" s="45"/>
      <c r="U900" s="64"/>
      <c r="V900" s="45"/>
      <c r="W900" s="64"/>
      <c r="X900" s="64"/>
      <c r="Y900" s="45"/>
      <c r="Z900" s="45"/>
      <c r="AA900" s="105"/>
      <c r="AB900" s="105"/>
      <c r="AC900" s="105"/>
      <c r="AD900" s="64"/>
      <c r="AG900" s="45"/>
      <c r="AH900" s="64"/>
      <c r="AI900" s="45"/>
      <c r="AJ900" s="105"/>
      <c r="AK900" s="105"/>
      <c r="AL900" s="60"/>
      <c r="AM900" s="60"/>
      <c r="AN900" s="60"/>
      <c r="AO900" s="60"/>
      <c r="AP900" s="60"/>
      <c r="AQ900" s="60"/>
      <c r="AR900" s="60"/>
      <c r="AS900" s="60"/>
      <c r="AT900" s="45"/>
      <c r="AU900" s="45"/>
      <c r="AW900" s="45"/>
      <c r="AX900" s="46">
        <f t="shared" si="40"/>
        <v>0</v>
      </c>
      <c r="AY900" s="46">
        <f t="shared" si="41"/>
        <v>0</v>
      </c>
      <c r="AZ900" s="46">
        <f t="shared" si="42"/>
        <v>0</v>
      </c>
    </row>
    <row r="901" spans="3:52" ht="20.100000000000001" customHeight="1">
      <c r="C901" s="102"/>
      <c r="D901" s="3"/>
      <c r="F901" s="3"/>
      <c r="G901" s="3"/>
      <c r="H901" s="3"/>
      <c r="J901" s="3"/>
      <c r="K901" s="3"/>
      <c r="L901" s="4"/>
      <c r="M901" s="3"/>
      <c r="O901" s="58"/>
      <c r="Q901" s="64"/>
      <c r="R901" s="45"/>
      <c r="S901" s="45"/>
      <c r="U901" s="64"/>
      <c r="V901" s="45"/>
      <c r="W901" s="64"/>
      <c r="X901" s="64"/>
      <c r="Y901" s="45"/>
      <c r="Z901" s="45"/>
      <c r="AA901" s="105"/>
      <c r="AB901" s="105"/>
      <c r="AC901" s="105"/>
      <c r="AD901" s="64"/>
      <c r="AG901" s="45"/>
      <c r="AH901" s="64"/>
      <c r="AI901" s="45"/>
      <c r="AJ901" s="105"/>
      <c r="AK901" s="105"/>
      <c r="AL901" s="60"/>
      <c r="AM901" s="60"/>
      <c r="AN901" s="60"/>
      <c r="AO901" s="60"/>
      <c r="AP901" s="60"/>
      <c r="AQ901" s="60"/>
      <c r="AR901" s="60"/>
      <c r="AS901" s="60"/>
      <c r="AT901" s="45"/>
      <c r="AU901" s="45"/>
      <c r="AW901" s="45"/>
      <c r="AX901" s="46">
        <f t="shared" si="40"/>
        <v>0</v>
      </c>
      <c r="AY901" s="46">
        <f t="shared" si="41"/>
        <v>0</v>
      </c>
      <c r="AZ901" s="46">
        <f t="shared" si="42"/>
        <v>0</v>
      </c>
    </row>
    <row r="902" spans="3:52" ht="20.100000000000001" customHeight="1">
      <c r="C902" s="102"/>
      <c r="D902" s="3"/>
      <c r="F902" s="3"/>
      <c r="G902" s="3"/>
      <c r="H902" s="3"/>
      <c r="J902" s="3"/>
      <c r="K902" s="3"/>
      <c r="L902" s="4"/>
      <c r="M902" s="3"/>
      <c r="O902" s="58"/>
      <c r="Q902" s="64"/>
      <c r="R902" s="45"/>
      <c r="S902" s="45"/>
      <c r="U902" s="64"/>
      <c r="V902" s="45"/>
      <c r="W902" s="64"/>
      <c r="X902" s="64"/>
      <c r="Y902" s="45"/>
      <c r="Z902" s="45"/>
      <c r="AA902" s="105"/>
      <c r="AB902" s="105"/>
      <c r="AC902" s="105"/>
      <c r="AD902" s="64"/>
      <c r="AH902" s="64"/>
      <c r="AI902" s="45"/>
      <c r="AJ902" s="105"/>
      <c r="AK902" s="105"/>
      <c r="AL902" s="60"/>
      <c r="AM902" s="60"/>
      <c r="AN902" s="60"/>
      <c r="AO902" s="60"/>
      <c r="AP902" s="60"/>
      <c r="AQ902" s="60"/>
      <c r="AR902" s="60"/>
      <c r="AS902" s="60"/>
      <c r="AT902" s="45"/>
      <c r="AU902" s="45"/>
      <c r="AW902" s="45"/>
      <c r="AX902" s="46">
        <f t="shared" si="40"/>
        <v>0</v>
      </c>
      <c r="AY902" s="46">
        <f t="shared" si="41"/>
        <v>0</v>
      </c>
      <c r="AZ902" s="46">
        <f t="shared" si="42"/>
        <v>0</v>
      </c>
    </row>
    <row r="903" spans="3:52" ht="20.100000000000001" customHeight="1">
      <c r="C903" s="102"/>
      <c r="D903" s="3"/>
      <c r="F903" s="3"/>
      <c r="G903" s="3"/>
      <c r="H903" s="3"/>
      <c r="J903" s="3"/>
      <c r="K903" s="3"/>
      <c r="L903" s="4"/>
      <c r="M903" s="3"/>
      <c r="O903" s="58"/>
      <c r="Q903" s="64"/>
      <c r="R903" s="45"/>
      <c r="S903" s="45"/>
      <c r="U903" s="64"/>
      <c r="V903" s="45"/>
      <c r="W903" s="64"/>
      <c r="X903" s="64"/>
      <c r="Y903" s="45"/>
      <c r="Z903" s="45"/>
      <c r="AA903" s="105"/>
      <c r="AB903" s="105"/>
      <c r="AC903" s="105"/>
      <c r="AD903" s="64"/>
      <c r="AH903" s="64"/>
      <c r="AI903" s="45"/>
      <c r="AJ903" s="105"/>
      <c r="AK903" s="105"/>
      <c r="AL903" s="60"/>
      <c r="AM903" s="60"/>
      <c r="AN903" s="60"/>
      <c r="AO903" s="60"/>
      <c r="AP903" s="60"/>
      <c r="AQ903" s="60"/>
      <c r="AR903" s="60"/>
      <c r="AS903" s="60"/>
      <c r="AT903" s="45"/>
      <c r="AU903" s="45"/>
      <c r="AW903" s="45"/>
      <c r="AX903" s="46">
        <f t="shared" si="40"/>
        <v>0</v>
      </c>
      <c r="AY903" s="46">
        <f t="shared" si="41"/>
        <v>0</v>
      </c>
      <c r="AZ903" s="46">
        <f t="shared" si="42"/>
        <v>0</v>
      </c>
    </row>
    <row r="904" spans="3:52" ht="20.100000000000001" customHeight="1">
      <c r="C904" s="102"/>
      <c r="D904" s="3"/>
      <c r="F904" s="3"/>
      <c r="G904" s="3"/>
      <c r="H904" s="3"/>
      <c r="J904" s="3"/>
      <c r="K904" s="3"/>
      <c r="L904" s="4"/>
      <c r="M904" s="3"/>
      <c r="O904" s="58"/>
      <c r="Q904" s="64"/>
      <c r="R904" s="45"/>
      <c r="S904" s="45"/>
      <c r="U904" s="64"/>
      <c r="V904" s="45"/>
      <c r="W904" s="64"/>
      <c r="X904" s="64"/>
      <c r="Y904" s="45"/>
      <c r="Z904" s="45"/>
      <c r="AA904" s="105"/>
      <c r="AB904" s="105"/>
      <c r="AC904" s="105"/>
      <c r="AD904" s="64"/>
      <c r="AG904" s="45"/>
      <c r="AH904" s="64"/>
      <c r="AI904" s="45"/>
      <c r="AJ904" s="105"/>
      <c r="AK904" s="105"/>
      <c r="AL904" s="60"/>
      <c r="AM904" s="60"/>
      <c r="AN904" s="60"/>
      <c r="AO904" s="60"/>
      <c r="AP904" s="60"/>
      <c r="AQ904" s="60"/>
      <c r="AR904" s="60"/>
      <c r="AS904" s="60"/>
      <c r="AT904" s="45"/>
      <c r="AU904" s="45"/>
      <c r="AW904" s="45"/>
      <c r="AX904" s="46">
        <f t="shared" si="40"/>
        <v>0</v>
      </c>
      <c r="AY904" s="46">
        <f t="shared" si="41"/>
        <v>0</v>
      </c>
      <c r="AZ904" s="46">
        <f t="shared" si="42"/>
        <v>0</v>
      </c>
    </row>
    <row r="905" spans="3:52" ht="20.100000000000001" customHeight="1">
      <c r="C905" s="102"/>
      <c r="D905" s="3"/>
      <c r="F905" s="3"/>
      <c r="G905" s="3"/>
      <c r="H905" s="3"/>
      <c r="J905" s="3"/>
      <c r="K905" s="3"/>
      <c r="L905" s="4"/>
      <c r="M905" s="3"/>
      <c r="O905" s="58"/>
      <c r="Q905" s="64"/>
      <c r="R905" s="45"/>
      <c r="S905" s="45"/>
      <c r="U905" s="64"/>
      <c r="V905" s="45"/>
      <c r="W905" s="64"/>
      <c r="X905" s="64"/>
      <c r="Y905" s="45"/>
      <c r="Z905" s="45"/>
      <c r="AA905" s="105"/>
      <c r="AB905" s="105"/>
      <c r="AC905" s="105"/>
      <c r="AD905" s="64"/>
      <c r="AH905" s="64"/>
      <c r="AI905" s="45"/>
      <c r="AJ905" s="105"/>
      <c r="AK905" s="105"/>
      <c r="AL905" s="60"/>
      <c r="AM905" s="60"/>
      <c r="AN905" s="60"/>
      <c r="AO905" s="60"/>
      <c r="AP905" s="60"/>
      <c r="AQ905" s="60"/>
      <c r="AR905" s="60"/>
      <c r="AS905" s="60"/>
      <c r="AT905" s="45"/>
      <c r="AU905" s="45"/>
      <c r="AW905" s="45"/>
      <c r="AX905" s="46">
        <f t="shared" si="40"/>
        <v>0</v>
      </c>
      <c r="AY905" s="46">
        <f t="shared" si="41"/>
        <v>0</v>
      </c>
      <c r="AZ905" s="46">
        <f t="shared" si="42"/>
        <v>0</v>
      </c>
    </row>
    <row r="906" spans="3:52" ht="20.100000000000001" customHeight="1">
      <c r="C906" s="102"/>
      <c r="D906" s="3"/>
      <c r="F906" s="3"/>
      <c r="G906" s="3"/>
      <c r="H906" s="3"/>
      <c r="J906" s="3"/>
      <c r="K906" s="3"/>
      <c r="L906" s="4"/>
      <c r="M906" s="3"/>
      <c r="O906" s="58"/>
      <c r="Q906" s="64"/>
      <c r="R906" s="45"/>
      <c r="S906" s="45"/>
      <c r="U906" s="64"/>
      <c r="V906" s="45"/>
      <c r="W906" s="64"/>
      <c r="X906" s="64"/>
      <c r="Y906" s="45"/>
      <c r="Z906" s="45"/>
      <c r="AA906" s="105"/>
      <c r="AB906" s="105"/>
      <c r="AC906" s="105"/>
      <c r="AD906" s="64"/>
      <c r="AH906" s="64"/>
      <c r="AI906" s="45"/>
      <c r="AJ906" s="105"/>
      <c r="AK906" s="105"/>
      <c r="AL906" s="60"/>
      <c r="AM906" s="60"/>
      <c r="AN906" s="60"/>
      <c r="AO906" s="60"/>
      <c r="AP906" s="60"/>
      <c r="AQ906" s="60"/>
      <c r="AR906" s="60"/>
      <c r="AS906" s="60"/>
      <c r="AT906" s="45"/>
      <c r="AU906" s="45"/>
      <c r="AW906" s="45"/>
      <c r="AX906" s="46">
        <f t="shared" si="40"/>
        <v>0</v>
      </c>
      <c r="AY906" s="46">
        <f t="shared" si="41"/>
        <v>0</v>
      </c>
      <c r="AZ906" s="46">
        <f t="shared" si="42"/>
        <v>0</v>
      </c>
    </row>
    <row r="907" spans="3:52" ht="20.100000000000001" customHeight="1">
      <c r="C907" s="102"/>
      <c r="D907" s="3"/>
      <c r="F907" s="3"/>
      <c r="G907" s="3"/>
      <c r="H907" s="3"/>
      <c r="J907" s="3"/>
      <c r="K907" s="3"/>
      <c r="L907" s="4"/>
      <c r="M907" s="3"/>
      <c r="O907" s="58"/>
      <c r="Q907" s="64"/>
      <c r="R907" s="45"/>
      <c r="S907" s="45"/>
      <c r="U907" s="64"/>
      <c r="V907" s="45"/>
      <c r="W907" s="64"/>
      <c r="X907" s="64"/>
      <c r="Y907" s="45"/>
      <c r="Z907" s="45"/>
      <c r="AA907" s="105"/>
      <c r="AB907" s="105"/>
      <c r="AC907" s="105"/>
      <c r="AD907" s="64"/>
      <c r="AG907" s="45"/>
      <c r="AH907" s="64"/>
      <c r="AI907" s="45"/>
      <c r="AJ907" s="105"/>
      <c r="AK907" s="105"/>
      <c r="AL907" s="60"/>
      <c r="AM907" s="60"/>
      <c r="AN907" s="60"/>
      <c r="AO907" s="60"/>
      <c r="AP907" s="60"/>
      <c r="AQ907" s="60"/>
      <c r="AR907" s="60"/>
      <c r="AS907" s="60"/>
      <c r="AT907" s="45"/>
      <c r="AU907" s="45"/>
      <c r="AW907" s="45"/>
      <c r="AX907" s="46">
        <f t="shared" ref="AX907:AX970" si="43">IFERROR(SUM(Q907:AS907)-SUM(AT907:AU907)+AV907,"-")</f>
        <v>0</v>
      </c>
      <c r="AY907" s="46">
        <f t="shared" ref="AY907:AY970" si="44">IFERROR(SUM(Q907:AS907)-SUM(AT907:AT907),"-")</f>
        <v>0</v>
      </c>
      <c r="AZ907" s="46">
        <f t="shared" ref="AZ907:AZ970" si="45">SUM(Q907:AS907)</f>
        <v>0</v>
      </c>
    </row>
    <row r="908" spans="3:52" ht="20.100000000000001" customHeight="1">
      <c r="C908" s="102"/>
      <c r="D908" s="3"/>
      <c r="F908" s="3"/>
      <c r="G908" s="3"/>
      <c r="H908" s="3"/>
      <c r="J908" s="3"/>
      <c r="K908" s="3"/>
      <c r="L908" s="4"/>
      <c r="M908" s="3"/>
      <c r="O908" s="58"/>
      <c r="Q908" s="64"/>
      <c r="R908" s="45"/>
      <c r="S908" s="45"/>
      <c r="U908" s="64"/>
      <c r="V908" s="45"/>
      <c r="W908" s="64"/>
      <c r="X908" s="64"/>
      <c r="Y908" s="45"/>
      <c r="Z908" s="45"/>
      <c r="AA908" s="105"/>
      <c r="AB908" s="105"/>
      <c r="AC908" s="105"/>
      <c r="AD908" s="64"/>
      <c r="AH908" s="64"/>
      <c r="AI908" s="45"/>
      <c r="AJ908" s="105"/>
      <c r="AK908" s="105"/>
      <c r="AL908" s="60"/>
      <c r="AM908" s="60"/>
      <c r="AN908" s="60"/>
      <c r="AO908" s="60"/>
      <c r="AP908" s="60"/>
      <c r="AQ908" s="60"/>
      <c r="AR908" s="60"/>
      <c r="AS908" s="60"/>
      <c r="AT908" s="45"/>
      <c r="AU908" s="45"/>
      <c r="AW908" s="45"/>
      <c r="AX908" s="46">
        <f t="shared" si="43"/>
        <v>0</v>
      </c>
      <c r="AY908" s="46">
        <f t="shared" si="44"/>
        <v>0</v>
      </c>
      <c r="AZ908" s="46">
        <f t="shared" si="45"/>
        <v>0</v>
      </c>
    </row>
    <row r="909" spans="3:52" ht="20.100000000000001" customHeight="1">
      <c r="C909" s="102"/>
      <c r="D909" s="3"/>
      <c r="F909" s="3"/>
      <c r="G909" s="3"/>
      <c r="H909" s="3"/>
      <c r="J909" s="3"/>
      <c r="K909" s="3"/>
      <c r="L909" s="4"/>
      <c r="M909" s="3"/>
      <c r="O909" s="58"/>
      <c r="Q909" s="64"/>
      <c r="R909" s="45"/>
      <c r="S909" s="45"/>
      <c r="U909" s="64"/>
      <c r="V909" s="45"/>
      <c r="W909" s="64"/>
      <c r="X909" s="64"/>
      <c r="Y909" s="45"/>
      <c r="Z909" s="45"/>
      <c r="AA909" s="105"/>
      <c r="AB909" s="105"/>
      <c r="AC909" s="105"/>
      <c r="AD909" s="64"/>
      <c r="AH909" s="64"/>
      <c r="AI909" s="45"/>
      <c r="AJ909" s="105"/>
      <c r="AK909" s="105"/>
      <c r="AL909" s="60"/>
      <c r="AM909" s="60"/>
      <c r="AN909" s="60"/>
      <c r="AO909" s="60"/>
      <c r="AP909" s="60"/>
      <c r="AQ909" s="60"/>
      <c r="AR909" s="60"/>
      <c r="AS909" s="60"/>
      <c r="AT909" s="45"/>
      <c r="AU909" s="45"/>
      <c r="AW909" s="45"/>
      <c r="AX909" s="46">
        <f t="shared" si="43"/>
        <v>0</v>
      </c>
      <c r="AY909" s="46">
        <f t="shared" si="44"/>
        <v>0</v>
      </c>
      <c r="AZ909" s="46">
        <f t="shared" si="45"/>
        <v>0</v>
      </c>
    </row>
    <row r="910" spans="3:52" ht="20.100000000000001" customHeight="1">
      <c r="C910" s="102"/>
      <c r="D910" s="3"/>
      <c r="F910" s="3"/>
      <c r="G910" s="3"/>
      <c r="H910" s="3"/>
      <c r="J910" s="3"/>
      <c r="K910" s="3"/>
      <c r="L910" s="4"/>
      <c r="M910" s="3"/>
      <c r="O910" s="58"/>
      <c r="Q910" s="64"/>
      <c r="R910" s="45"/>
      <c r="S910" s="45"/>
      <c r="U910" s="64"/>
      <c r="V910" s="45"/>
      <c r="W910" s="64"/>
      <c r="X910" s="64"/>
      <c r="Y910" s="45"/>
      <c r="Z910" s="45"/>
      <c r="AA910" s="105"/>
      <c r="AB910" s="105"/>
      <c r="AC910" s="105"/>
      <c r="AD910" s="64"/>
      <c r="AH910" s="64"/>
      <c r="AI910" s="45"/>
      <c r="AJ910" s="105"/>
      <c r="AK910" s="105"/>
      <c r="AL910" s="60"/>
      <c r="AM910" s="60"/>
      <c r="AN910" s="60"/>
      <c r="AO910" s="60"/>
      <c r="AP910" s="60"/>
      <c r="AQ910" s="60"/>
      <c r="AR910" s="60"/>
      <c r="AS910" s="60"/>
      <c r="AT910" s="45"/>
      <c r="AU910" s="45"/>
      <c r="AW910" s="45"/>
      <c r="AX910" s="46">
        <f t="shared" si="43"/>
        <v>0</v>
      </c>
      <c r="AY910" s="46">
        <f t="shared" si="44"/>
        <v>0</v>
      </c>
      <c r="AZ910" s="46">
        <f t="shared" si="45"/>
        <v>0</v>
      </c>
    </row>
    <row r="911" spans="3:52" ht="20.100000000000001" customHeight="1">
      <c r="C911" s="102"/>
      <c r="D911" s="3"/>
      <c r="F911" s="3"/>
      <c r="G911" s="3"/>
      <c r="H911" s="3"/>
      <c r="J911" s="3"/>
      <c r="K911" s="3"/>
      <c r="L911" s="4"/>
      <c r="M911" s="3"/>
      <c r="O911" s="58"/>
      <c r="Q911" s="64"/>
      <c r="R911" s="45"/>
      <c r="S911" s="45"/>
      <c r="U911" s="64"/>
      <c r="V911" s="45"/>
      <c r="W911" s="64"/>
      <c r="X911" s="64"/>
      <c r="Y911" s="45"/>
      <c r="Z911" s="45"/>
      <c r="AA911" s="105"/>
      <c r="AB911" s="105"/>
      <c r="AC911" s="105"/>
      <c r="AD911" s="64"/>
      <c r="AG911" s="45"/>
      <c r="AH911" s="64"/>
      <c r="AI911" s="45"/>
      <c r="AJ911" s="105"/>
      <c r="AK911" s="105"/>
      <c r="AL911" s="60"/>
      <c r="AM911" s="60"/>
      <c r="AN911" s="60"/>
      <c r="AO911" s="60"/>
      <c r="AP911" s="60"/>
      <c r="AQ911" s="60"/>
      <c r="AR911" s="60"/>
      <c r="AS911" s="60"/>
      <c r="AT911" s="45"/>
      <c r="AU911" s="45"/>
      <c r="AW911" s="45"/>
      <c r="AX911" s="46">
        <f t="shared" si="43"/>
        <v>0</v>
      </c>
      <c r="AY911" s="46">
        <f t="shared" si="44"/>
        <v>0</v>
      </c>
      <c r="AZ911" s="46">
        <f t="shared" si="45"/>
        <v>0</v>
      </c>
    </row>
    <row r="912" spans="3:52" ht="20.100000000000001" customHeight="1">
      <c r="C912" s="102"/>
      <c r="D912" s="3"/>
      <c r="F912" s="3"/>
      <c r="G912" s="3"/>
      <c r="H912" s="3"/>
      <c r="J912" s="3"/>
      <c r="K912" s="3"/>
      <c r="L912" s="4"/>
      <c r="M912" s="3"/>
      <c r="O912" s="58"/>
      <c r="Q912" s="64"/>
      <c r="R912" s="45"/>
      <c r="S912" s="45"/>
      <c r="U912" s="64"/>
      <c r="V912" s="45"/>
      <c r="W912" s="64"/>
      <c r="X912" s="64"/>
      <c r="Y912" s="45"/>
      <c r="Z912" s="45"/>
      <c r="AA912" s="105"/>
      <c r="AB912" s="105"/>
      <c r="AC912" s="105"/>
      <c r="AD912" s="64"/>
      <c r="AG912" s="45"/>
      <c r="AH912" s="64"/>
      <c r="AI912" s="45"/>
      <c r="AJ912" s="105"/>
      <c r="AK912" s="105"/>
      <c r="AL912" s="60"/>
      <c r="AM912" s="60"/>
      <c r="AN912" s="60"/>
      <c r="AO912" s="60"/>
      <c r="AP912" s="60"/>
      <c r="AQ912" s="60"/>
      <c r="AR912" s="60"/>
      <c r="AS912" s="60"/>
      <c r="AT912" s="45"/>
      <c r="AU912" s="45"/>
      <c r="AW912" s="45"/>
      <c r="AX912" s="46">
        <f t="shared" si="43"/>
        <v>0</v>
      </c>
      <c r="AY912" s="46">
        <f t="shared" si="44"/>
        <v>0</v>
      </c>
      <c r="AZ912" s="46">
        <f t="shared" si="45"/>
        <v>0</v>
      </c>
    </row>
    <row r="913" spans="3:52" ht="20.100000000000001" customHeight="1">
      <c r="C913" s="102"/>
      <c r="D913" s="3"/>
      <c r="F913" s="3"/>
      <c r="G913" s="3"/>
      <c r="H913" s="3"/>
      <c r="J913" s="3"/>
      <c r="K913" s="3"/>
      <c r="L913" s="4"/>
      <c r="M913" s="3"/>
      <c r="O913" s="58"/>
      <c r="Q913" s="64"/>
      <c r="R913" s="45"/>
      <c r="S913" s="45"/>
      <c r="U913" s="64"/>
      <c r="V913" s="45"/>
      <c r="W913" s="64"/>
      <c r="X913" s="64"/>
      <c r="Y913" s="45"/>
      <c r="Z913" s="45"/>
      <c r="AA913" s="105"/>
      <c r="AB913" s="105"/>
      <c r="AC913" s="105"/>
      <c r="AD913" s="64"/>
      <c r="AG913" s="45"/>
      <c r="AH913" s="64"/>
      <c r="AI913" s="45"/>
      <c r="AJ913" s="105"/>
      <c r="AK913" s="105"/>
      <c r="AL913" s="60"/>
      <c r="AM913" s="60"/>
      <c r="AN913" s="60"/>
      <c r="AO913" s="60"/>
      <c r="AP913" s="60"/>
      <c r="AQ913" s="60"/>
      <c r="AR913" s="60"/>
      <c r="AS913" s="60"/>
      <c r="AT913" s="45"/>
      <c r="AU913" s="45"/>
      <c r="AW913" s="45"/>
      <c r="AX913" s="46">
        <f t="shared" si="43"/>
        <v>0</v>
      </c>
      <c r="AY913" s="46">
        <f t="shared" si="44"/>
        <v>0</v>
      </c>
      <c r="AZ913" s="46">
        <f t="shared" si="45"/>
        <v>0</v>
      </c>
    </row>
    <row r="914" spans="3:52" ht="20.100000000000001" customHeight="1">
      <c r="C914" s="102"/>
      <c r="D914" s="3"/>
      <c r="F914" s="3"/>
      <c r="G914" s="3"/>
      <c r="H914" s="3"/>
      <c r="J914" s="3"/>
      <c r="K914" s="3"/>
      <c r="L914" s="4"/>
      <c r="M914" s="3"/>
      <c r="O914" s="58"/>
      <c r="Q914" s="64"/>
      <c r="R914" s="45"/>
      <c r="S914" s="45"/>
      <c r="U914" s="64"/>
      <c r="V914" s="45"/>
      <c r="W914" s="64"/>
      <c r="X914" s="64"/>
      <c r="Y914" s="45"/>
      <c r="Z914" s="45"/>
      <c r="AA914" s="105"/>
      <c r="AB914" s="105"/>
      <c r="AC914" s="105"/>
      <c r="AD914" s="64"/>
      <c r="AH914" s="64"/>
      <c r="AI914" s="45"/>
      <c r="AJ914" s="105"/>
      <c r="AK914" s="105"/>
      <c r="AL914" s="60"/>
      <c r="AM914" s="60"/>
      <c r="AN914" s="60"/>
      <c r="AO914" s="60"/>
      <c r="AP914" s="60"/>
      <c r="AQ914" s="60"/>
      <c r="AR914" s="60"/>
      <c r="AS914" s="60"/>
      <c r="AT914" s="45"/>
      <c r="AU914" s="45"/>
      <c r="AW914" s="45"/>
      <c r="AX914" s="46">
        <f t="shared" si="43"/>
        <v>0</v>
      </c>
      <c r="AY914" s="46">
        <f t="shared" si="44"/>
        <v>0</v>
      </c>
      <c r="AZ914" s="46">
        <f t="shared" si="45"/>
        <v>0</v>
      </c>
    </row>
    <row r="915" spans="3:52" ht="20.100000000000001" customHeight="1">
      <c r="C915" s="102"/>
      <c r="D915" s="3"/>
      <c r="F915" s="3"/>
      <c r="G915" s="3"/>
      <c r="H915" s="3"/>
      <c r="J915" s="3"/>
      <c r="K915" s="3"/>
      <c r="L915" s="4"/>
      <c r="M915" s="3"/>
      <c r="O915" s="58"/>
      <c r="Q915" s="64"/>
      <c r="R915" s="45"/>
      <c r="S915" s="45"/>
      <c r="U915" s="64"/>
      <c r="V915" s="45"/>
      <c r="W915" s="64"/>
      <c r="X915" s="64"/>
      <c r="Y915" s="45"/>
      <c r="Z915" s="45"/>
      <c r="AA915" s="105"/>
      <c r="AB915" s="105"/>
      <c r="AC915" s="105"/>
      <c r="AD915" s="64"/>
      <c r="AG915" s="45"/>
      <c r="AH915" s="64"/>
      <c r="AI915" s="45"/>
      <c r="AJ915" s="105"/>
      <c r="AK915" s="105"/>
      <c r="AL915" s="60"/>
      <c r="AM915" s="60"/>
      <c r="AN915" s="60"/>
      <c r="AO915" s="60"/>
      <c r="AP915" s="60"/>
      <c r="AQ915" s="60"/>
      <c r="AR915" s="60"/>
      <c r="AS915" s="60"/>
      <c r="AT915" s="45"/>
      <c r="AU915" s="45"/>
      <c r="AW915" s="45"/>
      <c r="AX915" s="46">
        <f t="shared" si="43"/>
        <v>0</v>
      </c>
      <c r="AY915" s="46">
        <f t="shared" si="44"/>
        <v>0</v>
      </c>
      <c r="AZ915" s="46">
        <f t="shared" si="45"/>
        <v>0</v>
      </c>
    </row>
    <row r="916" spans="3:52" ht="20.100000000000001" customHeight="1">
      <c r="C916" s="102"/>
      <c r="D916" s="3"/>
      <c r="F916" s="3"/>
      <c r="G916" s="3"/>
      <c r="H916" s="3"/>
      <c r="J916" s="3"/>
      <c r="K916" s="3"/>
      <c r="L916" s="4"/>
      <c r="M916" s="3"/>
      <c r="O916" s="58"/>
      <c r="Q916" s="64"/>
      <c r="R916" s="45"/>
      <c r="S916" s="45"/>
      <c r="U916" s="64"/>
      <c r="V916" s="45"/>
      <c r="W916" s="64"/>
      <c r="X916" s="64"/>
      <c r="Y916" s="45"/>
      <c r="Z916" s="45"/>
      <c r="AA916" s="105"/>
      <c r="AB916" s="105"/>
      <c r="AC916" s="105"/>
      <c r="AD916" s="64"/>
      <c r="AH916" s="64"/>
      <c r="AI916" s="45"/>
      <c r="AJ916" s="105"/>
      <c r="AK916" s="105"/>
      <c r="AL916" s="60"/>
      <c r="AM916" s="60"/>
      <c r="AN916" s="60"/>
      <c r="AO916" s="60"/>
      <c r="AP916" s="60"/>
      <c r="AQ916" s="60"/>
      <c r="AR916" s="60"/>
      <c r="AS916" s="60"/>
      <c r="AT916" s="45"/>
      <c r="AU916" s="45"/>
      <c r="AW916" s="45"/>
      <c r="AX916" s="46">
        <f t="shared" si="43"/>
        <v>0</v>
      </c>
      <c r="AY916" s="46">
        <f t="shared" si="44"/>
        <v>0</v>
      </c>
      <c r="AZ916" s="46">
        <f t="shared" si="45"/>
        <v>0</v>
      </c>
    </row>
    <row r="917" spans="3:52" ht="20.100000000000001" customHeight="1">
      <c r="C917" s="102"/>
      <c r="D917" s="3"/>
      <c r="F917" s="3"/>
      <c r="G917" s="3"/>
      <c r="H917" s="3"/>
      <c r="J917" s="3"/>
      <c r="K917" s="3"/>
      <c r="L917" s="4"/>
      <c r="M917" s="3"/>
      <c r="O917" s="58"/>
      <c r="Q917" s="64"/>
      <c r="R917" s="45"/>
      <c r="S917" s="45"/>
      <c r="U917" s="64"/>
      <c r="V917" s="45"/>
      <c r="W917" s="64"/>
      <c r="X917" s="64"/>
      <c r="Y917" s="45"/>
      <c r="Z917" s="45"/>
      <c r="AA917" s="105"/>
      <c r="AB917" s="105"/>
      <c r="AC917" s="105"/>
      <c r="AD917" s="64"/>
      <c r="AG917" s="45"/>
      <c r="AH917" s="64"/>
      <c r="AI917" s="45"/>
      <c r="AJ917" s="105"/>
      <c r="AK917" s="105"/>
      <c r="AL917" s="60"/>
      <c r="AM917" s="60"/>
      <c r="AN917" s="60"/>
      <c r="AO917" s="60"/>
      <c r="AP917" s="60"/>
      <c r="AQ917" s="60"/>
      <c r="AR917" s="60"/>
      <c r="AS917" s="60"/>
      <c r="AT917" s="45"/>
      <c r="AU917" s="45"/>
      <c r="AW917" s="45"/>
      <c r="AX917" s="46">
        <f t="shared" si="43"/>
        <v>0</v>
      </c>
      <c r="AY917" s="46">
        <f t="shared" si="44"/>
        <v>0</v>
      </c>
      <c r="AZ917" s="46">
        <f t="shared" si="45"/>
        <v>0</v>
      </c>
    </row>
    <row r="918" spans="3:52" ht="20.100000000000001" customHeight="1">
      <c r="C918" s="102"/>
      <c r="D918" s="3"/>
      <c r="F918" s="3"/>
      <c r="G918" s="3"/>
      <c r="H918" s="3"/>
      <c r="J918" s="3"/>
      <c r="K918" s="3"/>
      <c r="L918" s="4"/>
      <c r="M918" s="3"/>
      <c r="O918" s="58"/>
      <c r="Q918" s="64"/>
      <c r="R918" s="45"/>
      <c r="S918" s="45"/>
      <c r="U918" s="64"/>
      <c r="V918" s="45"/>
      <c r="W918" s="64"/>
      <c r="X918" s="64"/>
      <c r="Y918" s="45"/>
      <c r="Z918" s="45"/>
      <c r="AA918" s="105"/>
      <c r="AB918" s="105"/>
      <c r="AC918" s="105"/>
      <c r="AD918" s="64"/>
      <c r="AG918" s="45"/>
      <c r="AH918" s="64"/>
      <c r="AI918" s="45"/>
      <c r="AJ918" s="105"/>
      <c r="AK918" s="105"/>
      <c r="AL918" s="60"/>
      <c r="AM918" s="60"/>
      <c r="AN918" s="60"/>
      <c r="AO918" s="60"/>
      <c r="AP918" s="60"/>
      <c r="AQ918" s="60"/>
      <c r="AR918" s="60"/>
      <c r="AS918" s="60"/>
      <c r="AT918" s="45"/>
      <c r="AU918" s="45"/>
      <c r="AW918" s="45"/>
      <c r="AX918" s="46">
        <f t="shared" si="43"/>
        <v>0</v>
      </c>
      <c r="AY918" s="46">
        <f t="shared" si="44"/>
        <v>0</v>
      </c>
      <c r="AZ918" s="46">
        <f t="shared" si="45"/>
        <v>0</v>
      </c>
    </row>
    <row r="919" spans="3:52" ht="20.100000000000001" customHeight="1">
      <c r="C919" s="102"/>
      <c r="D919" s="3"/>
      <c r="F919" s="3"/>
      <c r="G919" s="3"/>
      <c r="H919" s="3"/>
      <c r="J919" s="3"/>
      <c r="K919" s="3"/>
      <c r="L919" s="4"/>
      <c r="M919" s="3"/>
      <c r="O919" s="58"/>
      <c r="Q919" s="64"/>
      <c r="R919" s="45"/>
      <c r="S919" s="45"/>
      <c r="U919" s="64"/>
      <c r="V919" s="45"/>
      <c r="W919" s="64"/>
      <c r="X919" s="64"/>
      <c r="Y919" s="45"/>
      <c r="Z919" s="45"/>
      <c r="AA919" s="105"/>
      <c r="AB919" s="105"/>
      <c r="AC919" s="105"/>
      <c r="AD919" s="64"/>
      <c r="AG919" s="45"/>
      <c r="AH919" s="64"/>
      <c r="AI919" s="45"/>
      <c r="AJ919" s="105"/>
      <c r="AK919" s="105"/>
      <c r="AL919" s="60"/>
      <c r="AM919" s="60"/>
      <c r="AN919" s="60"/>
      <c r="AO919" s="60"/>
      <c r="AP919" s="60"/>
      <c r="AQ919" s="60"/>
      <c r="AR919" s="60"/>
      <c r="AS919" s="60"/>
      <c r="AT919" s="45"/>
      <c r="AU919" s="45"/>
      <c r="AW919" s="45"/>
      <c r="AX919" s="46">
        <f t="shared" si="43"/>
        <v>0</v>
      </c>
      <c r="AY919" s="46">
        <f t="shared" si="44"/>
        <v>0</v>
      </c>
      <c r="AZ919" s="46">
        <f t="shared" si="45"/>
        <v>0</v>
      </c>
    </row>
    <row r="920" spans="3:52" ht="20.100000000000001" customHeight="1">
      <c r="C920" s="102"/>
      <c r="D920" s="3"/>
      <c r="F920" s="3"/>
      <c r="G920" s="3"/>
      <c r="H920" s="3"/>
      <c r="J920" s="3"/>
      <c r="K920" s="3"/>
      <c r="L920" s="4"/>
      <c r="M920" s="3"/>
      <c r="O920" s="58"/>
      <c r="Q920" s="64"/>
      <c r="R920" s="45"/>
      <c r="S920" s="45"/>
      <c r="U920" s="64"/>
      <c r="V920" s="45"/>
      <c r="W920" s="64"/>
      <c r="X920" s="64"/>
      <c r="Y920" s="45"/>
      <c r="Z920" s="45"/>
      <c r="AA920" s="105"/>
      <c r="AB920" s="105"/>
      <c r="AC920" s="105"/>
      <c r="AD920" s="64"/>
      <c r="AG920" s="45"/>
      <c r="AH920" s="64"/>
      <c r="AI920" s="45"/>
      <c r="AJ920" s="105"/>
      <c r="AK920" s="105"/>
      <c r="AL920" s="60"/>
      <c r="AM920" s="60"/>
      <c r="AN920" s="60"/>
      <c r="AO920" s="60"/>
      <c r="AP920" s="60"/>
      <c r="AQ920" s="60"/>
      <c r="AR920" s="60"/>
      <c r="AS920" s="60"/>
      <c r="AT920" s="45"/>
      <c r="AU920" s="45"/>
      <c r="AW920" s="45"/>
      <c r="AX920" s="46">
        <f t="shared" si="43"/>
        <v>0</v>
      </c>
      <c r="AY920" s="46">
        <f t="shared" si="44"/>
        <v>0</v>
      </c>
      <c r="AZ920" s="46">
        <f t="shared" si="45"/>
        <v>0</v>
      </c>
    </row>
    <row r="921" spans="3:52" ht="20.100000000000001" customHeight="1">
      <c r="C921" s="102"/>
      <c r="D921" s="3"/>
      <c r="F921" s="3"/>
      <c r="G921" s="3"/>
      <c r="H921" s="3"/>
      <c r="J921" s="3"/>
      <c r="K921" s="3"/>
      <c r="L921" s="4"/>
      <c r="M921" s="3"/>
      <c r="O921" s="58"/>
      <c r="Q921" s="64"/>
      <c r="R921" s="45"/>
      <c r="S921" s="45"/>
      <c r="U921" s="64"/>
      <c r="V921" s="45"/>
      <c r="W921" s="64"/>
      <c r="X921" s="64"/>
      <c r="Y921" s="45"/>
      <c r="Z921" s="45"/>
      <c r="AA921" s="105"/>
      <c r="AB921" s="105"/>
      <c r="AC921" s="105"/>
      <c r="AD921" s="64"/>
      <c r="AH921" s="64"/>
      <c r="AI921" s="45"/>
      <c r="AJ921" s="105"/>
      <c r="AK921" s="105"/>
      <c r="AL921" s="60"/>
      <c r="AM921" s="60"/>
      <c r="AN921" s="60"/>
      <c r="AO921" s="60"/>
      <c r="AP921" s="60"/>
      <c r="AQ921" s="60"/>
      <c r="AR921" s="60"/>
      <c r="AS921" s="60"/>
      <c r="AT921" s="45"/>
      <c r="AU921" s="45"/>
      <c r="AW921" s="45"/>
      <c r="AX921" s="46">
        <f t="shared" si="43"/>
        <v>0</v>
      </c>
      <c r="AY921" s="46">
        <f t="shared" si="44"/>
        <v>0</v>
      </c>
      <c r="AZ921" s="46">
        <f t="shared" si="45"/>
        <v>0</v>
      </c>
    </row>
    <row r="922" spans="3:52" ht="20.100000000000001" customHeight="1">
      <c r="C922" s="102"/>
      <c r="D922" s="3"/>
      <c r="F922" s="3"/>
      <c r="G922" s="3"/>
      <c r="H922" s="3"/>
      <c r="J922" s="3"/>
      <c r="K922" s="3"/>
      <c r="L922" s="4"/>
      <c r="M922" s="3"/>
      <c r="O922" s="58"/>
      <c r="Q922" s="64"/>
      <c r="R922" s="45"/>
      <c r="S922" s="45"/>
      <c r="U922" s="64"/>
      <c r="V922" s="45"/>
      <c r="W922" s="64"/>
      <c r="X922" s="64"/>
      <c r="Y922" s="45"/>
      <c r="Z922" s="45"/>
      <c r="AA922" s="105"/>
      <c r="AB922" s="105"/>
      <c r="AC922" s="105"/>
      <c r="AD922" s="64"/>
      <c r="AG922" s="45"/>
      <c r="AH922" s="64"/>
      <c r="AI922" s="45"/>
      <c r="AJ922" s="105"/>
      <c r="AK922" s="105"/>
      <c r="AL922" s="60"/>
      <c r="AM922" s="60"/>
      <c r="AN922" s="60"/>
      <c r="AO922" s="60"/>
      <c r="AP922" s="60"/>
      <c r="AQ922" s="60"/>
      <c r="AR922" s="60"/>
      <c r="AS922" s="60"/>
      <c r="AT922" s="45"/>
      <c r="AU922" s="45"/>
      <c r="AW922" s="45"/>
      <c r="AX922" s="46">
        <f t="shared" si="43"/>
        <v>0</v>
      </c>
      <c r="AY922" s="46">
        <f t="shared" si="44"/>
        <v>0</v>
      </c>
      <c r="AZ922" s="46">
        <f t="shared" si="45"/>
        <v>0</v>
      </c>
    </row>
    <row r="923" spans="3:52" ht="20.100000000000001" customHeight="1">
      <c r="C923" s="102"/>
      <c r="D923" s="3"/>
      <c r="F923" s="3"/>
      <c r="G923" s="3"/>
      <c r="H923" s="3"/>
      <c r="J923" s="3"/>
      <c r="K923" s="3"/>
      <c r="L923" s="4"/>
      <c r="M923" s="3"/>
      <c r="O923" s="58"/>
      <c r="Q923" s="64"/>
      <c r="R923" s="45"/>
      <c r="S923" s="45"/>
      <c r="U923" s="64"/>
      <c r="V923" s="45"/>
      <c r="W923" s="64"/>
      <c r="X923" s="64"/>
      <c r="Y923" s="45"/>
      <c r="Z923" s="45"/>
      <c r="AA923" s="105"/>
      <c r="AB923" s="105"/>
      <c r="AC923" s="105"/>
      <c r="AD923" s="64"/>
      <c r="AG923" s="45"/>
      <c r="AH923" s="64"/>
      <c r="AI923" s="45"/>
      <c r="AJ923" s="105"/>
      <c r="AK923" s="105"/>
      <c r="AL923" s="60"/>
      <c r="AM923" s="60"/>
      <c r="AN923" s="60"/>
      <c r="AO923" s="60"/>
      <c r="AP923" s="60"/>
      <c r="AQ923" s="60"/>
      <c r="AR923" s="60"/>
      <c r="AS923" s="60"/>
      <c r="AT923" s="45"/>
      <c r="AU923" s="45"/>
      <c r="AW923" s="45"/>
      <c r="AX923" s="46">
        <f t="shared" si="43"/>
        <v>0</v>
      </c>
      <c r="AY923" s="46">
        <f t="shared" si="44"/>
        <v>0</v>
      </c>
      <c r="AZ923" s="46">
        <f t="shared" si="45"/>
        <v>0</v>
      </c>
    </row>
    <row r="924" spans="3:52" ht="20.100000000000001" customHeight="1">
      <c r="C924" s="102"/>
      <c r="D924" s="3"/>
      <c r="F924" s="3"/>
      <c r="G924" s="3"/>
      <c r="H924" s="3"/>
      <c r="J924" s="3"/>
      <c r="K924" s="3"/>
      <c r="L924" s="4"/>
      <c r="M924" s="3"/>
      <c r="O924" s="58"/>
      <c r="Q924" s="64"/>
      <c r="R924" s="45"/>
      <c r="S924" s="45"/>
      <c r="U924" s="64"/>
      <c r="V924" s="45"/>
      <c r="W924" s="64"/>
      <c r="X924" s="64"/>
      <c r="Y924" s="45"/>
      <c r="Z924" s="45"/>
      <c r="AA924" s="105"/>
      <c r="AB924" s="105"/>
      <c r="AC924" s="105"/>
      <c r="AD924" s="64"/>
      <c r="AH924" s="64"/>
      <c r="AI924" s="45"/>
      <c r="AJ924" s="105"/>
      <c r="AK924" s="105"/>
      <c r="AL924" s="60"/>
      <c r="AM924" s="60"/>
      <c r="AN924" s="60"/>
      <c r="AO924" s="60"/>
      <c r="AP924" s="60"/>
      <c r="AQ924" s="60"/>
      <c r="AR924" s="60"/>
      <c r="AS924" s="60"/>
      <c r="AT924" s="45"/>
      <c r="AU924" s="45"/>
      <c r="AW924" s="45"/>
      <c r="AX924" s="46">
        <f t="shared" si="43"/>
        <v>0</v>
      </c>
      <c r="AY924" s="46">
        <f t="shared" si="44"/>
        <v>0</v>
      </c>
      <c r="AZ924" s="46">
        <f t="shared" si="45"/>
        <v>0</v>
      </c>
    </row>
    <row r="925" spans="3:52" ht="20.100000000000001" customHeight="1">
      <c r="C925" s="102"/>
      <c r="D925" s="3"/>
      <c r="F925" s="3"/>
      <c r="G925" s="3"/>
      <c r="H925" s="3"/>
      <c r="J925" s="3"/>
      <c r="K925" s="3"/>
      <c r="L925" s="4"/>
      <c r="M925" s="3"/>
      <c r="O925" s="58"/>
      <c r="Q925" s="64"/>
      <c r="R925" s="45"/>
      <c r="S925" s="45"/>
      <c r="U925" s="64"/>
      <c r="V925" s="45"/>
      <c r="W925" s="64"/>
      <c r="X925" s="64"/>
      <c r="Y925" s="45"/>
      <c r="Z925" s="45"/>
      <c r="AA925" s="105"/>
      <c r="AB925" s="105"/>
      <c r="AC925" s="105"/>
      <c r="AD925" s="64"/>
      <c r="AG925" s="45"/>
      <c r="AH925" s="64"/>
      <c r="AI925" s="45"/>
      <c r="AJ925" s="105"/>
      <c r="AK925" s="105"/>
      <c r="AL925" s="60"/>
      <c r="AM925" s="60"/>
      <c r="AN925" s="60"/>
      <c r="AO925" s="60"/>
      <c r="AP925" s="60"/>
      <c r="AQ925" s="60"/>
      <c r="AR925" s="60"/>
      <c r="AS925" s="60"/>
      <c r="AT925" s="45"/>
      <c r="AU925" s="45"/>
      <c r="AW925" s="45"/>
      <c r="AX925" s="46">
        <f t="shared" si="43"/>
        <v>0</v>
      </c>
      <c r="AY925" s="46">
        <f t="shared" si="44"/>
        <v>0</v>
      </c>
      <c r="AZ925" s="46">
        <f t="shared" si="45"/>
        <v>0</v>
      </c>
    </row>
    <row r="926" spans="3:52" ht="20.100000000000001" customHeight="1">
      <c r="C926" s="102"/>
      <c r="D926" s="3"/>
      <c r="F926" s="3"/>
      <c r="G926" s="3"/>
      <c r="H926" s="3"/>
      <c r="J926" s="3"/>
      <c r="K926" s="3"/>
      <c r="L926" s="4"/>
      <c r="M926" s="3"/>
      <c r="O926" s="58"/>
      <c r="Q926" s="64"/>
      <c r="R926" s="45"/>
      <c r="S926" s="45"/>
      <c r="U926" s="64"/>
      <c r="V926" s="45"/>
      <c r="W926" s="64"/>
      <c r="X926" s="64"/>
      <c r="Y926" s="45"/>
      <c r="Z926" s="45"/>
      <c r="AA926" s="105"/>
      <c r="AB926" s="105"/>
      <c r="AC926" s="105"/>
      <c r="AD926" s="64"/>
      <c r="AG926" s="45"/>
      <c r="AH926" s="64"/>
      <c r="AI926" s="45"/>
      <c r="AJ926" s="105"/>
      <c r="AK926" s="105"/>
      <c r="AL926" s="60"/>
      <c r="AM926" s="60"/>
      <c r="AN926" s="60"/>
      <c r="AO926" s="60"/>
      <c r="AP926" s="60"/>
      <c r="AQ926" s="60"/>
      <c r="AR926" s="60"/>
      <c r="AS926" s="60"/>
      <c r="AT926" s="45"/>
      <c r="AU926" s="45"/>
      <c r="AW926" s="45"/>
      <c r="AX926" s="46">
        <f t="shared" si="43"/>
        <v>0</v>
      </c>
      <c r="AY926" s="46">
        <f t="shared" si="44"/>
        <v>0</v>
      </c>
      <c r="AZ926" s="46">
        <f t="shared" si="45"/>
        <v>0</v>
      </c>
    </row>
    <row r="927" spans="3:52" ht="20.100000000000001" customHeight="1">
      <c r="C927" s="102"/>
      <c r="D927" s="3"/>
      <c r="F927" s="3"/>
      <c r="G927" s="3"/>
      <c r="H927" s="3"/>
      <c r="J927" s="3"/>
      <c r="K927" s="3"/>
      <c r="L927" s="4"/>
      <c r="M927" s="3"/>
      <c r="O927" s="58"/>
      <c r="Q927" s="64"/>
      <c r="R927" s="45"/>
      <c r="S927" s="45"/>
      <c r="U927" s="64"/>
      <c r="V927" s="45"/>
      <c r="W927" s="64"/>
      <c r="X927" s="64"/>
      <c r="Y927" s="45"/>
      <c r="Z927" s="45"/>
      <c r="AA927" s="105"/>
      <c r="AB927" s="105"/>
      <c r="AC927" s="105"/>
      <c r="AD927" s="64"/>
      <c r="AG927" s="45"/>
      <c r="AH927" s="64"/>
      <c r="AI927" s="45"/>
      <c r="AJ927" s="105"/>
      <c r="AK927" s="105"/>
      <c r="AL927" s="60"/>
      <c r="AM927" s="60"/>
      <c r="AN927" s="60"/>
      <c r="AO927" s="60"/>
      <c r="AP927" s="60"/>
      <c r="AQ927" s="60"/>
      <c r="AR927" s="60"/>
      <c r="AS927" s="60"/>
      <c r="AT927" s="45"/>
      <c r="AU927" s="45"/>
      <c r="AW927" s="45"/>
      <c r="AX927" s="46">
        <f t="shared" si="43"/>
        <v>0</v>
      </c>
      <c r="AY927" s="46">
        <f t="shared" si="44"/>
        <v>0</v>
      </c>
      <c r="AZ927" s="46">
        <f t="shared" si="45"/>
        <v>0</v>
      </c>
    </row>
    <row r="928" spans="3:52" ht="20.100000000000001" customHeight="1">
      <c r="C928" s="102"/>
      <c r="D928" s="3"/>
      <c r="F928" s="3"/>
      <c r="G928" s="3"/>
      <c r="H928" s="3"/>
      <c r="J928" s="3"/>
      <c r="K928" s="3"/>
      <c r="L928" s="4"/>
      <c r="M928" s="3"/>
      <c r="O928" s="58"/>
      <c r="Q928" s="64"/>
      <c r="R928" s="45"/>
      <c r="S928" s="45"/>
      <c r="U928" s="64"/>
      <c r="V928" s="45"/>
      <c r="W928" s="64"/>
      <c r="X928" s="64"/>
      <c r="Y928" s="45"/>
      <c r="Z928" s="45"/>
      <c r="AA928" s="105"/>
      <c r="AB928" s="105"/>
      <c r="AC928" s="105"/>
      <c r="AD928" s="64"/>
      <c r="AG928" s="45"/>
      <c r="AH928" s="64"/>
      <c r="AI928" s="45"/>
      <c r="AJ928" s="105"/>
      <c r="AK928" s="105"/>
      <c r="AL928" s="60"/>
      <c r="AM928" s="60"/>
      <c r="AN928" s="60"/>
      <c r="AO928" s="60"/>
      <c r="AP928" s="60"/>
      <c r="AQ928" s="60"/>
      <c r="AR928" s="60"/>
      <c r="AS928" s="60"/>
      <c r="AT928" s="45"/>
      <c r="AU928" s="45"/>
      <c r="AW928" s="45"/>
      <c r="AX928" s="46">
        <f t="shared" si="43"/>
        <v>0</v>
      </c>
      <c r="AY928" s="46">
        <f t="shared" si="44"/>
        <v>0</v>
      </c>
      <c r="AZ928" s="46">
        <f t="shared" si="45"/>
        <v>0</v>
      </c>
    </row>
    <row r="929" spans="3:52" ht="20.100000000000001" customHeight="1">
      <c r="C929" s="102"/>
      <c r="D929" s="3"/>
      <c r="F929" s="3"/>
      <c r="G929" s="3"/>
      <c r="H929" s="3"/>
      <c r="J929" s="3"/>
      <c r="K929" s="3"/>
      <c r="L929" s="4"/>
      <c r="M929" s="3"/>
      <c r="O929" s="58"/>
      <c r="Q929" s="64"/>
      <c r="R929" s="45"/>
      <c r="S929" s="45"/>
      <c r="U929" s="64"/>
      <c r="V929" s="45"/>
      <c r="W929" s="64"/>
      <c r="X929" s="64"/>
      <c r="Y929" s="45"/>
      <c r="Z929" s="45"/>
      <c r="AA929" s="105"/>
      <c r="AB929" s="105"/>
      <c r="AC929" s="105"/>
      <c r="AD929" s="64"/>
      <c r="AG929" s="45"/>
      <c r="AH929" s="64"/>
      <c r="AI929" s="45"/>
      <c r="AJ929" s="105"/>
      <c r="AK929" s="105"/>
      <c r="AL929" s="60"/>
      <c r="AM929" s="60"/>
      <c r="AN929" s="60"/>
      <c r="AO929" s="60"/>
      <c r="AP929" s="60"/>
      <c r="AQ929" s="60"/>
      <c r="AR929" s="60"/>
      <c r="AS929" s="60"/>
      <c r="AT929" s="45"/>
      <c r="AU929" s="45"/>
      <c r="AW929" s="45"/>
      <c r="AX929" s="46">
        <f t="shared" si="43"/>
        <v>0</v>
      </c>
      <c r="AY929" s="46">
        <f t="shared" si="44"/>
        <v>0</v>
      </c>
      <c r="AZ929" s="46">
        <f t="shared" si="45"/>
        <v>0</v>
      </c>
    </row>
    <row r="930" spans="3:52" ht="20.100000000000001" customHeight="1">
      <c r="C930" s="102"/>
      <c r="D930" s="3"/>
      <c r="F930" s="3"/>
      <c r="G930" s="3"/>
      <c r="H930" s="3"/>
      <c r="J930" s="3"/>
      <c r="K930" s="3"/>
      <c r="L930" s="4"/>
      <c r="M930" s="3"/>
      <c r="O930" s="58"/>
      <c r="Q930" s="64"/>
      <c r="R930" s="45"/>
      <c r="S930" s="45"/>
      <c r="U930" s="64"/>
      <c r="V930" s="45"/>
      <c r="W930" s="64"/>
      <c r="X930" s="64"/>
      <c r="Y930" s="45"/>
      <c r="Z930" s="45"/>
      <c r="AA930" s="105"/>
      <c r="AB930" s="105"/>
      <c r="AC930" s="105"/>
      <c r="AD930" s="64"/>
      <c r="AH930" s="64"/>
      <c r="AI930" s="45"/>
      <c r="AJ930" s="105"/>
      <c r="AK930" s="105"/>
      <c r="AL930" s="60"/>
      <c r="AM930" s="60"/>
      <c r="AN930" s="60"/>
      <c r="AO930" s="60"/>
      <c r="AP930" s="60"/>
      <c r="AQ930" s="60"/>
      <c r="AR930" s="60"/>
      <c r="AS930" s="60"/>
      <c r="AT930" s="45"/>
      <c r="AU930" s="45"/>
      <c r="AW930" s="45"/>
      <c r="AX930" s="46">
        <f t="shared" si="43"/>
        <v>0</v>
      </c>
      <c r="AY930" s="46">
        <f t="shared" si="44"/>
        <v>0</v>
      </c>
      <c r="AZ930" s="46">
        <f t="shared" si="45"/>
        <v>0</v>
      </c>
    </row>
    <row r="931" spans="3:52" ht="20.100000000000001" customHeight="1">
      <c r="C931" s="102"/>
      <c r="D931" s="3"/>
      <c r="F931" s="3"/>
      <c r="G931" s="3"/>
      <c r="H931" s="3"/>
      <c r="J931" s="3"/>
      <c r="K931" s="3"/>
      <c r="L931" s="4"/>
      <c r="M931" s="3"/>
      <c r="O931" s="58"/>
      <c r="Q931" s="64"/>
      <c r="R931" s="45"/>
      <c r="S931" s="45"/>
      <c r="U931" s="64"/>
      <c r="V931" s="45"/>
      <c r="W931" s="64"/>
      <c r="X931" s="64"/>
      <c r="Y931" s="45"/>
      <c r="Z931" s="45"/>
      <c r="AA931" s="105"/>
      <c r="AB931" s="105"/>
      <c r="AC931" s="105"/>
      <c r="AD931" s="64"/>
      <c r="AH931" s="64"/>
      <c r="AI931" s="45"/>
      <c r="AJ931" s="105"/>
      <c r="AK931" s="105"/>
      <c r="AL931" s="60"/>
      <c r="AM931" s="60"/>
      <c r="AN931" s="60"/>
      <c r="AO931" s="60"/>
      <c r="AP931" s="60"/>
      <c r="AQ931" s="60"/>
      <c r="AR931" s="60"/>
      <c r="AS931" s="60"/>
      <c r="AT931" s="45"/>
      <c r="AU931" s="45"/>
      <c r="AW931" s="45"/>
      <c r="AX931" s="46">
        <f t="shared" si="43"/>
        <v>0</v>
      </c>
      <c r="AY931" s="46">
        <f t="shared" si="44"/>
        <v>0</v>
      </c>
      <c r="AZ931" s="46">
        <f t="shared" si="45"/>
        <v>0</v>
      </c>
    </row>
    <row r="932" spans="3:52" ht="20.100000000000001" customHeight="1">
      <c r="C932" s="102"/>
      <c r="D932" s="3"/>
      <c r="F932" s="3"/>
      <c r="G932" s="3"/>
      <c r="H932" s="3"/>
      <c r="J932" s="3"/>
      <c r="K932" s="3"/>
      <c r="L932" s="4"/>
      <c r="M932" s="3"/>
      <c r="O932" s="58"/>
      <c r="Q932" s="64"/>
      <c r="R932" s="45"/>
      <c r="S932" s="45"/>
      <c r="U932" s="64"/>
      <c r="V932" s="45"/>
      <c r="W932" s="64"/>
      <c r="X932" s="64"/>
      <c r="Y932" s="45"/>
      <c r="Z932" s="45"/>
      <c r="AA932" s="105"/>
      <c r="AB932" s="105"/>
      <c r="AC932" s="105"/>
      <c r="AD932" s="64"/>
      <c r="AH932" s="64"/>
      <c r="AI932" s="45"/>
      <c r="AJ932" s="105"/>
      <c r="AK932" s="105"/>
      <c r="AL932" s="60"/>
      <c r="AM932" s="60"/>
      <c r="AN932" s="60"/>
      <c r="AO932" s="60"/>
      <c r="AP932" s="60"/>
      <c r="AQ932" s="60"/>
      <c r="AR932" s="60"/>
      <c r="AS932" s="60"/>
      <c r="AT932" s="45"/>
      <c r="AU932" s="45"/>
      <c r="AW932" s="45"/>
      <c r="AX932" s="46">
        <f t="shared" si="43"/>
        <v>0</v>
      </c>
      <c r="AY932" s="46">
        <f t="shared" si="44"/>
        <v>0</v>
      </c>
      <c r="AZ932" s="46">
        <f t="shared" si="45"/>
        <v>0</v>
      </c>
    </row>
    <row r="933" spans="3:52" ht="20.100000000000001" customHeight="1">
      <c r="C933" s="102"/>
      <c r="D933" s="3"/>
      <c r="F933" s="3"/>
      <c r="G933" s="3"/>
      <c r="H933" s="3"/>
      <c r="J933" s="3"/>
      <c r="K933" s="3"/>
      <c r="L933" s="4"/>
      <c r="M933" s="3"/>
      <c r="O933" s="58"/>
      <c r="Q933" s="64"/>
      <c r="R933" s="45"/>
      <c r="S933" s="45"/>
      <c r="U933" s="64"/>
      <c r="V933" s="45"/>
      <c r="W933" s="64"/>
      <c r="X933" s="64"/>
      <c r="Y933" s="45"/>
      <c r="Z933" s="45"/>
      <c r="AA933" s="105"/>
      <c r="AB933" s="105"/>
      <c r="AC933" s="105"/>
      <c r="AD933" s="64"/>
      <c r="AH933" s="64"/>
      <c r="AI933" s="45"/>
      <c r="AJ933" s="105"/>
      <c r="AK933" s="105"/>
      <c r="AL933" s="60"/>
      <c r="AM933" s="60"/>
      <c r="AN933" s="60"/>
      <c r="AO933" s="60"/>
      <c r="AP933" s="60"/>
      <c r="AQ933" s="60"/>
      <c r="AR933" s="60"/>
      <c r="AS933" s="60"/>
      <c r="AT933" s="45"/>
      <c r="AU933" s="45"/>
      <c r="AW933" s="45"/>
      <c r="AX933" s="46">
        <f t="shared" si="43"/>
        <v>0</v>
      </c>
      <c r="AY933" s="46">
        <f t="shared" si="44"/>
        <v>0</v>
      </c>
      <c r="AZ933" s="46">
        <f t="shared" si="45"/>
        <v>0</v>
      </c>
    </row>
    <row r="934" spans="3:52" ht="20.100000000000001" customHeight="1">
      <c r="C934" s="102"/>
      <c r="D934" s="3"/>
      <c r="F934" s="3"/>
      <c r="G934" s="3"/>
      <c r="H934" s="3"/>
      <c r="J934" s="3"/>
      <c r="K934" s="3"/>
      <c r="L934" s="4"/>
      <c r="M934" s="3"/>
      <c r="O934" s="58"/>
      <c r="Q934" s="64"/>
      <c r="R934" s="45"/>
      <c r="S934" s="45"/>
      <c r="U934" s="64"/>
      <c r="V934" s="45"/>
      <c r="W934" s="64"/>
      <c r="X934" s="64"/>
      <c r="Y934" s="45"/>
      <c r="Z934" s="45"/>
      <c r="AA934" s="105"/>
      <c r="AB934" s="105"/>
      <c r="AC934" s="105"/>
      <c r="AD934" s="64"/>
      <c r="AG934" s="45"/>
      <c r="AH934" s="64"/>
      <c r="AI934" s="45"/>
      <c r="AJ934" s="105"/>
      <c r="AK934" s="105"/>
      <c r="AL934" s="60"/>
      <c r="AM934" s="60"/>
      <c r="AN934" s="60"/>
      <c r="AO934" s="60"/>
      <c r="AP934" s="60"/>
      <c r="AQ934" s="60"/>
      <c r="AR934" s="60"/>
      <c r="AS934" s="60"/>
      <c r="AT934" s="45"/>
      <c r="AU934" s="45"/>
      <c r="AW934" s="45"/>
      <c r="AX934" s="46">
        <f t="shared" si="43"/>
        <v>0</v>
      </c>
      <c r="AY934" s="46">
        <f t="shared" si="44"/>
        <v>0</v>
      </c>
      <c r="AZ934" s="46">
        <f t="shared" si="45"/>
        <v>0</v>
      </c>
    </row>
    <row r="935" spans="3:52" ht="20.100000000000001" customHeight="1">
      <c r="C935" s="102"/>
      <c r="D935" s="3"/>
      <c r="F935" s="3"/>
      <c r="G935" s="3"/>
      <c r="H935" s="3"/>
      <c r="J935" s="3"/>
      <c r="K935" s="3"/>
      <c r="L935" s="4"/>
      <c r="M935" s="3"/>
      <c r="O935" s="58"/>
      <c r="Q935" s="64"/>
      <c r="R935" s="45"/>
      <c r="S935" s="45"/>
      <c r="U935" s="64"/>
      <c r="V935" s="45"/>
      <c r="W935" s="64"/>
      <c r="X935" s="64"/>
      <c r="Y935" s="45"/>
      <c r="Z935" s="45"/>
      <c r="AA935" s="105"/>
      <c r="AB935" s="105"/>
      <c r="AC935" s="105"/>
      <c r="AD935" s="64"/>
      <c r="AH935" s="64"/>
      <c r="AI935" s="45"/>
      <c r="AJ935" s="105"/>
      <c r="AK935" s="105"/>
      <c r="AL935" s="60"/>
      <c r="AM935" s="60"/>
      <c r="AN935" s="60"/>
      <c r="AO935" s="60"/>
      <c r="AP935" s="60"/>
      <c r="AQ935" s="60"/>
      <c r="AR935" s="60"/>
      <c r="AS935" s="60"/>
      <c r="AT935" s="45"/>
      <c r="AU935" s="45"/>
      <c r="AW935" s="45"/>
      <c r="AX935" s="46">
        <f t="shared" si="43"/>
        <v>0</v>
      </c>
      <c r="AY935" s="46">
        <f t="shared" si="44"/>
        <v>0</v>
      </c>
      <c r="AZ935" s="46">
        <f t="shared" si="45"/>
        <v>0</v>
      </c>
    </row>
    <row r="936" spans="3:52" ht="20.100000000000001" customHeight="1">
      <c r="C936" s="102"/>
      <c r="D936" s="3"/>
      <c r="F936" s="3"/>
      <c r="G936" s="3"/>
      <c r="H936" s="3"/>
      <c r="J936" s="3"/>
      <c r="K936" s="3"/>
      <c r="L936" s="4"/>
      <c r="M936" s="3"/>
      <c r="O936" s="58"/>
      <c r="Q936" s="64"/>
      <c r="R936" s="45"/>
      <c r="S936" s="45"/>
      <c r="U936" s="64"/>
      <c r="V936" s="45"/>
      <c r="W936" s="64"/>
      <c r="X936" s="64"/>
      <c r="Y936" s="45"/>
      <c r="Z936" s="45"/>
      <c r="AA936" s="105"/>
      <c r="AB936" s="105"/>
      <c r="AC936" s="105"/>
      <c r="AD936" s="64"/>
      <c r="AG936" s="45"/>
      <c r="AH936" s="64"/>
      <c r="AI936" s="45"/>
      <c r="AJ936" s="105"/>
      <c r="AK936" s="105"/>
      <c r="AL936" s="60"/>
      <c r="AM936" s="60"/>
      <c r="AN936" s="60"/>
      <c r="AO936" s="60"/>
      <c r="AP936" s="60"/>
      <c r="AQ936" s="60"/>
      <c r="AR936" s="60"/>
      <c r="AS936" s="60"/>
      <c r="AT936" s="45"/>
      <c r="AU936" s="45"/>
      <c r="AW936" s="45"/>
      <c r="AX936" s="46">
        <f t="shared" si="43"/>
        <v>0</v>
      </c>
      <c r="AY936" s="46">
        <f t="shared" si="44"/>
        <v>0</v>
      </c>
      <c r="AZ936" s="46">
        <f t="shared" si="45"/>
        <v>0</v>
      </c>
    </row>
    <row r="937" spans="3:52" ht="20.100000000000001" customHeight="1">
      <c r="C937" s="102"/>
      <c r="D937" s="3"/>
      <c r="F937" s="3"/>
      <c r="G937" s="3"/>
      <c r="H937" s="3"/>
      <c r="J937" s="3"/>
      <c r="K937" s="3"/>
      <c r="L937" s="4"/>
      <c r="M937" s="3"/>
      <c r="O937" s="58"/>
      <c r="Q937" s="64"/>
      <c r="R937" s="45"/>
      <c r="S937" s="45"/>
      <c r="U937" s="64"/>
      <c r="V937" s="45"/>
      <c r="W937" s="64"/>
      <c r="X937" s="64"/>
      <c r="Y937" s="45"/>
      <c r="Z937" s="45"/>
      <c r="AA937" s="105"/>
      <c r="AB937" s="105"/>
      <c r="AC937" s="105"/>
      <c r="AD937" s="64"/>
      <c r="AG937" s="45"/>
      <c r="AH937" s="64"/>
      <c r="AI937" s="45"/>
      <c r="AJ937" s="105"/>
      <c r="AK937" s="105"/>
      <c r="AL937" s="60"/>
      <c r="AM937" s="60"/>
      <c r="AN937" s="60"/>
      <c r="AO937" s="60"/>
      <c r="AP937" s="60"/>
      <c r="AQ937" s="60"/>
      <c r="AR937" s="60"/>
      <c r="AS937" s="60"/>
      <c r="AT937" s="45"/>
      <c r="AU937" s="45"/>
      <c r="AW937" s="45"/>
      <c r="AX937" s="46">
        <f t="shared" si="43"/>
        <v>0</v>
      </c>
      <c r="AY937" s="46">
        <f t="shared" si="44"/>
        <v>0</v>
      </c>
      <c r="AZ937" s="46">
        <f t="shared" si="45"/>
        <v>0</v>
      </c>
    </row>
    <row r="938" spans="3:52" ht="20.100000000000001" customHeight="1">
      <c r="C938" s="102"/>
      <c r="D938" s="3"/>
      <c r="F938" s="3"/>
      <c r="G938" s="3"/>
      <c r="H938" s="3"/>
      <c r="J938" s="3"/>
      <c r="K938" s="3"/>
      <c r="L938" s="4"/>
      <c r="M938" s="3"/>
      <c r="O938" s="58"/>
      <c r="Q938" s="64"/>
      <c r="R938" s="45"/>
      <c r="S938" s="45"/>
      <c r="U938" s="64"/>
      <c r="V938" s="45"/>
      <c r="W938" s="64"/>
      <c r="X938" s="64"/>
      <c r="Y938" s="45"/>
      <c r="Z938" s="45"/>
      <c r="AA938" s="105"/>
      <c r="AB938" s="105"/>
      <c r="AC938" s="105"/>
      <c r="AD938" s="64"/>
      <c r="AG938" s="45"/>
      <c r="AH938" s="64"/>
      <c r="AI938" s="45"/>
      <c r="AJ938" s="105"/>
      <c r="AK938" s="105"/>
      <c r="AL938" s="60"/>
      <c r="AM938" s="60"/>
      <c r="AN938" s="60"/>
      <c r="AO938" s="60"/>
      <c r="AP938" s="60"/>
      <c r="AQ938" s="60"/>
      <c r="AR938" s="60"/>
      <c r="AS938" s="60"/>
      <c r="AT938" s="45"/>
      <c r="AU938" s="45"/>
      <c r="AW938" s="45"/>
      <c r="AX938" s="46">
        <f t="shared" si="43"/>
        <v>0</v>
      </c>
      <c r="AY938" s="46">
        <f t="shared" si="44"/>
        <v>0</v>
      </c>
      <c r="AZ938" s="46">
        <f t="shared" si="45"/>
        <v>0</v>
      </c>
    </row>
    <row r="939" spans="3:52" ht="20.100000000000001" customHeight="1">
      <c r="C939" s="102"/>
      <c r="D939" s="3"/>
      <c r="F939" s="3"/>
      <c r="G939" s="3"/>
      <c r="H939" s="3"/>
      <c r="J939" s="3"/>
      <c r="K939" s="3"/>
      <c r="L939" s="4"/>
      <c r="M939" s="3"/>
      <c r="O939" s="58"/>
      <c r="Q939" s="64"/>
      <c r="R939" s="45"/>
      <c r="S939" s="45"/>
      <c r="U939" s="64"/>
      <c r="V939" s="45"/>
      <c r="W939" s="64"/>
      <c r="X939" s="64"/>
      <c r="Y939" s="45"/>
      <c r="Z939" s="45"/>
      <c r="AA939" s="105"/>
      <c r="AB939" s="105"/>
      <c r="AC939" s="105"/>
      <c r="AD939" s="64"/>
      <c r="AH939" s="64"/>
      <c r="AI939" s="45"/>
      <c r="AJ939" s="105"/>
      <c r="AK939" s="105"/>
      <c r="AL939" s="60"/>
      <c r="AM939" s="60"/>
      <c r="AN939" s="60"/>
      <c r="AO939" s="60"/>
      <c r="AP939" s="60"/>
      <c r="AQ939" s="60"/>
      <c r="AR939" s="60"/>
      <c r="AS939" s="60"/>
      <c r="AT939" s="45"/>
      <c r="AU939" s="45"/>
      <c r="AW939" s="45"/>
      <c r="AX939" s="46">
        <f t="shared" si="43"/>
        <v>0</v>
      </c>
      <c r="AY939" s="46">
        <f t="shared" si="44"/>
        <v>0</v>
      </c>
      <c r="AZ939" s="46">
        <f t="shared" si="45"/>
        <v>0</v>
      </c>
    </row>
    <row r="940" spans="3:52" ht="20.100000000000001" customHeight="1">
      <c r="C940" s="102"/>
      <c r="D940" s="3"/>
      <c r="F940" s="3"/>
      <c r="G940" s="3"/>
      <c r="H940" s="3"/>
      <c r="J940" s="3"/>
      <c r="K940" s="3"/>
      <c r="L940" s="4"/>
      <c r="M940" s="3"/>
      <c r="O940" s="58"/>
      <c r="Q940" s="64"/>
      <c r="R940" s="45"/>
      <c r="S940" s="45"/>
      <c r="U940" s="64"/>
      <c r="V940" s="45"/>
      <c r="W940" s="64"/>
      <c r="X940" s="64"/>
      <c r="Y940" s="45"/>
      <c r="Z940" s="45"/>
      <c r="AA940" s="105"/>
      <c r="AB940" s="105"/>
      <c r="AC940" s="105"/>
      <c r="AD940" s="64"/>
      <c r="AH940" s="64"/>
      <c r="AI940" s="45"/>
      <c r="AJ940" s="105"/>
      <c r="AK940" s="105"/>
      <c r="AL940" s="60"/>
      <c r="AM940" s="60"/>
      <c r="AN940" s="60"/>
      <c r="AO940" s="60"/>
      <c r="AP940" s="60"/>
      <c r="AQ940" s="60"/>
      <c r="AR940" s="60"/>
      <c r="AS940" s="60"/>
      <c r="AT940" s="45"/>
      <c r="AU940" s="45"/>
      <c r="AW940" s="45"/>
      <c r="AX940" s="46">
        <f t="shared" si="43"/>
        <v>0</v>
      </c>
      <c r="AY940" s="46">
        <f t="shared" si="44"/>
        <v>0</v>
      </c>
      <c r="AZ940" s="46">
        <f t="shared" si="45"/>
        <v>0</v>
      </c>
    </row>
    <row r="941" spans="3:52" ht="20.100000000000001" customHeight="1">
      <c r="C941" s="102"/>
      <c r="D941" s="3"/>
      <c r="F941" s="3"/>
      <c r="G941" s="3"/>
      <c r="H941" s="3"/>
      <c r="J941" s="3"/>
      <c r="K941" s="3"/>
      <c r="L941" s="4"/>
      <c r="M941" s="3"/>
      <c r="O941" s="58"/>
      <c r="Q941" s="64"/>
      <c r="R941" s="45"/>
      <c r="S941" s="45"/>
      <c r="U941" s="64"/>
      <c r="V941" s="45"/>
      <c r="W941" s="64"/>
      <c r="X941" s="64"/>
      <c r="Y941" s="45"/>
      <c r="Z941" s="45"/>
      <c r="AA941" s="105"/>
      <c r="AB941" s="105"/>
      <c r="AC941" s="105"/>
      <c r="AD941" s="64"/>
      <c r="AH941" s="64"/>
      <c r="AI941" s="45"/>
      <c r="AJ941" s="105"/>
      <c r="AK941" s="105"/>
      <c r="AL941" s="60"/>
      <c r="AM941" s="60"/>
      <c r="AN941" s="60"/>
      <c r="AO941" s="60"/>
      <c r="AP941" s="60"/>
      <c r="AQ941" s="60"/>
      <c r="AR941" s="60"/>
      <c r="AS941" s="60"/>
      <c r="AT941" s="45"/>
      <c r="AU941" s="45"/>
      <c r="AW941" s="45"/>
      <c r="AX941" s="46">
        <f t="shared" si="43"/>
        <v>0</v>
      </c>
      <c r="AY941" s="46">
        <f t="shared" si="44"/>
        <v>0</v>
      </c>
      <c r="AZ941" s="46">
        <f t="shared" si="45"/>
        <v>0</v>
      </c>
    </row>
    <row r="942" spans="3:52" ht="20.100000000000001" customHeight="1">
      <c r="C942" s="102"/>
      <c r="D942" s="3"/>
      <c r="F942" s="3"/>
      <c r="G942" s="3"/>
      <c r="H942" s="3"/>
      <c r="J942" s="3"/>
      <c r="K942" s="3"/>
      <c r="L942" s="4"/>
      <c r="M942" s="3"/>
      <c r="O942" s="58"/>
      <c r="Q942" s="64"/>
      <c r="R942" s="45"/>
      <c r="S942" s="45"/>
      <c r="U942" s="64"/>
      <c r="V942" s="45"/>
      <c r="W942" s="64"/>
      <c r="X942" s="64"/>
      <c r="Y942" s="45"/>
      <c r="Z942" s="45"/>
      <c r="AA942" s="105"/>
      <c r="AB942" s="105"/>
      <c r="AC942" s="105"/>
      <c r="AD942" s="64"/>
      <c r="AG942" s="45"/>
      <c r="AH942" s="64"/>
      <c r="AI942" s="45"/>
      <c r="AJ942" s="105"/>
      <c r="AK942" s="105"/>
      <c r="AL942" s="60"/>
      <c r="AM942" s="60"/>
      <c r="AN942" s="60"/>
      <c r="AO942" s="60"/>
      <c r="AP942" s="60"/>
      <c r="AQ942" s="60"/>
      <c r="AR942" s="60"/>
      <c r="AS942" s="60"/>
      <c r="AT942" s="45"/>
      <c r="AU942" s="45"/>
      <c r="AW942" s="45"/>
      <c r="AX942" s="46">
        <f t="shared" si="43"/>
        <v>0</v>
      </c>
      <c r="AY942" s="46">
        <f t="shared" si="44"/>
        <v>0</v>
      </c>
      <c r="AZ942" s="46">
        <f t="shared" si="45"/>
        <v>0</v>
      </c>
    </row>
    <row r="943" spans="3:52" ht="20.100000000000001" customHeight="1">
      <c r="C943" s="102"/>
      <c r="D943" s="3"/>
      <c r="F943" s="3"/>
      <c r="G943" s="3"/>
      <c r="H943" s="3"/>
      <c r="J943" s="3"/>
      <c r="K943" s="3"/>
      <c r="L943" s="4"/>
      <c r="M943" s="3"/>
      <c r="O943" s="58"/>
      <c r="Q943" s="64"/>
      <c r="R943" s="45"/>
      <c r="S943" s="45"/>
      <c r="U943" s="64"/>
      <c r="V943" s="45"/>
      <c r="W943" s="64"/>
      <c r="X943" s="64"/>
      <c r="Y943" s="45"/>
      <c r="Z943" s="45"/>
      <c r="AA943" s="105"/>
      <c r="AB943" s="105"/>
      <c r="AC943" s="105"/>
      <c r="AD943" s="64"/>
      <c r="AG943" s="45"/>
      <c r="AH943" s="64"/>
      <c r="AI943" s="45"/>
      <c r="AJ943" s="105"/>
      <c r="AK943" s="105"/>
      <c r="AL943" s="60"/>
      <c r="AM943" s="60"/>
      <c r="AN943" s="60"/>
      <c r="AO943" s="60"/>
      <c r="AP943" s="60"/>
      <c r="AQ943" s="60"/>
      <c r="AR943" s="60"/>
      <c r="AS943" s="60"/>
      <c r="AT943" s="45"/>
      <c r="AU943" s="45"/>
      <c r="AW943" s="45"/>
      <c r="AX943" s="46">
        <f t="shared" si="43"/>
        <v>0</v>
      </c>
      <c r="AY943" s="46">
        <f t="shared" si="44"/>
        <v>0</v>
      </c>
      <c r="AZ943" s="46">
        <f t="shared" si="45"/>
        <v>0</v>
      </c>
    </row>
    <row r="944" spans="3:52" ht="20.100000000000001" customHeight="1">
      <c r="C944" s="102"/>
      <c r="D944" s="3"/>
      <c r="F944" s="3"/>
      <c r="G944" s="3"/>
      <c r="H944" s="3"/>
      <c r="J944" s="3"/>
      <c r="K944" s="3"/>
      <c r="L944" s="4"/>
      <c r="M944" s="3"/>
      <c r="O944" s="58"/>
      <c r="Q944" s="64"/>
      <c r="R944" s="45"/>
      <c r="S944" s="45"/>
      <c r="U944" s="64"/>
      <c r="V944" s="45"/>
      <c r="W944" s="64"/>
      <c r="X944" s="64"/>
      <c r="Y944" s="45"/>
      <c r="Z944" s="45"/>
      <c r="AA944" s="105"/>
      <c r="AB944" s="105"/>
      <c r="AC944" s="105"/>
      <c r="AD944" s="64"/>
      <c r="AG944" s="45"/>
      <c r="AH944" s="64"/>
      <c r="AI944" s="45"/>
      <c r="AJ944" s="105"/>
      <c r="AK944" s="105"/>
      <c r="AL944" s="60"/>
      <c r="AM944" s="60"/>
      <c r="AN944" s="60"/>
      <c r="AO944" s="60"/>
      <c r="AP944" s="60"/>
      <c r="AQ944" s="60"/>
      <c r="AR944" s="60"/>
      <c r="AS944" s="60"/>
      <c r="AT944" s="45"/>
      <c r="AU944" s="45"/>
      <c r="AW944" s="45"/>
      <c r="AX944" s="46">
        <f t="shared" si="43"/>
        <v>0</v>
      </c>
      <c r="AY944" s="46">
        <f t="shared" si="44"/>
        <v>0</v>
      </c>
      <c r="AZ944" s="46">
        <f t="shared" si="45"/>
        <v>0</v>
      </c>
    </row>
    <row r="945" spans="3:52" ht="20.100000000000001" customHeight="1">
      <c r="C945" s="102"/>
      <c r="D945" s="3"/>
      <c r="F945" s="3"/>
      <c r="G945" s="3"/>
      <c r="H945" s="3"/>
      <c r="J945" s="3"/>
      <c r="K945" s="3"/>
      <c r="L945" s="4"/>
      <c r="M945" s="3"/>
      <c r="O945" s="58"/>
      <c r="Q945" s="64"/>
      <c r="R945" s="45"/>
      <c r="S945" s="45"/>
      <c r="U945" s="64"/>
      <c r="V945" s="45"/>
      <c r="W945" s="64"/>
      <c r="X945" s="64"/>
      <c r="Y945" s="45"/>
      <c r="Z945" s="45"/>
      <c r="AA945" s="105"/>
      <c r="AB945" s="105"/>
      <c r="AC945" s="105"/>
      <c r="AD945" s="64"/>
      <c r="AG945" s="45"/>
      <c r="AH945" s="64"/>
      <c r="AI945" s="45"/>
      <c r="AJ945" s="105"/>
      <c r="AK945" s="105"/>
      <c r="AL945" s="60"/>
      <c r="AM945" s="60"/>
      <c r="AN945" s="60"/>
      <c r="AO945" s="60"/>
      <c r="AP945" s="60"/>
      <c r="AQ945" s="60"/>
      <c r="AR945" s="60"/>
      <c r="AS945" s="60"/>
      <c r="AT945" s="45"/>
      <c r="AU945" s="45"/>
      <c r="AW945" s="45"/>
      <c r="AX945" s="46">
        <f t="shared" si="43"/>
        <v>0</v>
      </c>
      <c r="AY945" s="46">
        <f t="shared" si="44"/>
        <v>0</v>
      </c>
      <c r="AZ945" s="46">
        <f t="shared" si="45"/>
        <v>0</v>
      </c>
    </row>
    <row r="946" spans="3:52" ht="20.100000000000001" customHeight="1">
      <c r="C946" s="102"/>
      <c r="D946" s="3"/>
      <c r="F946" s="3"/>
      <c r="G946" s="3"/>
      <c r="H946" s="3"/>
      <c r="J946" s="3"/>
      <c r="K946" s="3"/>
      <c r="L946" s="4"/>
      <c r="M946" s="3"/>
      <c r="O946" s="58"/>
      <c r="Q946" s="64"/>
      <c r="R946" s="45"/>
      <c r="S946" s="45"/>
      <c r="U946" s="64"/>
      <c r="V946" s="45"/>
      <c r="W946" s="64"/>
      <c r="X946" s="64"/>
      <c r="Y946" s="45"/>
      <c r="Z946" s="45"/>
      <c r="AA946" s="105"/>
      <c r="AB946" s="105"/>
      <c r="AC946" s="105"/>
      <c r="AD946" s="64"/>
      <c r="AH946" s="64"/>
      <c r="AI946" s="45"/>
      <c r="AJ946" s="105"/>
      <c r="AK946" s="105"/>
      <c r="AL946" s="60"/>
      <c r="AM946" s="60"/>
      <c r="AN946" s="60"/>
      <c r="AO946" s="60"/>
      <c r="AP946" s="60"/>
      <c r="AQ946" s="60"/>
      <c r="AR946" s="60"/>
      <c r="AS946" s="60"/>
      <c r="AT946" s="45"/>
      <c r="AU946" s="45"/>
      <c r="AW946" s="45"/>
      <c r="AX946" s="46">
        <f t="shared" si="43"/>
        <v>0</v>
      </c>
      <c r="AY946" s="46">
        <f t="shared" si="44"/>
        <v>0</v>
      </c>
      <c r="AZ946" s="46">
        <f t="shared" si="45"/>
        <v>0</v>
      </c>
    </row>
    <row r="947" spans="3:52" ht="20.100000000000001" customHeight="1">
      <c r="C947" s="102"/>
      <c r="D947" s="3"/>
      <c r="F947" s="3"/>
      <c r="G947" s="3"/>
      <c r="H947" s="3"/>
      <c r="J947" s="3"/>
      <c r="K947" s="3"/>
      <c r="L947" s="4"/>
      <c r="M947" s="3"/>
      <c r="O947" s="58"/>
      <c r="Q947" s="64"/>
      <c r="R947" s="45"/>
      <c r="S947" s="45"/>
      <c r="U947" s="64"/>
      <c r="V947" s="45"/>
      <c r="W947" s="64"/>
      <c r="X947" s="64"/>
      <c r="Y947" s="45"/>
      <c r="Z947" s="45"/>
      <c r="AA947" s="105"/>
      <c r="AB947" s="105"/>
      <c r="AC947" s="105"/>
      <c r="AD947" s="64"/>
      <c r="AG947" s="45"/>
      <c r="AH947" s="64"/>
      <c r="AI947" s="45"/>
      <c r="AJ947" s="105"/>
      <c r="AK947" s="105"/>
      <c r="AL947" s="60"/>
      <c r="AM947" s="60"/>
      <c r="AN947" s="60"/>
      <c r="AO947" s="60"/>
      <c r="AP947" s="60"/>
      <c r="AQ947" s="60"/>
      <c r="AR947" s="60"/>
      <c r="AS947" s="60"/>
      <c r="AT947" s="45"/>
      <c r="AU947" s="45"/>
      <c r="AW947" s="45"/>
      <c r="AX947" s="46">
        <f t="shared" si="43"/>
        <v>0</v>
      </c>
      <c r="AY947" s="46">
        <f t="shared" si="44"/>
        <v>0</v>
      </c>
      <c r="AZ947" s="46">
        <f t="shared" si="45"/>
        <v>0</v>
      </c>
    </row>
    <row r="948" spans="3:52" ht="20.100000000000001" customHeight="1">
      <c r="C948" s="102"/>
      <c r="D948" s="3"/>
      <c r="F948" s="3"/>
      <c r="G948" s="3"/>
      <c r="H948" s="3"/>
      <c r="J948" s="3"/>
      <c r="K948" s="3"/>
      <c r="L948" s="4"/>
      <c r="M948" s="3"/>
      <c r="O948" s="58"/>
      <c r="Q948" s="64"/>
      <c r="R948" s="45"/>
      <c r="S948" s="45"/>
      <c r="U948" s="64"/>
      <c r="V948" s="45"/>
      <c r="W948" s="64"/>
      <c r="X948" s="64"/>
      <c r="Y948" s="45"/>
      <c r="Z948" s="45"/>
      <c r="AA948" s="105"/>
      <c r="AB948" s="105"/>
      <c r="AC948" s="105"/>
      <c r="AD948" s="64"/>
      <c r="AG948" s="45"/>
      <c r="AH948" s="64"/>
      <c r="AI948" s="45"/>
      <c r="AJ948" s="105"/>
      <c r="AK948" s="105"/>
      <c r="AL948" s="60"/>
      <c r="AM948" s="60"/>
      <c r="AN948" s="60"/>
      <c r="AO948" s="60"/>
      <c r="AP948" s="60"/>
      <c r="AQ948" s="60"/>
      <c r="AR948" s="60"/>
      <c r="AS948" s="60"/>
      <c r="AT948" s="45"/>
      <c r="AU948" s="45"/>
      <c r="AW948" s="45"/>
      <c r="AX948" s="46">
        <f t="shared" si="43"/>
        <v>0</v>
      </c>
      <c r="AY948" s="46">
        <f t="shared" si="44"/>
        <v>0</v>
      </c>
      <c r="AZ948" s="46">
        <f t="shared" si="45"/>
        <v>0</v>
      </c>
    </row>
    <row r="949" spans="3:52" ht="20.100000000000001" customHeight="1">
      <c r="C949" s="102"/>
      <c r="D949" s="3"/>
      <c r="F949" s="3"/>
      <c r="G949" s="3"/>
      <c r="H949" s="3"/>
      <c r="J949" s="3"/>
      <c r="K949" s="3"/>
      <c r="L949" s="4"/>
      <c r="M949" s="3"/>
      <c r="O949" s="58"/>
      <c r="Q949" s="64"/>
      <c r="R949" s="45"/>
      <c r="S949" s="45"/>
      <c r="U949" s="64"/>
      <c r="V949" s="45"/>
      <c r="W949" s="64"/>
      <c r="X949" s="64"/>
      <c r="Y949" s="45"/>
      <c r="Z949" s="45"/>
      <c r="AA949" s="105"/>
      <c r="AB949" s="105"/>
      <c r="AC949" s="105"/>
      <c r="AD949" s="64"/>
      <c r="AH949" s="64"/>
      <c r="AI949" s="45"/>
      <c r="AJ949" s="105"/>
      <c r="AK949" s="105"/>
      <c r="AL949" s="60"/>
      <c r="AM949" s="60"/>
      <c r="AN949" s="60"/>
      <c r="AO949" s="60"/>
      <c r="AP949" s="60"/>
      <c r="AQ949" s="60"/>
      <c r="AR949" s="60"/>
      <c r="AS949" s="60"/>
      <c r="AT949" s="45"/>
      <c r="AU949" s="45"/>
      <c r="AW949" s="45"/>
      <c r="AX949" s="46">
        <f t="shared" si="43"/>
        <v>0</v>
      </c>
      <c r="AY949" s="46">
        <f t="shared" si="44"/>
        <v>0</v>
      </c>
      <c r="AZ949" s="46">
        <f t="shared" si="45"/>
        <v>0</v>
      </c>
    </row>
    <row r="950" spans="3:52" ht="20.100000000000001" customHeight="1">
      <c r="C950" s="102"/>
      <c r="D950" s="3"/>
      <c r="F950" s="3"/>
      <c r="G950" s="3"/>
      <c r="H950" s="3"/>
      <c r="J950" s="3"/>
      <c r="K950" s="3"/>
      <c r="L950" s="4"/>
      <c r="M950" s="3"/>
      <c r="O950" s="58"/>
      <c r="Q950" s="64"/>
      <c r="R950" s="45"/>
      <c r="S950" s="45"/>
      <c r="U950" s="64"/>
      <c r="V950" s="45"/>
      <c r="W950" s="64"/>
      <c r="X950" s="64"/>
      <c r="Y950" s="45"/>
      <c r="Z950" s="45"/>
      <c r="AA950" s="105"/>
      <c r="AB950" s="105"/>
      <c r="AC950" s="105"/>
      <c r="AD950" s="64"/>
      <c r="AH950" s="64"/>
      <c r="AI950" s="45"/>
      <c r="AJ950" s="105"/>
      <c r="AK950" s="105"/>
      <c r="AL950" s="60"/>
      <c r="AM950" s="60"/>
      <c r="AN950" s="60"/>
      <c r="AO950" s="60"/>
      <c r="AP950" s="60"/>
      <c r="AQ950" s="60"/>
      <c r="AR950" s="60"/>
      <c r="AS950" s="60"/>
      <c r="AT950" s="45"/>
      <c r="AU950" s="45"/>
      <c r="AW950" s="45"/>
      <c r="AX950" s="46">
        <f t="shared" si="43"/>
        <v>0</v>
      </c>
      <c r="AY950" s="46">
        <f t="shared" si="44"/>
        <v>0</v>
      </c>
      <c r="AZ950" s="46">
        <f t="shared" si="45"/>
        <v>0</v>
      </c>
    </row>
    <row r="951" spans="3:52" ht="20.100000000000001" customHeight="1">
      <c r="C951" s="102"/>
      <c r="D951" s="3"/>
      <c r="F951" s="3"/>
      <c r="G951" s="3"/>
      <c r="H951" s="3"/>
      <c r="J951" s="3"/>
      <c r="K951" s="3"/>
      <c r="L951" s="4"/>
      <c r="M951" s="3"/>
      <c r="O951" s="58"/>
      <c r="Q951" s="64"/>
      <c r="R951" s="45"/>
      <c r="S951" s="45"/>
      <c r="U951" s="64"/>
      <c r="V951" s="45"/>
      <c r="W951" s="64"/>
      <c r="X951" s="64"/>
      <c r="Y951" s="45"/>
      <c r="Z951" s="45"/>
      <c r="AA951" s="105"/>
      <c r="AB951" s="105"/>
      <c r="AC951" s="105"/>
      <c r="AD951" s="64"/>
      <c r="AH951" s="64"/>
      <c r="AI951" s="45"/>
      <c r="AJ951" s="105"/>
      <c r="AK951" s="105"/>
      <c r="AL951" s="60"/>
      <c r="AM951" s="60"/>
      <c r="AN951" s="60"/>
      <c r="AO951" s="60"/>
      <c r="AP951" s="60"/>
      <c r="AQ951" s="60"/>
      <c r="AR951" s="60"/>
      <c r="AS951" s="60"/>
      <c r="AT951" s="45"/>
      <c r="AU951" s="45"/>
      <c r="AW951" s="45"/>
      <c r="AX951" s="46">
        <f t="shared" si="43"/>
        <v>0</v>
      </c>
      <c r="AY951" s="46">
        <f t="shared" si="44"/>
        <v>0</v>
      </c>
      <c r="AZ951" s="46">
        <f t="shared" si="45"/>
        <v>0</v>
      </c>
    </row>
    <row r="952" spans="3:52" ht="20.100000000000001" customHeight="1">
      <c r="C952" s="102"/>
      <c r="D952" s="3"/>
      <c r="F952" s="3"/>
      <c r="G952" s="3"/>
      <c r="H952" s="3"/>
      <c r="J952" s="3"/>
      <c r="K952" s="3"/>
      <c r="L952" s="4"/>
      <c r="M952" s="3"/>
      <c r="O952" s="58"/>
      <c r="Q952" s="64"/>
      <c r="R952" s="45"/>
      <c r="S952" s="45"/>
      <c r="U952" s="64"/>
      <c r="V952" s="45"/>
      <c r="W952" s="64"/>
      <c r="X952" s="64"/>
      <c r="Y952" s="45"/>
      <c r="Z952" s="45"/>
      <c r="AA952" s="105"/>
      <c r="AB952" s="105"/>
      <c r="AC952" s="105"/>
      <c r="AD952" s="64"/>
      <c r="AG952" s="45"/>
      <c r="AH952" s="64"/>
      <c r="AI952" s="45"/>
      <c r="AJ952" s="105"/>
      <c r="AK952" s="105"/>
      <c r="AL952" s="60"/>
      <c r="AM952" s="60"/>
      <c r="AN952" s="60"/>
      <c r="AO952" s="60"/>
      <c r="AP952" s="60"/>
      <c r="AQ952" s="60"/>
      <c r="AR952" s="60"/>
      <c r="AS952" s="60"/>
      <c r="AT952" s="45"/>
      <c r="AU952" s="45"/>
      <c r="AW952" s="45"/>
      <c r="AX952" s="46">
        <f t="shared" si="43"/>
        <v>0</v>
      </c>
      <c r="AY952" s="46">
        <f t="shared" si="44"/>
        <v>0</v>
      </c>
      <c r="AZ952" s="46">
        <f t="shared" si="45"/>
        <v>0</v>
      </c>
    </row>
    <row r="953" spans="3:52" ht="20.100000000000001" customHeight="1">
      <c r="C953" s="102"/>
      <c r="D953" s="3"/>
      <c r="F953" s="3"/>
      <c r="G953" s="3"/>
      <c r="H953" s="3"/>
      <c r="J953" s="3"/>
      <c r="K953" s="3"/>
      <c r="L953" s="4"/>
      <c r="M953" s="3"/>
      <c r="O953" s="58"/>
      <c r="Q953" s="64"/>
      <c r="R953" s="45"/>
      <c r="S953" s="45"/>
      <c r="U953" s="64"/>
      <c r="V953" s="45"/>
      <c r="W953" s="64"/>
      <c r="X953" s="64"/>
      <c r="Y953" s="45"/>
      <c r="Z953" s="45"/>
      <c r="AA953" s="105"/>
      <c r="AB953" s="105"/>
      <c r="AC953" s="105"/>
      <c r="AD953" s="64"/>
      <c r="AG953" s="45"/>
      <c r="AH953" s="64"/>
      <c r="AI953" s="45"/>
      <c r="AJ953" s="105"/>
      <c r="AK953" s="105"/>
      <c r="AL953" s="60"/>
      <c r="AM953" s="60"/>
      <c r="AN953" s="60"/>
      <c r="AO953" s="60"/>
      <c r="AP953" s="60"/>
      <c r="AQ953" s="60"/>
      <c r="AR953" s="60"/>
      <c r="AS953" s="60"/>
      <c r="AT953" s="45"/>
      <c r="AU953" s="45"/>
      <c r="AW953" s="45"/>
      <c r="AX953" s="46">
        <f t="shared" si="43"/>
        <v>0</v>
      </c>
      <c r="AY953" s="46">
        <f t="shared" si="44"/>
        <v>0</v>
      </c>
      <c r="AZ953" s="46">
        <f t="shared" si="45"/>
        <v>0</v>
      </c>
    </row>
    <row r="954" spans="3:52" ht="20.100000000000001" customHeight="1">
      <c r="C954" s="102"/>
      <c r="D954" s="3"/>
      <c r="F954" s="3"/>
      <c r="G954" s="3"/>
      <c r="H954" s="3"/>
      <c r="J954" s="3"/>
      <c r="K954" s="3"/>
      <c r="L954" s="4"/>
      <c r="M954" s="3"/>
      <c r="O954" s="58"/>
      <c r="Q954" s="64"/>
      <c r="R954" s="45"/>
      <c r="S954" s="45"/>
      <c r="U954" s="64"/>
      <c r="V954" s="45"/>
      <c r="W954" s="64"/>
      <c r="X954" s="64"/>
      <c r="Y954" s="45"/>
      <c r="Z954" s="45"/>
      <c r="AA954" s="105"/>
      <c r="AB954" s="105"/>
      <c r="AC954" s="105"/>
      <c r="AD954" s="64"/>
      <c r="AH954" s="64"/>
      <c r="AI954" s="45"/>
      <c r="AJ954" s="105"/>
      <c r="AK954" s="105"/>
      <c r="AL954" s="60"/>
      <c r="AM954" s="60"/>
      <c r="AN954" s="60"/>
      <c r="AO954" s="60"/>
      <c r="AP954" s="60"/>
      <c r="AQ954" s="60"/>
      <c r="AR954" s="60"/>
      <c r="AS954" s="60"/>
      <c r="AT954" s="45"/>
      <c r="AU954" s="45"/>
      <c r="AW954" s="45"/>
      <c r="AX954" s="46">
        <f t="shared" si="43"/>
        <v>0</v>
      </c>
      <c r="AY954" s="46">
        <f t="shared" si="44"/>
        <v>0</v>
      </c>
      <c r="AZ954" s="46">
        <f t="shared" si="45"/>
        <v>0</v>
      </c>
    </row>
    <row r="955" spans="3:52" ht="20.100000000000001" customHeight="1">
      <c r="C955" s="102"/>
      <c r="D955" s="3"/>
      <c r="F955" s="3"/>
      <c r="G955" s="3"/>
      <c r="H955" s="3"/>
      <c r="J955" s="3"/>
      <c r="K955" s="3"/>
      <c r="L955" s="4"/>
      <c r="M955" s="3"/>
      <c r="O955" s="58"/>
      <c r="Q955" s="64"/>
      <c r="R955" s="45"/>
      <c r="S955" s="45"/>
      <c r="U955" s="64"/>
      <c r="V955" s="45"/>
      <c r="W955" s="64"/>
      <c r="X955" s="64"/>
      <c r="Y955" s="45"/>
      <c r="Z955" s="45"/>
      <c r="AA955" s="105"/>
      <c r="AB955" s="105"/>
      <c r="AC955" s="105"/>
      <c r="AD955" s="64"/>
      <c r="AH955" s="64"/>
      <c r="AI955" s="45"/>
      <c r="AJ955" s="105"/>
      <c r="AK955" s="105"/>
      <c r="AL955" s="60"/>
      <c r="AM955" s="60"/>
      <c r="AN955" s="60"/>
      <c r="AO955" s="60"/>
      <c r="AP955" s="60"/>
      <c r="AQ955" s="60"/>
      <c r="AR955" s="60"/>
      <c r="AS955" s="60"/>
      <c r="AT955" s="45"/>
      <c r="AU955" s="45"/>
      <c r="AW955" s="45"/>
      <c r="AX955" s="46">
        <f t="shared" si="43"/>
        <v>0</v>
      </c>
      <c r="AY955" s="46">
        <f t="shared" si="44"/>
        <v>0</v>
      </c>
      <c r="AZ955" s="46">
        <f t="shared" si="45"/>
        <v>0</v>
      </c>
    </row>
    <row r="956" spans="3:52" ht="20.100000000000001" customHeight="1">
      <c r="C956" s="102"/>
      <c r="D956" s="3"/>
      <c r="F956" s="3"/>
      <c r="G956" s="3"/>
      <c r="H956" s="3"/>
      <c r="J956" s="3"/>
      <c r="K956" s="3"/>
      <c r="L956" s="4"/>
      <c r="M956" s="3"/>
      <c r="O956" s="58"/>
      <c r="Q956" s="64"/>
      <c r="R956" s="45"/>
      <c r="S956" s="45"/>
      <c r="U956" s="64"/>
      <c r="V956" s="45"/>
      <c r="W956" s="64"/>
      <c r="X956" s="64"/>
      <c r="Y956" s="45"/>
      <c r="Z956" s="45"/>
      <c r="AA956" s="105"/>
      <c r="AB956" s="105"/>
      <c r="AC956" s="105"/>
      <c r="AD956" s="64"/>
      <c r="AG956" s="45"/>
      <c r="AH956" s="64"/>
      <c r="AI956" s="45"/>
      <c r="AJ956" s="105"/>
      <c r="AK956" s="105"/>
      <c r="AL956" s="60"/>
      <c r="AM956" s="60"/>
      <c r="AN956" s="60"/>
      <c r="AO956" s="60"/>
      <c r="AP956" s="60"/>
      <c r="AQ956" s="60"/>
      <c r="AR956" s="60"/>
      <c r="AS956" s="60"/>
      <c r="AT956" s="45"/>
      <c r="AU956" s="45"/>
      <c r="AW956" s="45"/>
      <c r="AX956" s="46">
        <f t="shared" si="43"/>
        <v>0</v>
      </c>
      <c r="AY956" s="46">
        <f t="shared" si="44"/>
        <v>0</v>
      </c>
      <c r="AZ956" s="46">
        <f t="shared" si="45"/>
        <v>0</v>
      </c>
    </row>
    <row r="957" spans="3:52" ht="20.100000000000001" customHeight="1">
      <c r="C957" s="102"/>
      <c r="D957" s="3"/>
      <c r="F957" s="3"/>
      <c r="G957" s="3"/>
      <c r="H957" s="3"/>
      <c r="J957" s="3"/>
      <c r="K957" s="3"/>
      <c r="L957" s="4"/>
      <c r="M957" s="3"/>
      <c r="O957" s="58"/>
      <c r="Q957" s="64"/>
      <c r="R957" s="45"/>
      <c r="S957" s="45"/>
      <c r="U957" s="64"/>
      <c r="V957" s="45"/>
      <c r="W957" s="64"/>
      <c r="X957" s="64"/>
      <c r="Y957" s="45"/>
      <c r="Z957" s="45"/>
      <c r="AA957" s="105"/>
      <c r="AB957" s="105"/>
      <c r="AC957" s="105"/>
      <c r="AD957" s="64"/>
      <c r="AH957" s="64"/>
      <c r="AI957" s="45"/>
      <c r="AJ957" s="105"/>
      <c r="AK957" s="105"/>
      <c r="AL957" s="60"/>
      <c r="AM957" s="60"/>
      <c r="AN957" s="60"/>
      <c r="AO957" s="60"/>
      <c r="AP957" s="60"/>
      <c r="AQ957" s="60"/>
      <c r="AR957" s="60"/>
      <c r="AS957" s="60"/>
      <c r="AT957" s="45"/>
      <c r="AU957" s="45"/>
      <c r="AW957" s="45"/>
      <c r="AX957" s="46">
        <f t="shared" si="43"/>
        <v>0</v>
      </c>
      <c r="AY957" s="46">
        <f t="shared" si="44"/>
        <v>0</v>
      </c>
      <c r="AZ957" s="46">
        <f t="shared" si="45"/>
        <v>0</v>
      </c>
    </row>
    <row r="958" spans="3:52" ht="20.100000000000001" customHeight="1">
      <c r="C958" s="102"/>
      <c r="D958" s="3"/>
      <c r="F958" s="3"/>
      <c r="G958" s="3"/>
      <c r="H958" s="3"/>
      <c r="J958" s="3"/>
      <c r="K958" s="3"/>
      <c r="L958" s="4"/>
      <c r="M958" s="3"/>
      <c r="O958" s="58"/>
      <c r="Q958" s="64"/>
      <c r="R958" s="45"/>
      <c r="S958" s="45"/>
      <c r="U958" s="64"/>
      <c r="V958" s="45"/>
      <c r="W958" s="64"/>
      <c r="X958" s="64"/>
      <c r="Y958" s="45"/>
      <c r="Z958" s="45"/>
      <c r="AA958" s="105"/>
      <c r="AB958" s="105"/>
      <c r="AC958" s="105"/>
      <c r="AD958" s="64"/>
      <c r="AG958" s="45"/>
      <c r="AH958" s="64"/>
      <c r="AI958" s="45"/>
      <c r="AJ958" s="105"/>
      <c r="AK958" s="105"/>
      <c r="AL958" s="60"/>
      <c r="AM958" s="60"/>
      <c r="AN958" s="60"/>
      <c r="AO958" s="60"/>
      <c r="AP958" s="60"/>
      <c r="AQ958" s="60"/>
      <c r="AR958" s="60"/>
      <c r="AS958" s="60"/>
      <c r="AT958" s="45"/>
      <c r="AU958" s="45"/>
      <c r="AW958" s="45"/>
      <c r="AX958" s="46">
        <f t="shared" si="43"/>
        <v>0</v>
      </c>
      <c r="AY958" s="46">
        <f t="shared" si="44"/>
        <v>0</v>
      </c>
      <c r="AZ958" s="46">
        <f t="shared" si="45"/>
        <v>0</v>
      </c>
    </row>
    <row r="959" spans="3:52" ht="20.100000000000001" customHeight="1">
      <c r="C959" s="102"/>
      <c r="D959" s="3"/>
      <c r="F959" s="3"/>
      <c r="G959" s="3"/>
      <c r="H959" s="3"/>
      <c r="J959" s="3"/>
      <c r="K959" s="3"/>
      <c r="L959" s="4"/>
      <c r="M959" s="3"/>
      <c r="O959" s="58"/>
      <c r="Q959" s="64"/>
      <c r="R959" s="45"/>
      <c r="S959" s="45"/>
      <c r="U959" s="64"/>
      <c r="V959" s="45"/>
      <c r="W959" s="64"/>
      <c r="X959" s="64"/>
      <c r="Y959" s="45"/>
      <c r="Z959" s="45"/>
      <c r="AA959" s="105"/>
      <c r="AB959" s="105"/>
      <c r="AC959" s="105"/>
      <c r="AD959" s="64"/>
      <c r="AG959" s="45"/>
      <c r="AH959" s="64"/>
      <c r="AI959" s="45"/>
      <c r="AJ959" s="105"/>
      <c r="AK959" s="105"/>
      <c r="AL959" s="60"/>
      <c r="AM959" s="60"/>
      <c r="AN959" s="60"/>
      <c r="AO959" s="60"/>
      <c r="AP959" s="60"/>
      <c r="AQ959" s="60"/>
      <c r="AR959" s="60"/>
      <c r="AS959" s="60"/>
      <c r="AT959" s="45"/>
      <c r="AU959" s="45"/>
      <c r="AW959" s="45"/>
      <c r="AX959" s="46">
        <f t="shared" si="43"/>
        <v>0</v>
      </c>
      <c r="AY959" s="46">
        <f t="shared" si="44"/>
        <v>0</v>
      </c>
      <c r="AZ959" s="46">
        <f t="shared" si="45"/>
        <v>0</v>
      </c>
    </row>
    <row r="960" spans="3:52" ht="20.100000000000001" customHeight="1">
      <c r="C960" s="102"/>
      <c r="D960" s="3"/>
      <c r="F960" s="3"/>
      <c r="G960" s="3"/>
      <c r="H960" s="3"/>
      <c r="J960" s="3"/>
      <c r="K960" s="3"/>
      <c r="L960" s="4"/>
      <c r="M960" s="3"/>
      <c r="O960" s="58"/>
      <c r="Q960" s="64"/>
      <c r="R960" s="45"/>
      <c r="S960" s="45"/>
      <c r="U960" s="64"/>
      <c r="V960" s="45"/>
      <c r="W960" s="64"/>
      <c r="X960" s="64"/>
      <c r="Y960" s="45"/>
      <c r="Z960" s="45"/>
      <c r="AA960" s="105"/>
      <c r="AB960" s="105"/>
      <c r="AC960" s="105"/>
      <c r="AD960" s="64"/>
      <c r="AH960" s="64"/>
      <c r="AI960" s="45"/>
      <c r="AJ960" s="105"/>
      <c r="AK960" s="105"/>
      <c r="AL960" s="60"/>
      <c r="AM960" s="60"/>
      <c r="AN960" s="60"/>
      <c r="AO960" s="60"/>
      <c r="AP960" s="60"/>
      <c r="AQ960" s="60"/>
      <c r="AR960" s="60"/>
      <c r="AS960" s="60"/>
      <c r="AT960" s="45"/>
      <c r="AU960" s="45"/>
      <c r="AW960" s="45"/>
      <c r="AX960" s="46">
        <f t="shared" si="43"/>
        <v>0</v>
      </c>
      <c r="AY960" s="46">
        <f t="shared" si="44"/>
        <v>0</v>
      </c>
      <c r="AZ960" s="46">
        <f t="shared" si="45"/>
        <v>0</v>
      </c>
    </row>
    <row r="961" spans="3:52" ht="20.100000000000001" customHeight="1">
      <c r="C961" s="102"/>
      <c r="D961" s="3"/>
      <c r="F961" s="3"/>
      <c r="G961" s="3"/>
      <c r="H961" s="3"/>
      <c r="J961" s="3"/>
      <c r="K961" s="3"/>
      <c r="L961" s="4"/>
      <c r="M961" s="3"/>
      <c r="O961" s="58"/>
      <c r="Q961" s="64"/>
      <c r="R961" s="45"/>
      <c r="S961" s="45"/>
      <c r="U961" s="64"/>
      <c r="V961" s="45"/>
      <c r="W961" s="64"/>
      <c r="X961" s="64"/>
      <c r="Y961" s="45"/>
      <c r="Z961" s="45"/>
      <c r="AA961" s="105"/>
      <c r="AB961" s="105"/>
      <c r="AC961" s="105"/>
      <c r="AD961" s="64"/>
      <c r="AH961" s="64"/>
      <c r="AI961" s="45"/>
      <c r="AJ961" s="105"/>
      <c r="AK961" s="105"/>
      <c r="AL961" s="60"/>
      <c r="AM961" s="60"/>
      <c r="AN961" s="60"/>
      <c r="AO961" s="60"/>
      <c r="AP961" s="60"/>
      <c r="AQ961" s="60"/>
      <c r="AR961" s="60"/>
      <c r="AS961" s="60"/>
      <c r="AT961" s="45"/>
      <c r="AU961" s="45"/>
      <c r="AW961" s="45"/>
      <c r="AX961" s="46">
        <f t="shared" si="43"/>
        <v>0</v>
      </c>
      <c r="AY961" s="46">
        <f t="shared" si="44"/>
        <v>0</v>
      </c>
      <c r="AZ961" s="46">
        <f t="shared" si="45"/>
        <v>0</v>
      </c>
    </row>
    <row r="962" spans="3:52" ht="20.100000000000001" customHeight="1">
      <c r="C962" s="102"/>
      <c r="D962" s="3"/>
      <c r="F962" s="3"/>
      <c r="G962" s="3"/>
      <c r="H962" s="3"/>
      <c r="J962" s="3"/>
      <c r="K962" s="3"/>
      <c r="L962" s="4"/>
      <c r="M962" s="3"/>
      <c r="O962" s="58"/>
      <c r="Q962" s="64"/>
      <c r="R962" s="45"/>
      <c r="S962" s="45"/>
      <c r="U962" s="64"/>
      <c r="V962" s="45"/>
      <c r="W962" s="64"/>
      <c r="X962" s="64"/>
      <c r="Y962" s="45"/>
      <c r="Z962" s="45"/>
      <c r="AA962" s="105"/>
      <c r="AB962" s="105"/>
      <c r="AC962" s="105"/>
      <c r="AD962" s="64"/>
      <c r="AG962" s="45"/>
      <c r="AH962" s="64"/>
      <c r="AI962" s="45"/>
      <c r="AJ962" s="105"/>
      <c r="AK962" s="105"/>
      <c r="AL962" s="60"/>
      <c r="AM962" s="60"/>
      <c r="AN962" s="60"/>
      <c r="AO962" s="60"/>
      <c r="AP962" s="60"/>
      <c r="AQ962" s="60"/>
      <c r="AR962" s="60"/>
      <c r="AS962" s="60"/>
      <c r="AT962" s="45"/>
      <c r="AU962" s="45"/>
      <c r="AW962" s="45"/>
      <c r="AX962" s="46">
        <f t="shared" si="43"/>
        <v>0</v>
      </c>
      <c r="AY962" s="46">
        <f t="shared" si="44"/>
        <v>0</v>
      </c>
      <c r="AZ962" s="46">
        <f t="shared" si="45"/>
        <v>0</v>
      </c>
    </row>
    <row r="963" spans="3:52" ht="20.100000000000001" customHeight="1">
      <c r="C963" s="102"/>
      <c r="D963" s="3"/>
      <c r="F963" s="3"/>
      <c r="G963" s="3"/>
      <c r="H963" s="3"/>
      <c r="J963" s="3"/>
      <c r="K963" s="3"/>
      <c r="L963" s="4"/>
      <c r="M963" s="3"/>
      <c r="O963" s="58"/>
      <c r="Q963" s="64"/>
      <c r="R963" s="45"/>
      <c r="S963" s="45"/>
      <c r="U963" s="64"/>
      <c r="V963" s="45"/>
      <c r="W963" s="64"/>
      <c r="X963" s="64"/>
      <c r="Y963" s="45"/>
      <c r="Z963" s="45"/>
      <c r="AA963" s="105"/>
      <c r="AB963" s="105"/>
      <c r="AC963" s="105"/>
      <c r="AD963" s="64"/>
      <c r="AH963" s="64"/>
      <c r="AI963" s="45"/>
      <c r="AJ963" s="105"/>
      <c r="AK963" s="105"/>
      <c r="AL963" s="60"/>
      <c r="AM963" s="60"/>
      <c r="AN963" s="60"/>
      <c r="AO963" s="60"/>
      <c r="AP963" s="60"/>
      <c r="AQ963" s="60"/>
      <c r="AR963" s="60"/>
      <c r="AS963" s="60"/>
      <c r="AT963" s="45"/>
      <c r="AU963" s="45"/>
      <c r="AW963" s="45"/>
      <c r="AX963" s="46">
        <f t="shared" si="43"/>
        <v>0</v>
      </c>
      <c r="AY963" s="46">
        <f t="shared" si="44"/>
        <v>0</v>
      </c>
      <c r="AZ963" s="46">
        <f t="shared" si="45"/>
        <v>0</v>
      </c>
    </row>
    <row r="964" spans="3:52" ht="20.100000000000001" customHeight="1">
      <c r="C964" s="102"/>
      <c r="D964" s="3"/>
      <c r="F964" s="3"/>
      <c r="G964" s="3"/>
      <c r="H964" s="3"/>
      <c r="J964" s="3"/>
      <c r="K964" s="3"/>
      <c r="L964" s="4"/>
      <c r="M964" s="3"/>
      <c r="O964" s="58"/>
      <c r="Q964" s="64"/>
      <c r="R964" s="45"/>
      <c r="S964" s="45"/>
      <c r="U964" s="64"/>
      <c r="V964" s="45"/>
      <c r="W964" s="64"/>
      <c r="X964" s="64"/>
      <c r="Y964" s="45"/>
      <c r="Z964" s="45"/>
      <c r="AA964" s="105"/>
      <c r="AB964" s="105"/>
      <c r="AC964" s="105"/>
      <c r="AD964" s="64"/>
      <c r="AH964" s="64"/>
      <c r="AI964" s="45"/>
      <c r="AJ964" s="105"/>
      <c r="AK964" s="105"/>
      <c r="AL964" s="60"/>
      <c r="AM964" s="60"/>
      <c r="AN964" s="60"/>
      <c r="AO964" s="60"/>
      <c r="AP964" s="60"/>
      <c r="AQ964" s="60"/>
      <c r="AR964" s="60"/>
      <c r="AS964" s="60"/>
      <c r="AT964" s="45"/>
      <c r="AU964" s="45"/>
      <c r="AW964" s="45"/>
      <c r="AX964" s="46">
        <f t="shared" si="43"/>
        <v>0</v>
      </c>
      <c r="AY964" s="46">
        <f t="shared" si="44"/>
        <v>0</v>
      </c>
      <c r="AZ964" s="46">
        <f t="shared" si="45"/>
        <v>0</v>
      </c>
    </row>
    <row r="965" spans="3:52" ht="20.100000000000001" customHeight="1">
      <c r="C965" s="102"/>
      <c r="D965" s="3"/>
      <c r="F965" s="3"/>
      <c r="G965" s="3"/>
      <c r="H965" s="3"/>
      <c r="J965" s="3"/>
      <c r="K965" s="3"/>
      <c r="L965" s="4"/>
      <c r="M965" s="3"/>
      <c r="O965" s="58"/>
      <c r="Q965" s="64"/>
      <c r="R965" s="45"/>
      <c r="S965" s="45"/>
      <c r="U965" s="64"/>
      <c r="V965" s="45"/>
      <c r="W965" s="64"/>
      <c r="X965" s="64"/>
      <c r="Y965" s="45"/>
      <c r="Z965" s="45"/>
      <c r="AA965" s="105"/>
      <c r="AB965" s="105"/>
      <c r="AC965" s="105"/>
      <c r="AD965" s="64"/>
      <c r="AG965" s="45"/>
      <c r="AH965" s="64"/>
      <c r="AI965" s="45"/>
      <c r="AJ965" s="105"/>
      <c r="AK965" s="105"/>
      <c r="AL965" s="60"/>
      <c r="AM965" s="60"/>
      <c r="AN965" s="60"/>
      <c r="AO965" s="60"/>
      <c r="AP965" s="60"/>
      <c r="AQ965" s="60"/>
      <c r="AR965" s="60"/>
      <c r="AS965" s="60"/>
      <c r="AT965" s="45"/>
      <c r="AU965" s="45"/>
      <c r="AW965" s="45"/>
      <c r="AX965" s="46">
        <f t="shared" si="43"/>
        <v>0</v>
      </c>
      <c r="AY965" s="46">
        <f t="shared" si="44"/>
        <v>0</v>
      </c>
      <c r="AZ965" s="46">
        <f t="shared" si="45"/>
        <v>0</v>
      </c>
    </row>
    <row r="966" spans="3:52" ht="20.100000000000001" customHeight="1">
      <c r="C966" s="102"/>
      <c r="D966" s="3"/>
      <c r="F966" s="3"/>
      <c r="G966" s="3"/>
      <c r="H966" s="3"/>
      <c r="J966" s="3"/>
      <c r="K966" s="3"/>
      <c r="L966" s="4"/>
      <c r="M966" s="3"/>
      <c r="O966" s="58"/>
      <c r="Q966" s="64"/>
      <c r="R966" s="45"/>
      <c r="S966" s="45"/>
      <c r="U966" s="64"/>
      <c r="V966" s="45"/>
      <c r="W966" s="64"/>
      <c r="X966" s="64"/>
      <c r="Y966" s="45"/>
      <c r="Z966" s="45"/>
      <c r="AA966" s="105"/>
      <c r="AB966" s="105"/>
      <c r="AC966" s="105"/>
      <c r="AD966" s="64"/>
      <c r="AG966" s="45"/>
      <c r="AH966" s="64"/>
      <c r="AI966" s="45"/>
      <c r="AJ966" s="105"/>
      <c r="AK966" s="105"/>
      <c r="AL966" s="60"/>
      <c r="AM966" s="60"/>
      <c r="AN966" s="60"/>
      <c r="AO966" s="60"/>
      <c r="AP966" s="60"/>
      <c r="AQ966" s="60"/>
      <c r="AR966" s="60"/>
      <c r="AS966" s="60"/>
      <c r="AT966" s="45"/>
      <c r="AU966" s="45"/>
      <c r="AW966" s="45"/>
      <c r="AX966" s="46">
        <f t="shared" si="43"/>
        <v>0</v>
      </c>
      <c r="AY966" s="46">
        <f t="shared" si="44"/>
        <v>0</v>
      </c>
      <c r="AZ966" s="46">
        <f t="shared" si="45"/>
        <v>0</v>
      </c>
    </row>
    <row r="967" spans="3:52" ht="20.100000000000001" customHeight="1">
      <c r="C967" s="102"/>
      <c r="D967" s="3"/>
      <c r="F967" s="3"/>
      <c r="G967" s="3"/>
      <c r="H967" s="3"/>
      <c r="J967" s="3"/>
      <c r="K967" s="3"/>
      <c r="L967" s="4"/>
      <c r="M967" s="3"/>
      <c r="O967" s="58"/>
      <c r="Q967" s="64"/>
      <c r="R967" s="45"/>
      <c r="S967" s="45"/>
      <c r="U967" s="64"/>
      <c r="V967" s="45"/>
      <c r="W967" s="64"/>
      <c r="X967" s="64"/>
      <c r="Y967" s="45"/>
      <c r="Z967" s="45"/>
      <c r="AA967" s="105"/>
      <c r="AB967" s="105"/>
      <c r="AC967" s="105"/>
      <c r="AD967" s="64"/>
      <c r="AG967" s="45"/>
      <c r="AH967" s="64"/>
      <c r="AI967" s="45"/>
      <c r="AJ967" s="105"/>
      <c r="AK967" s="105"/>
      <c r="AL967" s="60"/>
      <c r="AM967" s="60"/>
      <c r="AN967" s="60"/>
      <c r="AO967" s="60"/>
      <c r="AP967" s="60"/>
      <c r="AQ967" s="60"/>
      <c r="AR967" s="60"/>
      <c r="AS967" s="60"/>
      <c r="AT967" s="45"/>
      <c r="AU967" s="45"/>
      <c r="AW967" s="45"/>
      <c r="AX967" s="46">
        <f t="shared" si="43"/>
        <v>0</v>
      </c>
      <c r="AY967" s="46">
        <f t="shared" si="44"/>
        <v>0</v>
      </c>
      <c r="AZ967" s="46">
        <f t="shared" si="45"/>
        <v>0</v>
      </c>
    </row>
    <row r="968" spans="3:52" ht="20.100000000000001" customHeight="1">
      <c r="C968" s="102"/>
      <c r="D968" s="3"/>
      <c r="F968" s="3"/>
      <c r="G968" s="3"/>
      <c r="H968" s="3"/>
      <c r="J968" s="3"/>
      <c r="K968" s="3"/>
      <c r="L968" s="4"/>
      <c r="M968" s="3"/>
      <c r="O968" s="58"/>
      <c r="Q968" s="64"/>
      <c r="R968" s="45"/>
      <c r="S968" s="45"/>
      <c r="U968" s="64"/>
      <c r="V968" s="45"/>
      <c r="W968" s="64"/>
      <c r="X968" s="64"/>
      <c r="Y968" s="45"/>
      <c r="Z968" s="45"/>
      <c r="AA968" s="105"/>
      <c r="AB968" s="105"/>
      <c r="AC968" s="105"/>
      <c r="AD968" s="64"/>
      <c r="AH968" s="64"/>
      <c r="AI968" s="45"/>
      <c r="AJ968" s="105"/>
      <c r="AK968" s="105"/>
      <c r="AL968" s="60"/>
      <c r="AM968" s="60"/>
      <c r="AN968" s="60"/>
      <c r="AO968" s="60"/>
      <c r="AP968" s="60"/>
      <c r="AQ968" s="60"/>
      <c r="AR968" s="60"/>
      <c r="AS968" s="60"/>
      <c r="AT968" s="45"/>
      <c r="AU968" s="45"/>
      <c r="AW968" s="45"/>
      <c r="AX968" s="46">
        <f t="shared" si="43"/>
        <v>0</v>
      </c>
      <c r="AY968" s="46">
        <f t="shared" si="44"/>
        <v>0</v>
      </c>
      <c r="AZ968" s="46">
        <f t="shared" si="45"/>
        <v>0</v>
      </c>
    </row>
    <row r="969" spans="3:52" ht="20.100000000000001" customHeight="1">
      <c r="C969" s="102"/>
      <c r="D969" s="3"/>
      <c r="F969" s="3"/>
      <c r="G969" s="3"/>
      <c r="H969" s="3"/>
      <c r="J969" s="3"/>
      <c r="K969" s="3"/>
      <c r="L969" s="4"/>
      <c r="M969" s="3"/>
      <c r="O969" s="58"/>
      <c r="Q969" s="64"/>
      <c r="R969" s="45"/>
      <c r="S969" s="45"/>
      <c r="U969" s="64"/>
      <c r="V969" s="45"/>
      <c r="W969" s="64"/>
      <c r="X969" s="64"/>
      <c r="Y969" s="45"/>
      <c r="Z969" s="45"/>
      <c r="AA969" s="105"/>
      <c r="AB969" s="105"/>
      <c r="AC969" s="105"/>
      <c r="AD969" s="64"/>
      <c r="AH969" s="64"/>
      <c r="AI969" s="45"/>
      <c r="AJ969" s="105"/>
      <c r="AK969" s="105"/>
      <c r="AL969" s="60"/>
      <c r="AM969" s="60"/>
      <c r="AN969" s="60"/>
      <c r="AO969" s="60"/>
      <c r="AP969" s="60"/>
      <c r="AQ969" s="60"/>
      <c r="AR969" s="60"/>
      <c r="AS969" s="60"/>
      <c r="AT969" s="45"/>
      <c r="AU969" s="45"/>
      <c r="AW969" s="45"/>
      <c r="AX969" s="46">
        <f t="shared" si="43"/>
        <v>0</v>
      </c>
      <c r="AY969" s="46">
        <f t="shared" si="44"/>
        <v>0</v>
      </c>
      <c r="AZ969" s="46">
        <f t="shared" si="45"/>
        <v>0</v>
      </c>
    </row>
    <row r="970" spans="3:52" ht="20.100000000000001" customHeight="1">
      <c r="C970" s="102"/>
      <c r="D970" s="3"/>
      <c r="F970" s="3"/>
      <c r="G970" s="3"/>
      <c r="H970" s="3"/>
      <c r="J970" s="3"/>
      <c r="K970" s="3"/>
      <c r="L970" s="4"/>
      <c r="M970" s="3"/>
      <c r="O970" s="58"/>
      <c r="Q970" s="64"/>
      <c r="R970" s="45"/>
      <c r="S970" s="45"/>
      <c r="U970" s="64"/>
      <c r="V970" s="45"/>
      <c r="W970" s="64"/>
      <c r="X970" s="64"/>
      <c r="Y970" s="45"/>
      <c r="Z970" s="45"/>
      <c r="AA970" s="105"/>
      <c r="AB970" s="105"/>
      <c r="AC970" s="105"/>
      <c r="AD970" s="64"/>
      <c r="AH970" s="64"/>
      <c r="AI970" s="45"/>
      <c r="AJ970" s="105"/>
      <c r="AK970" s="105"/>
      <c r="AL970" s="60"/>
      <c r="AM970" s="60"/>
      <c r="AN970" s="60"/>
      <c r="AO970" s="60"/>
      <c r="AP970" s="60"/>
      <c r="AQ970" s="60"/>
      <c r="AR970" s="60"/>
      <c r="AS970" s="60"/>
      <c r="AT970" s="45"/>
      <c r="AU970" s="45"/>
      <c r="AW970" s="45"/>
      <c r="AX970" s="46">
        <f t="shared" si="43"/>
        <v>0</v>
      </c>
      <c r="AY970" s="46">
        <f t="shared" si="44"/>
        <v>0</v>
      </c>
      <c r="AZ970" s="46">
        <f t="shared" si="45"/>
        <v>0</v>
      </c>
    </row>
    <row r="971" spans="3:52" ht="20.100000000000001" customHeight="1">
      <c r="C971" s="102"/>
      <c r="D971" s="3"/>
      <c r="F971" s="3"/>
      <c r="G971" s="3"/>
      <c r="H971" s="3"/>
      <c r="J971" s="3"/>
      <c r="K971" s="3"/>
      <c r="L971" s="4"/>
      <c r="M971" s="3"/>
      <c r="O971" s="58"/>
      <c r="Q971" s="64"/>
      <c r="R971" s="45"/>
      <c r="S971" s="45"/>
      <c r="U971" s="64"/>
      <c r="V971" s="45"/>
      <c r="W971" s="64"/>
      <c r="X971" s="64"/>
      <c r="Y971" s="45"/>
      <c r="Z971" s="45"/>
      <c r="AA971" s="105"/>
      <c r="AB971" s="105"/>
      <c r="AC971" s="105"/>
      <c r="AD971" s="64"/>
      <c r="AG971" s="45"/>
      <c r="AH971" s="64"/>
      <c r="AI971" s="45"/>
      <c r="AJ971" s="105"/>
      <c r="AK971" s="105"/>
      <c r="AL971" s="60"/>
      <c r="AM971" s="60"/>
      <c r="AN971" s="60"/>
      <c r="AO971" s="60"/>
      <c r="AP971" s="60"/>
      <c r="AQ971" s="60"/>
      <c r="AR971" s="60"/>
      <c r="AS971" s="60"/>
      <c r="AT971" s="45"/>
      <c r="AU971" s="45"/>
      <c r="AW971" s="45"/>
      <c r="AX971" s="46">
        <f t="shared" ref="AX971:AX1034" si="46">IFERROR(SUM(Q971:AS971)-SUM(AT971:AU971)+AV971,"-")</f>
        <v>0</v>
      </c>
      <c r="AY971" s="46">
        <f t="shared" ref="AY971:AY1034" si="47">IFERROR(SUM(Q971:AS971)-SUM(AT971:AT971),"-")</f>
        <v>0</v>
      </c>
      <c r="AZ971" s="46">
        <f t="shared" ref="AZ971:AZ1034" si="48">SUM(Q971:AS971)</f>
        <v>0</v>
      </c>
    </row>
    <row r="972" spans="3:52" ht="20.100000000000001" customHeight="1">
      <c r="C972" s="102"/>
      <c r="D972" s="3"/>
      <c r="F972" s="3"/>
      <c r="G972" s="3"/>
      <c r="H972" s="3"/>
      <c r="J972" s="3"/>
      <c r="K972" s="3"/>
      <c r="L972" s="4"/>
      <c r="M972" s="3"/>
      <c r="O972" s="58"/>
      <c r="Q972" s="64"/>
      <c r="R972" s="45"/>
      <c r="S972" s="45"/>
      <c r="U972" s="64"/>
      <c r="V972" s="45"/>
      <c r="W972" s="64"/>
      <c r="X972" s="64"/>
      <c r="Y972" s="45"/>
      <c r="Z972" s="45"/>
      <c r="AA972" s="105"/>
      <c r="AB972" s="105"/>
      <c r="AC972" s="105"/>
      <c r="AD972" s="64"/>
      <c r="AH972" s="64"/>
      <c r="AI972" s="45"/>
      <c r="AJ972" s="105"/>
      <c r="AK972" s="105"/>
      <c r="AL972" s="60"/>
      <c r="AM972" s="60"/>
      <c r="AN972" s="60"/>
      <c r="AO972" s="60"/>
      <c r="AP972" s="60"/>
      <c r="AQ972" s="60"/>
      <c r="AR972" s="60"/>
      <c r="AS972" s="60"/>
      <c r="AT972" s="45"/>
      <c r="AU972" s="45"/>
      <c r="AW972" s="45"/>
      <c r="AX972" s="46">
        <f t="shared" si="46"/>
        <v>0</v>
      </c>
      <c r="AY972" s="46">
        <f t="shared" si="47"/>
        <v>0</v>
      </c>
      <c r="AZ972" s="46">
        <f t="shared" si="48"/>
        <v>0</v>
      </c>
    </row>
    <row r="973" spans="3:52" ht="20.100000000000001" customHeight="1">
      <c r="C973" s="102"/>
      <c r="D973" s="3"/>
      <c r="F973" s="3"/>
      <c r="G973" s="3"/>
      <c r="H973" s="3"/>
      <c r="J973" s="3"/>
      <c r="K973" s="3"/>
      <c r="L973" s="4"/>
      <c r="M973" s="3"/>
      <c r="O973" s="58"/>
      <c r="Q973" s="64"/>
      <c r="R973" s="45"/>
      <c r="S973" s="45"/>
      <c r="U973" s="64"/>
      <c r="V973" s="45"/>
      <c r="W973" s="64"/>
      <c r="X973" s="64"/>
      <c r="Y973" s="45"/>
      <c r="Z973" s="45"/>
      <c r="AA973" s="105"/>
      <c r="AB973" s="105"/>
      <c r="AC973" s="105"/>
      <c r="AD973" s="64"/>
      <c r="AG973" s="45"/>
      <c r="AH973" s="64"/>
      <c r="AI973" s="45"/>
      <c r="AJ973" s="105"/>
      <c r="AK973" s="105"/>
      <c r="AL973" s="60"/>
      <c r="AM973" s="60"/>
      <c r="AN973" s="60"/>
      <c r="AO973" s="60"/>
      <c r="AP973" s="60"/>
      <c r="AQ973" s="60"/>
      <c r="AR973" s="60"/>
      <c r="AS973" s="60"/>
      <c r="AT973" s="45"/>
      <c r="AU973" s="45"/>
      <c r="AW973" s="45"/>
      <c r="AX973" s="46">
        <f t="shared" si="46"/>
        <v>0</v>
      </c>
      <c r="AY973" s="46">
        <f t="shared" si="47"/>
        <v>0</v>
      </c>
      <c r="AZ973" s="46">
        <f t="shared" si="48"/>
        <v>0</v>
      </c>
    </row>
    <row r="974" spans="3:52" ht="20.100000000000001" customHeight="1">
      <c r="C974" s="102"/>
      <c r="D974" s="3"/>
      <c r="F974" s="3"/>
      <c r="G974" s="3"/>
      <c r="H974" s="3"/>
      <c r="J974" s="3"/>
      <c r="K974" s="3"/>
      <c r="L974" s="4"/>
      <c r="M974" s="3"/>
      <c r="O974" s="58"/>
      <c r="Q974" s="64"/>
      <c r="R974" s="45"/>
      <c r="S974" s="45"/>
      <c r="U974" s="64"/>
      <c r="V974" s="45"/>
      <c r="W974" s="64"/>
      <c r="X974" s="64"/>
      <c r="Y974" s="45"/>
      <c r="Z974" s="45"/>
      <c r="AA974" s="105"/>
      <c r="AB974" s="105"/>
      <c r="AC974" s="105"/>
      <c r="AD974" s="64"/>
      <c r="AG974" s="45"/>
      <c r="AH974" s="64"/>
      <c r="AI974" s="45"/>
      <c r="AJ974" s="105"/>
      <c r="AK974" s="105"/>
      <c r="AL974" s="60"/>
      <c r="AM974" s="60"/>
      <c r="AN974" s="60"/>
      <c r="AO974" s="60"/>
      <c r="AP974" s="60"/>
      <c r="AQ974" s="60"/>
      <c r="AR974" s="60"/>
      <c r="AS974" s="60"/>
      <c r="AT974" s="45"/>
      <c r="AU974" s="45"/>
      <c r="AW974" s="45"/>
      <c r="AX974" s="46">
        <f t="shared" si="46"/>
        <v>0</v>
      </c>
      <c r="AY974" s="46">
        <f t="shared" si="47"/>
        <v>0</v>
      </c>
      <c r="AZ974" s="46">
        <f t="shared" si="48"/>
        <v>0</v>
      </c>
    </row>
    <row r="975" spans="3:52" ht="20.100000000000001" customHeight="1">
      <c r="C975" s="102"/>
      <c r="D975" s="3"/>
      <c r="F975" s="3"/>
      <c r="G975" s="3"/>
      <c r="H975" s="3"/>
      <c r="J975" s="3"/>
      <c r="K975" s="3"/>
      <c r="L975" s="4"/>
      <c r="M975" s="3"/>
      <c r="O975" s="58"/>
      <c r="Q975" s="64"/>
      <c r="R975" s="45"/>
      <c r="S975" s="45"/>
      <c r="U975" s="64"/>
      <c r="V975" s="45"/>
      <c r="W975" s="64"/>
      <c r="X975" s="64"/>
      <c r="Y975" s="45"/>
      <c r="Z975" s="45"/>
      <c r="AA975" s="105"/>
      <c r="AB975" s="105"/>
      <c r="AC975" s="105"/>
      <c r="AD975" s="64"/>
      <c r="AH975" s="64"/>
      <c r="AI975" s="45"/>
      <c r="AJ975" s="105"/>
      <c r="AK975" s="105"/>
      <c r="AL975" s="60"/>
      <c r="AM975" s="60"/>
      <c r="AN975" s="60"/>
      <c r="AO975" s="60"/>
      <c r="AP975" s="60"/>
      <c r="AQ975" s="60"/>
      <c r="AR975" s="60"/>
      <c r="AS975" s="60"/>
      <c r="AT975" s="45"/>
      <c r="AU975" s="45"/>
      <c r="AW975" s="45"/>
      <c r="AX975" s="46">
        <f t="shared" si="46"/>
        <v>0</v>
      </c>
      <c r="AY975" s="46">
        <f t="shared" si="47"/>
        <v>0</v>
      </c>
      <c r="AZ975" s="46">
        <f t="shared" si="48"/>
        <v>0</v>
      </c>
    </row>
    <row r="976" spans="3:52" ht="20.100000000000001" customHeight="1">
      <c r="C976" s="102"/>
      <c r="D976" s="3"/>
      <c r="F976" s="3"/>
      <c r="G976" s="3"/>
      <c r="H976" s="3"/>
      <c r="J976" s="3"/>
      <c r="K976" s="3"/>
      <c r="L976" s="4"/>
      <c r="M976" s="3"/>
      <c r="O976" s="58"/>
      <c r="Q976" s="64"/>
      <c r="R976" s="45"/>
      <c r="S976" s="45"/>
      <c r="U976" s="64"/>
      <c r="V976" s="45"/>
      <c r="W976" s="64"/>
      <c r="X976" s="64"/>
      <c r="Y976" s="45"/>
      <c r="Z976" s="45"/>
      <c r="AA976" s="105"/>
      <c r="AB976" s="105"/>
      <c r="AC976" s="105"/>
      <c r="AD976" s="64"/>
      <c r="AH976" s="64"/>
      <c r="AI976" s="45"/>
      <c r="AJ976" s="105"/>
      <c r="AK976" s="105"/>
      <c r="AL976" s="60"/>
      <c r="AM976" s="60"/>
      <c r="AN976" s="60"/>
      <c r="AO976" s="60"/>
      <c r="AP976" s="60"/>
      <c r="AQ976" s="60"/>
      <c r="AR976" s="60"/>
      <c r="AS976" s="60"/>
      <c r="AT976" s="45"/>
      <c r="AU976" s="45"/>
      <c r="AW976" s="45"/>
      <c r="AX976" s="46">
        <f t="shared" si="46"/>
        <v>0</v>
      </c>
      <c r="AY976" s="46">
        <f t="shared" si="47"/>
        <v>0</v>
      </c>
      <c r="AZ976" s="46">
        <f t="shared" si="48"/>
        <v>0</v>
      </c>
    </row>
    <row r="977" spans="3:52" ht="20.100000000000001" customHeight="1">
      <c r="C977" s="102"/>
      <c r="D977" s="3"/>
      <c r="F977" s="3"/>
      <c r="G977" s="3"/>
      <c r="H977" s="3"/>
      <c r="J977" s="3"/>
      <c r="K977" s="3"/>
      <c r="L977" s="4"/>
      <c r="M977" s="3"/>
      <c r="O977" s="58"/>
      <c r="Q977" s="64"/>
      <c r="R977" s="45"/>
      <c r="S977" s="45"/>
      <c r="U977" s="64"/>
      <c r="V977" s="45"/>
      <c r="W977" s="64"/>
      <c r="X977" s="64"/>
      <c r="Y977" s="45"/>
      <c r="Z977" s="45"/>
      <c r="AA977" s="105"/>
      <c r="AB977" s="105"/>
      <c r="AC977" s="105"/>
      <c r="AD977" s="64"/>
      <c r="AH977" s="64"/>
      <c r="AI977" s="45"/>
      <c r="AJ977" s="105"/>
      <c r="AK977" s="105"/>
      <c r="AL977" s="60"/>
      <c r="AM977" s="60"/>
      <c r="AN977" s="60"/>
      <c r="AO977" s="60"/>
      <c r="AP977" s="60"/>
      <c r="AQ977" s="60"/>
      <c r="AR977" s="60"/>
      <c r="AS977" s="60"/>
      <c r="AT977" s="45"/>
      <c r="AU977" s="45"/>
      <c r="AW977" s="45"/>
      <c r="AX977" s="46">
        <f t="shared" si="46"/>
        <v>0</v>
      </c>
      <c r="AY977" s="46">
        <f t="shared" si="47"/>
        <v>0</v>
      </c>
      <c r="AZ977" s="46">
        <f t="shared" si="48"/>
        <v>0</v>
      </c>
    </row>
    <row r="978" spans="3:52" ht="20.100000000000001" customHeight="1">
      <c r="C978" s="102"/>
      <c r="D978" s="3"/>
      <c r="F978" s="3"/>
      <c r="G978" s="3"/>
      <c r="H978" s="3"/>
      <c r="J978" s="3"/>
      <c r="K978" s="3"/>
      <c r="L978" s="4"/>
      <c r="M978" s="3"/>
      <c r="O978" s="58"/>
      <c r="Q978" s="64"/>
      <c r="R978" s="45"/>
      <c r="S978" s="45"/>
      <c r="U978" s="64"/>
      <c r="V978" s="45"/>
      <c r="W978" s="64"/>
      <c r="X978" s="64"/>
      <c r="Y978" s="45"/>
      <c r="Z978" s="45"/>
      <c r="AA978" s="105"/>
      <c r="AB978" s="105"/>
      <c r="AC978" s="105"/>
      <c r="AD978" s="64"/>
      <c r="AG978" s="45"/>
      <c r="AH978" s="64"/>
      <c r="AI978" s="45"/>
      <c r="AJ978" s="105"/>
      <c r="AK978" s="105"/>
      <c r="AL978" s="60"/>
      <c r="AM978" s="60"/>
      <c r="AN978" s="60"/>
      <c r="AO978" s="60"/>
      <c r="AP978" s="60"/>
      <c r="AQ978" s="60"/>
      <c r="AR978" s="60"/>
      <c r="AS978" s="60"/>
      <c r="AT978" s="45"/>
      <c r="AU978" s="45"/>
      <c r="AW978" s="45"/>
      <c r="AX978" s="46">
        <f t="shared" si="46"/>
        <v>0</v>
      </c>
      <c r="AY978" s="46">
        <f t="shared" si="47"/>
        <v>0</v>
      </c>
      <c r="AZ978" s="46">
        <f t="shared" si="48"/>
        <v>0</v>
      </c>
    </row>
    <row r="979" spans="3:52" ht="20.100000000000001" customHeight="1">
      <c r="C979" s="102"/>
      <c r="D979" s="3"/>
      <c r="F979" s="3"/>
      <c r="G979" s="3"/>
      <c r="H979" s="3"/>
      <c r="J979" s="3"/>
      <c r="K979" s="3"/>
      <c r="L979" s="4"/>
      <c r="M979" s="3"/>
      <c r="O979" s="58"/>
      <c r="Q979" s="64"/>
      <c r="R979" s="45"/>
      <c r="S979" s="45"/>
      <c r="U979" s="64"/>
      <c r="V979" s="45"/>
      <c r="W979" s="64"/>
      <c r="X979" s="64"/>
      <c r="Y979" s="45"/>
      <c r="Z979" s="45"/>
      <c r="AA979" s="105"/>
      <c r="AB979" s="105"/>
      <c r="AC979" s="105"/>
      <c r="AD979" s="64"/>
      <c r="AG979" s="45"/>
      <c r="AH979" s="64"/>
      <c r="AI979" s="45"/>
      <c r="AJ979" s="105"/>
      <c r="AK979" s="105"/>
      <c r="AL979" s="60"/>
      <c r="AM979" s="60"/>
      <c r="AN979" s="60"/>
      <c r="AO979" s="60"/>
      <c r="AP979" s="60"/>
      <c r="AQ979" s="60"/>
      <c r="AR979" s="60"/>
      <c r="AS979" s="60"/>
      <c r="AT979" s="45"/>
      <c r="AU979" s="45"/>
      <c r="AW979" s="45"/>
      <c r="AX979" s="46">
        <f t="shared" si="46"/>
        <v>0</v>
      </c>
      <c r="AY979" s="46">
        <f t="shared" si="47"/>
        <v>0</v>
      </c>
      <c r="AZ979" s="46">
        <f t="shared" si="48"/>
        <v>0</v>
      </c>
    </row>
    <row r="980" spans="3:52" ht="20.100000000000001" customHeight="1">
      <c r="C980" s="102"/>
      <c r="D980" s="3"/>
      <c r="F980" s="3"/>
      <c r="G980" s="3"/>
      <c r="H980" s="3"/>
      <c r="J980" s="3"/>
      <c r="K980" s="3"/>
      <c r="L980" s="4"/>
      <c r="M980" s="3"/>
      <c r="O980" s="58"/>
      <c r="Q980" s="64"/>
      <c r="R980" s="45"/>
      <c r="S980" s="45"/>
      <c r="U980" s="64"/>
      <c r="V980" s="45"/>
      <c r="W980" s="64"/>
      <c r="X980" s="64"/>
      <c r="Y980" s="45"/>
      <c r="Z980" s="45"/>
      <c r="AA980" s="105"/>
      <c r="AB980" s="105"/>
      <c r="AC980" s="105"/>
      <c r="AD980" s="64"/>
      <c r="AH980" s="64"/>
      <c r="AI980" s="45"/>
      <c r="AJ980" s="105"/>
      <c r="AK980" s="105"/>
      <c r="AL980" s="60"/>
      <c r="AM980" s="60"/>
      <c r="AN980" s="60"/>
      <c r="AO980" s="60"/>
      <c r="AP980" s="60"/>
      <c r="AQ980" s="60"/>
      <c r="AR980" s="60"/>
      <c r="AS980" s="60"/>
      <c r="AT980" s="45"/>
      <c r="AU980" s="45"/>
      <c r="AW980" s="45"/>
      <c r="AX980" s="46">
        <f t="shared" si="46"/>
        <v>0</v>
      </c>
      <c r="AY980" s="46">
        <f t="shared" si="47"/>
        <v>0</v>
      </c>
      <c r="AZ980" s="46">
        <f t="shared" si="48"/>
        <v>0</v>
      </c>
    </row>
    <row r="981" spans="3:52" ht="20.100000000000001" customHeight="1">
      <c r="C981" s="102"/>
      <c r="D981" s="3"/>
      <c r="F981" s="3"/>
      <c r="G981" s="3"/>
      <c r="H981" s="3"/>
      <c r="J981" s="3"/>
      <c r="K981" s="3"/>
      <c r="L981" s="4"/>
      <c r="M981" s="3"/>
      <c r="O981" s="58"/>
      <c r="Q981" s="64"/>
      <c r="R981" s="45"/>
      <c r="S981" s="45"/>
      <c r="U981" s="64"/>
      <c r="V981" s="45"/>
      <c r="W981" s="64"/>
      <c r="X981" s="64"/>
      <c r="Y981" s="45"/>
      <c r="Z981" s="45"/>
      <c r="AA981" s="105"/>
      <c r="AB981" s="105"/>
      <c r="AC981" s="105"/>
      <c r="AD981" s="64"/>
      <c r="AG981" s="45"/>
      <c r="AH981" s="64"/>
      <c r="AI981" s="45"/>
      <c r="AJ981" s="105"/>
      <c r="AK981" s="105"/>
      <c r="AL981" s="60"/>
      <c r="AM981" s="60"/>
      <c r="AN981" s="60"/>
      <c r="AO981" s="60"/>
      <c r="AP981" s="60"/>
      <c r="AQ981" s="60"/>
      <c r="AR981" s="60"/>
      <c r="AS981" s="60"/>
      <c r="AT981" s="45"/>
      <c r="AU981" s="45"/>
      <c r="AW981" s="45"/>
      <c r="AX981" s="46">
        <f t="shared" si="46"/>
        <v>0</v>
      </c>
      <c r="AY981" s="46">
        <f t="shared" si="47"/>
        <v>0</v>
      </c>
      <c r="AZ981" s="46">
        <f t="shared" si="48"/>
        <v>0</v>
      </c>
    </row>
    <row r="982" spans="3:52" ht="20.100000000000001" customHeight="1">
      <c r="C982" s="102"/>
      <c r="D982" s="3"/>
      <c r="F982" s="3"/>
      <c r="G982" s="3"/>
      <c r="H982" s="3"/>
      <c r="J982" s="3"/>
      <c r="K982" s="3"/>
      <c r="L982" s="4"/>
      <c r="M982" s="3"/>
      <c r="O982" s="58"/>
      <c r="Q982" s="64"/>
      <c r="R982" s="45"/>
      <c r="S982" s="45"/>
      <c r="U982" s="64"/>
      <c r="V982" s="45"/>
      <c r="W982" s="64"/>
      <c r="X982" s="64"/>
      <c r="Y982" s="45"/>
      <c r="Z982" s="45"/>
      <c r="AA982" s="105"/>
      <c r="AB982" s="105"/>
      <c r="AC982" s="105"/>
      <c r="AD982" s="64"/>
      <c r="AG982" s="45"/>
      <c r="AH982" s="64"/>
      <c r="AI982" s="45"/>
      <c r="AJ982" s="105"/>
      <c r="AK982" s="105"/>
      <c r="AL982" s="60"/>
      <c r="AM982" s="60"/>
      <c r="AN982" s="60"/>
      <c r="AO982" s="60"/>
      <c r="AP982" s="60"/>
      <c r="AQ982" s="60"/>
      <c r="AR982" s="60"/>
      <c r="AS982" s="60"/>
      <c r="AT982" s="45"/>
      <c r="AU982" s="45"/>
      <c r="AW982" s="45"/>
      <c r="AX982" s="46">
        <f t="shared" si="46"/>
        <v>0</v>
      </c>
      <c r="AY982" s="46">
        <f t="shared" si="47"/>
        <v>0</v>
      </c>
      <c r="AZ982" s="46">
        <f t="shared" si="48"/>
        <v>0</v>
      </c>
    </row>
    <row r="983" spans="3:52" ht="20.100000000000001" customHeight="1">
      <c r="C983" s="102"/>
      <c r="D983" s="3"/>
      <c r="F983" s="3"/>
      <c r="G983" s="3"/>
      <c r="H983" s="3"/>
      <c r="J983" s="3"/>
      <c r="K983" s="3"/>
      <c r="L983" s="4"/>
      <c r="M983" s="3"/>
      <c r="O983" s="58"/>
      <c r="Q983" s="64"/>
      <c r="R983" s="45"/>
      <c r="S983" s="45"/>
      <c r="U983" s="64"/>
      <c r="V983" s="45"/>
      <c r="W983" s="64"/>
      <c r="X983" s="64"/>
      <c r="Y983" s="45"/>
      <c r="Z983" s="45"/>
      <c r="AA983" s="105"/>
      <c r="AB983" s="105"/>
      <c r="AC983" s="105"/>
      <c r="AD983" s="64"/>
      <c r="AG983" s="45"/>
      <c r="AH983" s="64"/>
      <c r="AI983" s="45"/>
      <c r="AJ983" s="105"/>
      <c r="AK983" s="105"/>
      <c r="AL983" s="60"/>
      <c r="AM983" s="60"/>
      <c r="AN983" s="60"/>
      <c r="AO983" s="60"/>
      <c r="AP983" s="60"/>
      <c r="AQ983" s="60"/>
      <c r="AR983" s="60"/>
      <c r="AS983" s="60"/>
      <c r="AT983" s="45"/>
      <c r="AU983" s="45"/>
      <c r="AW983" s="45"/>
      <c r="AX983" s="46">
        <f t="shared" si="46"/>
        <v>0</v>
      </c>
      <c r="AY983" s="46">
        <f t="shared" si="47"/>
        <v>0</v>
      </c>
      <c r="AZ983" s="46">
        <f t="shared" si="48"/>
        <v>0</v>
      </c>
    </row>
    <row r="984" spans="3:52" ht="20.100000000000001" customHeight="1">
      <c r="C984" s="102"/>
      <c r="D984" s="3"/>
      <c r="F984" s="3"/>
      <c r="G984" s="3"/>
      <c r="H984" s="3"/>
      <c r="J984" s="3"/>
      <c r="K984" s="3"/>
      <c r="L984" s="4"/>
      <c r="M984" s="3"/>
      <c r="O984" s="58"/>
      <c r="Q984" s="64"/>
      <c r="R984" s="45"/>
      <c r="S984" s="45"/>
      <c r="U984" s="64"/>
      <c r="V984" s="45"/>
      <c r="W984" s="64"/>
      <c r="X984" s="64"/>
      <c r="Y984" s="45"/>
      <c r="Z984" s="45"/>
      <c r="AA984" s="105"/>
      <c r="AB984" s="105"/>
      <c r="AC984" s="105"/>
      <c r="AD984" s="64"/>
      <c r="AG984" s="45"/>
      <c r="AH984" s="64"/>
      <c r="AI984" s="45"/>
      <c r="AJ984" s="105"/>
      <c r="AK984" s="105"/>
      <c r="AL984" s="60"/>
      <c r="AM984" s="60"/>
      <c r="AN984" s="60"/>
      <c r="AO984" s="60"/>
      <c r="AP984" s="60"/>
      <c r="AQ984" s="60"/>
      <c r="AR984" s="60"/>
      <c r="AS984" s="60"/>
      <c r="AT984" s="45"/>
      <c r="AU984" s="45"/>
      <c r="AW984" s="45"/>
      <c r="AX984" s="46">
        <f t="shared" si="46"/>
        <v>0</v>
      </c>
      <c r="AY984" s="46">
        <f t="shared" si="47"/>
        <v>0</v>
      </c>
      <c r="AZ984" s="46">
        <f t="shared" si="48"/>
        <v>0</v>
      </c>
    </row>
    <row r="985" spans="3:52" ht="20.100000000000001" customHeight="1">
      <c r="C985" s="102"/>
      <c r="D985" s="3"/>
      <c r="F985" s="3"/>
      <c r="G985" s="3"/>
      <c r="H985" s="3"/>
      <c r="J985" s="3"/>
      <c r="K985" s="3"/>
      <c r="L985" s="4"/>
      <c r="M985" s="3"/>
      <c r="O985" s="58"/>
      <c r="Q985" s="64"/>
      <c r="R985" s="45"/>
      <c r="S985" s="45"/>
      <c r="U985" s="64"/>
      <c r="V985" s="45"/>
      <c r="W985" s="64"/>
      <c r="X985" s="64"/>
      <c r="Y985" s="45"/>
      <c r="Z985" s="45"/>
      <c r="AA985" s="105"/>
      <c r="AB985" s="105"/>
      <c r="AC985" s="105"/>
      <c r="AD985" s="64"/>
      <c r="AH985" s="64"/>
      <c r="AI985" s="45"/>
      <c r="AJ985" s="105"/>
      <c r="AK985" s="105"/>
      <c r="AL985" s="60"/>
      <c r="AM985" s="60"/>
      <c r="AN985" s="60"/>
      <c r="AO985" s="60"/>
      <c r="AP985" s="60"/>
      <c r="AQ985" s="60"/>
      <c r="AR985" s="60"/>
      <c r="AS985" s="60"/>
      <c r="AT985" s="45"/>
      <c r="AU985" s="45"/>
      <c r="AW985" s="45"/>
      <c r="AX985" s="46">
        <f t="shared" si="46"/>
        <v>0</v>
      </c>
      <c r="AY985" s="46">
        <f t="shared" si="47"/>
        <v>0</v>
      </c>
      <c r="AZ985" s="46">
        <f t="shared" si="48"/>
        <v>0</v>
      </c>
    </row>
    <row r="986" spans="3:52" ht="20.100000000000001" customHeight="1">
      <c r="C986" s="102"/>
      <c r="D986" s="3"/>
      <c r="F986" s="3"/>
      <c r="G986" s="3"/>
      <c r="H986" s="3"/>
      <c r="J986" s="3"/>
      <c r="K986" s="3"/>
      <c r="L986" s="4"/>
      <c r="M986" s="3"/>
      <c r="O986" s="58"/>
      <c r="Q986" s="64"/>
      <c r="R986" s="45"/>
      <c r="S986" s="45"/>
      <c r="U986" s="64"/>
      <c r="V986" s="45"/>
      <c r="W986" s="64"/>
      <c r="X986" s="64"/>
      <c r="Y986" s="45"/>
      <c r="Z986" s="45"/>
      <c r="AA986" s="105"/>
      <c r="AB986" s="105"/>
      <c r="AC986" s="105"/>
      <c r="AD986" s="64"/>
      <c r="AG986" s="45"/>
      <c r="AH986" s="64"/>
      <c r="AI986" s="45"/>
      <c r="AJ986" s="105"/>
      <c r="AK986" s="105"/>
      <c r="AL986" s="60"/>
      <c r="AM986" s="60"/>
      <c r="AN986" s="60"/>
      <c r="AO986" s="60"/>
      <c r="AP986" s="60"/>
      <c r="AQ986" s="60"/>
      <c r="AR986" s="60"/>
      <c r="AS986" s="60"/>
      <c r="AT986" s="45"/>
      <c r="AU986" s="45"/>
      <c r="AW986" s="45"/>
      <c r="AX986" s="46">
        <f t="shared" si="46"/>
        <v>0</v>
      </c>
      <c r="AY986" s="46">
        <f t="shared" si="47"/>
        <v>0</v>
      </c>
      <c r="AZ986" s="46">
        <f t="shared" si="48"/>
        <v>0</v>
      </c>
    </row>
    <row r="987" spans="3:52" ht="20.100000000000001" customHeight="1">
      <c r="C987" s="102"/>
      <c r="D987" s="3"/>
      <c r="F987" s="3"/>
      <c r="G987" s="3"/>
      <c r="H987" s="3"/>
      <c r="J987" s="3"/>
      <c r="K987" s="3"/>
      <c r="L987" s="4"/>
      <c r="M987" s="3"/>
      <c r="O987" s="58"/>
      <c r="Q987" s="64"/>
      <c r="R987" s="45"/>
      <c r="S987" s="45"/>
      <c r="U987" s="64"/>
      <c r="V987" s="45"/>
      <c r="W987" s="64"/>
      <c r="X987" s="64"/>
      <c r="Y987" s="45"/>
      <c r="Z987" s="45"/>
      <c r="AA987" s="105"/>
      <c r="AB987" s="105"/>
      <c r="AC987" s="105"/>
      <c r="AD987" s="64"/>
      <c r="AH987" s="64"/>
      <c r="AI987" s="45"/>
      <c r="AJ987" s="105"/>
      <c r="AK987" s="105"/>
      <c r="AL987" s="60"/>
      <c r="AM987" s="60"/>
      <c r="AN987" s="60"/>
      <c r="AO987" s="60"/>
      <c r="AP987" s="60"/>
      <c r="AQ987" s="60"/>
      <c r="AR987" s="60"/>
      <c r="AS987" s="60"/>
      <c r="AT987" s="45"/>
      <c r="AU987" s="45"/>
      <c r="AW987" s="45"/>
      <c r="AX987" s="46">
        <f t="shared" si="46"/>
        <v>0</v>
      </c>
      <c r="AY987" s="46">
        <f t="shared" si="47"/>
        <v>0</v>
      </c>
      <c r="AZ987" s="46">
        <f t="shared" si="48"/>
        <v>0</v>
      </c>
    </row>
    <row r="988" spans="3:52">
      <c r="C988" s="102"/>
      <c r="D988" s="3"/>
      <c r="F988" s="3"/>
      <c r="G988" s="3"/>
      <c r="H988" s="3"/>
      <c r="J988" s="3"/>
      <c r="K988" s="3"/>
      <c r="L988" s="4"/>
      <c r="M988" s="3"/>
      <c r="O988" s="58"/>
      <c r="Q988" s="64"/>
      <c r="R988" s="45"/>
      <c r="S988" s="45"/>
      <c r="U988" s="64"/>
      <c r="V988" s="45"/>
      <c r="W988" s="64"/>
      <c r="X988" s="64"/>
      <c r="Y988" s="45"/>
      <c r="Z988" s="45"/>
      <c r="AA988" s="105"/>
      <c r="AB988" s="105"/>
      <c r="AC988" s="105"/>
      <c r="AD988" s="64"/>
      <c r="AG988" s="45"/>
      <c r="AH988" s="64"/>
      <c r="AI988" s="45"/>
      <c r="AJ988" s="105"/>
      <c r="AK988" s="105"/>
      <c r="AL988" s="60"/>
      <c r="AM988" s="60"/>
      <c r="AN988" s="60"/>
      <c r="AO988" s="60"/>
      <c r="AP988" s="60"/>
      <c r="AQ988" s="60"/>
      <c r="AR988" s="60"/>
      <c r="AS988" s="60"/>
      <c r="AT988" s="45"/>
      <c r="AU988" s="45"/>
      <c r="AW988" s="45"/>
      <c r="AX988" s="46">
        <f t="shared" si="46"/>
        <v>0</v>
      </c>
      <c r="AY988" s="46">
        <f t="shared" si="47"/>
        <v>0</v>
      </c>
      <c r="AZ988" s="46">
        <f t="shared" si="48"/>
        <v>0</v>
      </c>
    </row>
    <row r="989" spans="3:52">
      <c r="C989" s="102"/>
      <c r="D989" s="3"/>
      <c r="F989" s="3"/>
      <c r="G989" s="3"/>
      <c r="H989" s="3"/>
      <c r="J989" s="3"/>
      <c r="K989" s="3"/>
      <c r="L989" s="4"/>
      <c r="M989" s="3"/>
      <c r="O989" s="58"/>
      <c r="Q989" s="64"/>
      <c r="R989" s="45"/>
      <c r="S989" s="45"/>
      <c r="U989" s="64"/>
      <c r="V989" s="45"/>
      <c r="W989" s="64"/>
      <c r="X989" s="64"/>
      <c r="Y989" s="45"/>
      <c r="Z989" s="45"/>
      <c r="AA989" s="105"/>
      <c r="AB989" s="105"/>
      <c r="AC989" s="105"/>
      <c r="AD989" s="64"/>
      <c r="AG989" s="45"/>
      <c r="AH989" s="64"/>
      <c r="AI989" s="45"/>
      <c r="AJ989" s="105"/>
      <c r="AK989" s="105"/>
      <c r="AL989" s="60"/>
      <c r="AM989" s="60"/>
      <c r="AN989" s="60"/>
      <c r="AO989" s="60"/>
      <c r="AP989" s="60"/>
      <c r="AQ989" s="60"/>
      <c r="AR989" s="60"/>
      <c r="AS989" s="60"/>
      <c r="AT989" s="45"/>
      <c r="AU989" s="45"/>
      <c r="AW989" s="45"/>
      <c r="AX989" s="46">
        <f t="shared" si="46"/>
        <v>0</v>
      </c>
      <c r="AY989" s="46">
        <f t="shared" si="47"/>
        <v>0</v>
      </c>
      <c r="AZ989" s="46">
        <f t="shared" si="48"/>
        <v>0</v>
      </c>
    </row>
    <row r="990" spans="3:52">
      <c r="C990" s="102"/>
      <c r="D990" s="3"/>
      <c r="F990" s="3"/>
      <c r="G990" s="3"/>
      <c r="H990" s="3"/>
      <c r="J990" s="3"/>
      <c r="K990" s="3"/>
      <c r="L990" s="4"/>
      <c r="M990" s="3"/>
      <c r="O990" s="58"/>
      <c r="Q990" s="64"/>
      <c r="R990" s="45"/>
      <c r="S990" s="45"/>
      <c r="U990" s="64"/>
      <c r="V990" s="45"/>
      <c r="W990" s="64"/>
      <c r="X990" s="64"/>
      <c r="Y990" s="45"/>
      <c r="Z990" s="45"/>
      <c r="AA990" s="105"/>
      <c r="AB990" s="105"/>
      <c r="AC990" s="105"/>
      <c r="AD990" s="64"/>
      <c r="AG990" s="45"/>
      <c r="AH990" s="64"/>
      <c r="AI990" s="45"/>
      <c r="AJ990" s="105"/>
      <c r="AK990" s="105"/>
      <c r="AL990" s="60"/>
      <c r="AM990" s="60"/>
      <c r="AN990" s="60"/>
      <c r="AO990" s="60"/>
      <c r="AP990" s="60"/>
      <c r="AQ990" s="60"/>
      <c r="AR990" s="60"/>
      <c r="AS990" s="60"/>
      <c r="AT990" s="45"/>
      <c r="AU990" s="45"/>
      <c r="AW990" s="45"/>
      <c r="AX990" s="46">
        <f t="shared" si="46"/>
        <v>0</v>
      </c>
      <c r="AY990" s="46">
        <f t="shared" si="47"/>
        <v>0</v>
      </c>
      <c r="AZ990" s="46">
        <f t="shared" si="48"/>
        <v>0</v>
      </c>
    </row>
    <row r="991" spans="3:52">
      <c r="C991" s="102"/>
      <c r="D991" s="3"/>
      <c r="F991" s="3"/>
      <c r="G991" s="3"/>
      <c r="H991" s="3"/>
      <c r="J991" s="3"/>
      <c r="K991" s="3"/>
      <c r="L991" s="4"/>
      <c r="M991" s="3"/>
      <c r="O991" s="58"/>
      <c r="Q991" s="64"/>
      <c r="R991" s="45"/>
      <c r="S991" s="45"/>
      <c r="U991" s="64"/>
      <c r="V991" s="45"/>
      <c r="W991" s="64"/>
      <c r="X991" s="64"/>
      <c r="Y991" s="45"/>
      <c r="Z991" s="45"/>
      <c r="AA991" s="105"/>
      <c r="AB991" s="105"/>
      <c r="AC991" s="105"/>
      <c r="AD991" s="64"/>
      <c r="AH991" s="64"/>
      <c r="AI991" s="45"/>
      <c r="AJ991" s="105"/>
      <c r="AK991" s="105"/>
      <c r="AL991" s="60"/>
      <c r="AM991" s="60"/>
      <c r="AN991" s="60"/>
      <c r="AO991" s="60"/>
      <c r="AP991" s="60"/>
      <c r="AQ991" s="60"/>
      <c r="AR991" s="60"/>
      <c r="AS991" s="60"/>
      <c r="AT991" s="45"/>
      <c r="AU991" s="45"/>
      <c r="AW991" s="45"/>
      <c r="AX991" s="46">
        <f t="shared" si="46"/>
        <v>0</v>
      </c>
      <c r="AY991" s="46">
        <f t="shared" si="47"/>
        <v>0</v>
      </c>
      <c r="AZ991" s="46">
        <f t="shared" si="48"/>
        <v>0</v>
      </c>
    </row>
    <row r="992" spans="3:52">
      <c r="C992" s="102"/>
      <c r="D992" s="3"/>
      <c r="F992" s="3"/>
      <c r="G992" s="3"/>
      <c r="H992" s="3"/>
      <c r="J992" s="3"/>
      <c r="K992" s="3"/>
      <c r="L992" s="4"/>
      <c r="M992" s="3"/>
      <c r="O992" s="58"/>
      <c r="Q992" s="64"/>
      <c r="R992" s="45"/>
      <c r="S992" s="45"/>
      <c r="U992" s="64"/>
      <c r="V992" s="45"/>
      <c r="W992" s="64"/>
      <c r="X992" s="64"/>
      <c r="Y992" s="45"/>
      <c r="Z992" s="45"/>
      <c r="AA992" s="105"/>
      <c r="AB992" s="105"/>
      <c r="AC992" s="105"/>
      <c r="AD992" s="64"/>
      <c r="AG992" s="45"/>
      <c r="AH992" s="64"/>
      <c r="AI992" s="45"/>
      <c r="AJ992" s="105"/>
      <c r="AK992" s="105"/>
      <c r="AL992" s="60"/>
      <c r="AM992" s="60"/>
      <c r="AN992" s="60"/>
      <c r="AO992" s="60"/>
      <c r="AP992" s="60"/>
      <c r="AQ992" s="60"/>
      <c r="AR992" s="60"/>
      <c r="AS992" s="60"/>
      <c r="AT992" s="45"/>
      <c r="AU992" s="45"/>
      <c r="AW992" s="45"/>
      <c r="AX992" s="46">
        <f t="shared" si="46"/>
        <v>0</v>
      </c>
      <c r="AY992" s="46">
        <f t="shared" si="47"/>
        <v>0</v>
      </c>
      <c r="AZ992" s="46">
        <f t="shared" si="48"/>
        <v>0</v>
      </c>
    </row>
    <row r="993" spans="3:52">
      <c r="C993" s="102"/>
      <c r="D993" s="3"/>
      <c r="F993" s="3"/>
      <c r="G993" s="3"/>
      <c r="H993" s="3"/>
      <c r="J993" s="3"/>
      <c r="K993" s="3"/>
      <c r="L993" s="4"/>
      <c r="M993" s="3"/>
      <c r="O993" s="58"/>
      <c r="Q993" s="64"/>
      <c r="R993" s="45"/>
      <c r="S993" s="45"/>
      <c r="U993" s="64"/>
      <c r="V993" s="45"/>
      <c r="W993" s="64"/>
      <c r="X993" s="64"/>
      <c r="Y993" s="45"/>
      <c r="Z993" s="45"/>
      <c r="AA993" s="105"/>
      <c r="AB993" s="105"/>
      <c r="AC993" s="105"/>
      <c r="AD993" s="64"/>
      <c r="AG993" s="45"/>
      <c r="AH993" s="64"/>
      <c r="AI993" s="45"/>
      <c r="AJ993" s="105"/>
      <c r="AK993" s="105"/>
      <c r="AL993" s="60"/>
      <c r="AM993" s="60"/>
      <c r="AN993" s="60"/>
      <c r="AO993" s="60"/>
      <c r="AP993" s="60"/>
      <c r="AQ993" s="60"/>
      <c r="AR993" s="60"/>
      <c r="AS993" s="60"/>
      <c r="AT993" s="45"/>
      <c r="AU993" s="45"/>
      <c r="AW993" s="45"/>
      <c r="AX993" s="46">
        <f t="shared" si="46"/>
        <v>0</v>
      </c>
      <c r="AY993" s="46">
        <f t="shared" si="47"/>
        <v>0</v>
      </c>
      <c r="AZ993" s="46">
        <f t="shared" si="48"/>
        <v>0</v>
      </c>
    </row>
    <row r="994" spans="3:52">
      <c r="C994" s="102"/>
      <c r="D994" s="3"/>
      <c r="F994" s="3"/>
      <c r="G994" s="3"/>
      <c r="H994" s="3"/>
      <c r="J994" s="3"/>
      <c r="K994" s="3"/>
      <c r="L994" s="4"/>
      <c r="M994" s="3"/>
      <c r="O994" s="58"/>
      <c r="Q994" s="64"/>
      <c r="R994" s="45"/>
      <c r="S994" s="45"/>
      <c r="U994" s="64"/>
      <c r="V994" s="45"/>
      <c r="W994" s="64"/>
      <c r="X994" s="64"/>
      <c r="Y994" s="45"/>
      <c r="Z994" s="45"/>
      <c r="AA994" s="105"/>
      <c r="AB994" s="105"/>
      <c r="AC994" s="105"/>
      <c r="AD994" s="64"/>
      <c r="AG994" s="45"/>
      <c r="AH994" s="64"/>
      <c r="AI994" s="45"/>
      <c r="AJ994" s="105"/>
      <c r="AK994" s="105"/>
      <c r="AL994" s="60"/>
      <c r="AM994" s="60"/>
      <c r="AN994" s="60"/>
      <c r="AO994" s="60"/>
      <c r="AP994" s="60"/>
      <c r="AQ994" s="60"/>
      <c r="AR994" s="60"/>
      <c r="AS994" s="60"/>
      <c r="AT994" s="45"/>
      <c r="AU994" s="45"/>
      <c r="AW994" s="45"/>
      <c r="AX994" s="46">
        <f t="shared" si="46"/>
        <v>0</v>
      </c>
      <c r="AY994" s="46">
        <f t="shared" si="47"/>
        <v>0</v>
      </c>
      <c r="AZ994" s="46">
        <f t="shared" si="48"/>
        <v>0</v>
      </c>
    </row>
    <row r="995" spans="3:52">
      <c r="C995" s="102"/>
      <c r="D995" s="3"/>
      <c r="F995" s="3"/>
      <c r="G995" s="3"/>
      <c r="H995" s="3"/>
      <c r="J995" s="3"/>
      <c r="K995" s="3"/>
      <c r="L995" s="4"/>
      <c r="M995" s="3"/>
      <c r="O995" s="58"/>
      <c r="Q995" s="64"/>
      <c r="R995" s="45"/>
      <c r="S995" s="45"/>
      <c r="U995" s="64"/>
      <c r="V995" s="45"/>
      <c r="W995" s="64"/>
      <c r="X995" s="64"/>
      <c r="Y995" s="45"/>
      <c r="Z995" s="45"/>
      <c r="AA995" s="105"/>
      <c r="AB995" s="105"/>
      <c r="AC995" s="105"/>
      <c r="AD995" s="64"/>
      <c r="AG995" s="45"/>
      <c r="AH995" s="64"/>
      <c r="AI995" s="45"/>
      <c r="AJ995" s="105"/>
      <c r="AK995" s="105"/>
      <c r="AL995" s="60"/>
      <c r="AM995" s="60"/>
      <c r="AN995" s="60"/>
      <c r="AO995" s="60"/>
      <c r="AP995" s="60"/>
      <c r="AQ995" s="60"/>
      <c r="AR995" s="60"/>
      <c r="AS995" s="60"/>
      <c r="AT995" s="45"/>
      <c r="AU995" s="45"/>
      <c r="AW995" s="45"/>
      <c r="AX995" s="46">
        <f t="shared" si="46"/>
        <v>0</v>
      </c>
      <c r="AY995" s="46">
        <f t="shared" si="47"/>
        <v>0</v>
      </c>
      <c r="AZ995" s="46">
        <f t="shared" si="48"/>
        <v>0</v>
      </c>
    </row>
    <row r="996" spans="3:52">
      <c r="C996" s="102"/>
      <c r="D996" s="3"/>
      <c r="F996" s="3"/>
      <c r="G996" s="3"/>
      <c r="H996" s="3"/>
      <c r="J996" s="3"/>
      <c r="K996" s="3"/>
      <c r="L996" s="4"/>
      <c r="M996" s="3"/>
      <c r="O996" s="58"/>
      <c r="Q996" s="64"/>
      <c r="R996" s="45"/>
      <c r="S996" s="45"/>
      <c r="U996" s="64"/>
      <c r="V996" s="45"/>
      <c r="W996" s="64"/>
      <c r="X996" s="64"/>
      <c r="Y996" s="45"/>
      <c r="Z996" s="45"/>
      <c r="AA996" s="105"/>
      <c r="AB996" s="105"/>
      <c r="AC996" s="105"/>
      <c r="AD996" s="64"/>
      <c r="AG996" s="45"/>
      <c r="AH996" s="64"/>
      <c r="AI996" s="45"/>
      <c r="AJ996" s="105"/>
      <c r="AK996" s="105"/>
      <c r="AL996" s="60"/>
      <c r="AM996" s="60"/>
      <c r="AN996" s="60"/>
      <c r="AO996" s="60"/>
      <c r="AP996" s="60"/>
      <c r="AQ996" s="60"/>
      <c r="AR996" s="60"/>
      <c r="AS996" s="60"/>
      <c r="AT996" s="45"/>
      <c r="AU996" s="45"/>
      <c r="AW996" s="45"/>
      <c r="AX996" s="46">
        <f t="shared" si="46"/>
        <v>0</v>
      </c>
      <c r="AY996" s="46">
        <f t="shared" si="47"/>
        <v>0</v>
      </c>
      <c r="AZ996" s="46">
        <f t="shared" si="48"/>
        <v>0</v>
      </c>
    </row>
    <row r="997" spans="3:52">
      <c r="C997" s="102"/>
      <c r="D997" s="3"/>
      <c r="F997" s="3"/>
      <c r="G997" s="3"/>
      <c r="H997" s="3"/>
      <c r="J997" s="3"/>
      <c r="K997" s="3"/>
      <c r="L997" s="4"/>
      <c r="M997" s="3"/>
      <c r="O997" s="58"/>
      <c r="Q997" s="64"/>
      <c r="R997" s="45"/>
      <c r="S997" s="45"/>
      <c r="U997" s="64"/>
      <c r="V997" s="45"/>
      <c r="W997" s="64"/>
      <c r="X997" s="64"/>
      <c r="Y997" s="45"/>
      <c r="Z997" s="45"/>
      <c r="AA997" s="105"/>
      <c r="AB997" s="105"/>
      <c r="AC997" s="105"/>
      <c r="AD997" s="64"/>
      <c r="AG997" s="45"/>
      <c r="AH997" s="64"/>
      <c r="AI997" s="45"/>
      <c r="AJ997" s="105"/>
      <c r="AK997" s="105"/>
      <c r="AL997" s="60"/>
      <c r="AM997" s="60"/>
      <c r="AN997" s="60"/>
      <c r="AO997" s="60"/>
      <c r="AP997" s="60"/>
      <c r="AQ997" s="60"/>
      <c r="AR997" s="60"/>
      <c r="AS997" s="60"/>
      <c r="AT997" s="45"/>
      <c r="AU997" s="45"/>
      <c r="AW997" s="45"/>
      <c r="AX997" s="46">
        <f t="shared" si="46"/>
        <v>0</v>
      </c>
      <c r="AY997" s="46">
        <f t="shared" si="47"/>
        <v>0</v>
      </c>
      <c r="AZ997" s="46">
        <f t="shared" si="48"/>
        <v>0</v>
      </c>
    </row>
    <row r="998" spans="3:52">
      <c r="C998" s="102"/>
      <c r="D998" s="3"/>
      <c r="F998" s="3"/>
      <c r="G998" s="3"/>
      <c r="H998" s="3"/>
      <c r="J998" s="3"/>
      <c r="K998" s="3"/>
      <c r="L998" s="4"/>
      <c r="M998" s="3"/>
      <c r="O998" s="58"/>
      <c r="Q998" s="64"/>
      <c r="R998" s="45"/>
      <c r="S998" s="45"/>
      <c r="U998" s="64"/>
      <c r="V998" s="45"/>
      <c r="W998" s="64"/>
      <c r="X998" s="64"/>
      <c r="Y998" s="45"/>
      <c r="Z998" s="45"/>
      <c r="AA998" s="105"/>
      <c r="AB998" s="105"/>
      <c r="AC998" s="105"/>
      <c r="AD998" s="64"/>
      <c r="AH998" s="64"/>
      <c r="AI998" s="45"/>
      <c r="AJ998" s="105"/>
      <c r="AK998" s="105"/>
      <c r="AL998" s="60"/>
      <c r="AM998" s="60"/>
      <c r="AN998" s="60"/>
      <c r="AO998" s="60"/>
      <c r="AP998" s="60"/>
      <c r="AQ998" s="60"/>
      <c r="AR998" s="60"/>
      <c r="AS998" s="60"/>
      <c r="AT998" s="45"/>
      <c r="AU998" s="45"/>
      <c r="AW998" s="45"/>
      <c r="AX998" s="46">
        <f t="shared" si="46"/>
        <v>0</v>
      </c>
      <c r="AY998" s="46">
        <f t="shared" si="47"/>
        <v>0</v>
      </c>
      <c r="AZ998" s="46">
        <f t="shared" si="48"/>
        <v>0</v>
      </c>
    </row>
    <row r="999" spans="3:52">
      <c r="C999" s="102"/>
      <c r="D999" s="3"/>
      <c r="F999" s="3"/>
      <c r="G999" s="3"/>
      <c r="H999" s="3"/>
      <c r="J999" s="3"/>
      <c r="K999" s="3"/>
      <c r="L999" s="4"/>
      <c r="M999" s="3"/>
      <c r="O999" s="58"/>
      <c r="Q999" s="64"/>
      <c r="R999" s="45"/>
      <c r="S999" s="45"/>
      <c r="U999" s="64"/>
      <c r="V999" s="45"/>
      <c r="W999" s="64"/>
      <c r="X999" s="64"/>
      <c r="Y999" s="45"/>
      <c r="Z999" s="45"/>
      <c r="AA999" s="105"/>
      <c r="AB999" s="105"/>
      <c r="AC999" s="105"/>
      <c r="AD999" s="64"/>
      <c r="AG999" s="45"/>
      <c r="AH999" s="64"/>
      <c r="AI999" s="45"/>
      <c r="AJ999" s="105"/>
      <c r="AK999" s="105"/>
      <c r="AL999" s="60"/>
      <c r="AM999" s="60"/>
      <c r="AN999" s="60"/>
      <c r="AO999" s="60"/>
      <c r="AP999" s="60"/>
      <c r="AQ999" s="60"/>
      <c r="AR999" s="60"/>
      <c r="AS999" s="60"/>
      <c r="AT999" s="45"/>
      <c r="AU999" s="45"/>
      <c r="AW999" s="45"/>
      <c r="AX999" s="46">
        <f t="shared" si="46"/>
        <v>0</v>
      </c>
      <c r="AY999" s="46">
        <f t="shared" si="47"/>
        <v>0</v>
      </c>
      <c r="AZ999" s="46">
        <f t="shared" si="48"/>
        <v>0</v>
      </c>
    </row>
    <row r="1000" spans="3:52">
      <c r="C1000" s="102"/>
      <c r="D1000" s="3"/>
      <c r="F1000" s="3"/>
      <c r="G1000" s="3"/>
      <c r="H1000" s="3"/>
      <c r="J1000" s="3"/>
      <c r="K1000" s="3"/>
      <c r="L1000" s="4"/>
      <c r="M1000" s="3"/>
      <c r="O1000" s="58"/>
      <c r="Q1000" s="64"/>
      <c r="R1000" s="45"/>
      <c r="S1000" s="45"/>
      <c r="U1000" s="64"/>
      <c r="V1000" s="45"/>
      <c r="W1000" s="64"/>
      <c r="X1000" s="64"/>
      <c r="Y1000" s="45"/>
      <c r="Z1000" s="45"/>
      <c r="AA1000" s="105"/>
      <c r="AB1000" s="105"/>
      <c r="AC1000" s="105"/>
      <c r="AD1000" s="64"/>
      <c r="AG1000" s="45"/>
      <c r="AH1000" s="64"/>
      <c r="AI1000" s="45"/>
      <c r="AJ1000" s="105"/>
      <c r="AK1000" s="105"/>
      <c r="AL1000" s="60"/>
      <c r="AM1000" s="60"/>
      <c r="AN1000" s="60"/>
      <c r="AO1000" s="60"/>
      <c r="AP1000" s="60"/>
      <c r="AQ1000" s="60"/>
      <c r="AR1000" s="60"/>
      <c r="AS1000" s="60"/>
      <c r="AT1000" s="45"/>
      <c r="AU1000" s="45"/>
      <c r="AW1000" s="45"/>
      <c r="AX1000" s="46">
        <f t="shared" si="46"/>
        <v>0</v>
      </c>
      <c r="AY1000" s="46">
        <f t="shared" si="47"/>
        <v>0</v>
      </c>
      <c r="AZ1000" s="46">
        <f t="shared" si="48"/>
        <v>0</v>
      </c>
    </row>
    <row r="1001" spans="3:52">
      <c r="C1001" s="102"/>
      <c r="D1001" s="3"/>
      <c r="F1001" s="3"/>
      <c r="G1001" s="3"/>
      <c r="H1001" s="3"/>
      <c r="J1001" s="3"/>
      <c r="K1001" s="3"/>
      <c r="L1001" s="4"/>
      <c r="M1001" s="3"/>
      <c r="O1001" s="58"/>
      <c r="Q1001" s="64"/>
      <c r="R1001" s="45"/>
      <c r="S1001" s="45"/>
      <c r="U1001" s="64"/>
      <c r="V1001" s="45"/>
      <c r="W1001" s="64"/>
      <c r="X1001" s="64"/>
      <c r="Y1001" s="45"/>
      <c r="Z1001" s="45"/>
      <c r="AA1001" s="105"/>
      <c r="AB1001" s="105"/>
      <c r="AC1001" s="105"/>
      <c r="AD1001" s="64"/>
      <c r="AG1001" s="45"/>
      <c r="AH1001" s="64"/>
      <c r="AI1001" s="45"/>
      <c r="AJ1001" s="105"/>
      <c r="AK1001" s="105"/>
      <c r="AL1001" s="60"/>
      <c r="AM1001" s="60"/>
      <c r="AN1001" s="60"/>
      <c r="AO1001" s="60"/>
      <c r="AP1001" s="60"/>
      <c r="AQ1001" s="60"/>
      <c r="AR1001" s="60"/>
      <c r="AS1001" s="60"/>
      <c r="AT1001" s="45"/>
      <c r="AU1001" s="45"/>
      <c r="AW1001" s="45"/>
      <c r="AX1001" s="46">
        <f t="shared" si="46"/>
        <v>0</v>
      </c>
      <c r="AY1001" s="46">
        <f t="shared" si="47"/>
        <v>0</v>
      </c>
      <c r="AZ1001" s="46">
        <f t="shared" si="48"/>
        <v>0</v>
      </c>
    </row>
    <row r="1002" spans="3:52">
      <c r="C1002" s="102"/>
      <c r="D1002" s="3"/>
      <c r="F1002" s="3"/>
      <c r="G1002" s="3"/>
      <c r="H1002" s="3"/>
      <c r="J1002" s="3"/>
      <c r="K1002" s="3"/>
      <c r="L1002" s="4"/>
      <c r="M1002" s="3"/>
      <c r="O1002" s="58"/>
      <c r="Q1002" s="64"/>
      <c r="R1002" s="45"/>
      <c r="S1002" s="45"/>
      <c r="U1002" s="64"/>
      <c r="V1002" s="45"/>
      <c r="W1002" s="64"/>
      <c r="X1002" s="64"/>
      <c r="Y1002" s="45"/>
      <c r="Z1002" s="45"/>
      <c r="AA1002" s="105"/>
      <c r="AB1002" s="105"/>
      <c r="AC1002" s="105"/>
      <c r="AD1002" s="64"/>
      <c r="AG1002" s="45"/>
      <c r="AH1002" s="64"/>
      <c r="AI1002" s="45"/>
      <c r="AJ1002" s="105"/>
      <c r="AK1002" s="105"/>
      <c r="AL1002" s="60"/>
      <c r="AM1002" s="60"/>
      <c r="AN1002" s="60"/>
      <c r="AO1002" s="60"/>
      <c r="AP1002" s="60"/>
      <c r="AQ1002" s="60"/>
      <c r="AR1002" s="60"/>
      <c r="AS1002" s="60"/>
      <c r="AT1002" s="45"/>
      <c r="AU1002" s="45"/>
      <c r="AW1002" s="45"/>
      <c r="AX1002" s="46">
        <f t="shared" si="46"/>
        <v>0</v>
      </c>
      <c r="AY1002" s="46">
        <f t="shared" si="47"/>
        <v>0</v>
      </c>
      <c r="AZ1002" s="46">
        <f t="shared" si="48"/>
        <v>0</v>
      </c>
    </row>
    <row r="1003" spans="3:52">
      <c r="C1003" s="102"/>
      <c r="D1003" s="3"/>
      <c r="F1003" s="3"/>
      <c r="G1003" s="3"/>
      <c r="H1003" s="3"/>
      <c r="J1003" s="3"/>
      <c r="K1003" s="3"/>
      <c r="L1003" s="4"/>
      <c r="M1003" s="3"/>
      <c r="O1003" s="58"/>
      <c r="Q1003" s="64"/>
      <c r="R1003" s="45"/>
      <c r="S1003" s="45"/>
      <c r="U1003" s="64"/>
      <c r="V1003" s="45"/>
      <c r="W1003" s="64"/>
      <c r="X1003" s="64"/>
      <c r="Y1003" s="45"/>
      <c r="Z1003" s="45"/>
      <c r="AA1003" s="105"/>
      <c r="AB1003" s="105"/>
      <c r="AC1003" s="105"/>
      <c r="AD1003" s="64"/>
      <c r="AH1003" s="64"/>
      <c r="AI1003" s="45"/>
      <c r="AJ1003" s="105"/>
      <c r="AK1003" s="105"/>
      <c r="AL1003" s="60"/>
      <c r="AM1003" s="60"/>
      <c r="AN1003" s="60"/>
      <c r="AO1003" s="60"/>
      <c r="AP1003" s="60"/>
      <c r="AQ1003" s="60"/>
      <c r="AR1003" s="60"/>
      <c r="AS1003" s="60"/>
      <c r="AT1003" s="45"/>
      <c r="AU1003" s="45"/>
      <c r="AW1003" s="45"/>
      <c r="AX1003" s="46">
        <f t="shared" si="46"/>
        <v>0</v>
      </c>
      <c r="AY1003" s="46">
        <f t="shared" si="47"/>
        <v>0</v>
      </c>
      <c r="AZ1003" s="46">
        <f t="shared" si="48"/>
        <v>0</v>
      </c>
    </row>
    <row r="1004" spans="3:52">
      <c r="C1004" s="102"/>
      <c r="D1004" s="3"/>
      <c r="F1004" s="3"/>
      <c r="G1004" s="3"/>
      <c r="H1004" s="3"/>
      <c r="J1004" s="3"/>
      <c r="K1004" s="3"/>
      <c r="L1004" s="4"/>
      <c r="M1004" s="3"/>
      <c r="O1004" s="58"/>
      <c r="Q1004" s="64"/>
      <c r="R1004" s="45"/>
      <c r="S1004" s="45"/>
      <c r="U1004" s="64"/>
      <c r="V1004" s="45"/>
      <c r="W1004" s="64"/>
      <c r="X1004" s="64"/>
      <c r="Y1004" s="45"/>
      <c r="Z1004" s="45"/>
      <c r="AA1004" s="105"/>
      <c r="AB1004" s="105"/>
      <c r="AC1004" s="105"/>
      <c r="AD1004" s="64"/>
      <c r="AG1004" s="45"/>
      <c r="AH1004" s="64"/>
      <c r="AI1004" s="45"/>
      <c r="AJ1004" s="105"/>
      <c r="AK1004" s="105"/>
      <c r="AL1004" s="60"/>
      <c r="AM1004" s="60"/>
      <c r="AN1004" s="60"/>
      <c r="AO1004" s="60"/>
      <c r="AP1004" s="60"/>
      <c r="AQ1004" s="60"/>
      <c r="AR1004" s="60"/>
      <c r="AS1004" s="60"/>
      <c r="AT1004" s="45"/>
      <c r="AU1004" s="45"/>
      <c r="AW1004" s="45"/>
      <c r="AX1004" s="46">
        <f t="shared" si="46"/>
        <v>0</v>
      </c>
      <c r="AY1004" s="46">
        <f t="shared" si="47"/>
        <v>0</v>
      </c>
      <c r="AZ1004" s="46">
        <f t="shared" si="48"/>
        <v>0</v>
      </c>
    </row>
    <row r="1005" spans="3:52">
      <c r="C1005" s="102"/>
      <c r="D1005" s="3"/>
      <c r="F1005" s="3"/>
      <c r="G1005" s="3"/>
      <c r="H1005" s="3"/>
      <c r="J1005" s="3"/>
      <c r="K1005" s="3"/>
      <c r="L1005" s="4"/>
      <c r="M1005" s="3"/>
      <c r="O1005" s="58"/>
      <c r="Q1005" s="64"/>
      <c r="R1005" s="45"/>
      <c r="S1005" s="45"/>
      <c r="U1005" s="64"/>
      <c r="V1005" s="45"/>
      <c r="W1005" s="64"/>
      <c r="X1005" s="64"/>
      <c r="Y1005" s="45"/>
      <c r="Z1005" s="45"/>
      <c r="AA1005" s="105"/>
      <c r="AB1005" s="105"/>
      <c r="AC1005" s="105"/>
      <c r="AD1005" s="64"/>
      <c r="AH1005" s="64"/>
      <c r="AI1005" s="45"/>
      <c r="AJ1005" s="105"/>
      <c r="AK1005" s="105"/>
      <c r="AL1005" s="60"/>
      <c r="AM1005" s="60"/>
      <c r="AN1005" s="60"/>
      <c r="AO1005" s="60"/>
      <c r="AP1005" s="60"/>
      <c r="AQ1005" s="60"/>
      <c r="AR1005" s="60"/>
      <c r="AS1005" s="60"/>
      <c r="AT1005" s="45"/>
      <c r="AU1005" s="45"/>
      <c r="AW1005" s="45"/>
      <c r="AX1005" s="46">
        <f t="shared" si="46"/>
        <v>0</v>
      </c>
      <c r="AY1005" s="46">
        <f t="shared" si="47"/>
        <v>0</v>
      </c>
      <c r="AZ1005" s="46">
        <f t="shared" si="48"/>
        <v>0</v>
      </c>
    </row>
    <row r="1006" spans="3:52">
      <c r="C1006" s="102"/>
      <c r="D1006" s="3"/>
      <c r="F1006" s="3"/>
      <c r="G1006" s="3"/>
      <c r="H1006" s="3"/>
      <c r="J1006" s="3"/>
      <c r="K1006" s="3"/>
      <c r="L1006" s="4"/>
      <c r="M1006" s="3"/>
      <c r="O1006" s="58"/>
      <c r="Q1006" s="64"/>
      <c r="R1006" s="45"/>
      <c r="S1006" s="45"/>
      <c r="U1006" s="64"/>
      <c r="V1006" s="45"/>
      <c r="W1006" s="64"/>
      <c r="X1006" s="64"/>
      <c r="Y1006" s="45"/>
      <c r="Z1006" s="45"/>
      <c r="AA1006" s="105"/>
      <c r="AB1006" s="105"/>
      <c r="AC1006" s="105"/>
      <c r="AD1006" s="64"/>
      <c r="AG1006" s="45"/>
      <c r="AH1006" s="64"/>
      <c r="AI1006" s="45"/>
      <c r="AJ1006" s="105"/>
      <c r="AK1006" s="105"/>
      <c r="AL1006" s="60"/>
      <c r="AM1006" s="60"/>
      <c r="AN1006" s="60"/>
      <c r="AO1006" s="60"/>
      <c r="AP1006" s="60"/>
      <c r="AQ1006" s="60"/>
      <c r="AR1006" s="60"/>
      <c r="AS1006" s="60"/>
      <c r="AT1006" s="45"/>
      <c r="AU1006" s="45"/>
      <c r="AW1006" s="45"/>
      <c r="AX1006" s="46">
        <f t="shared" si="46"/>
        <v>0</v>
      </c>
      <c r="AY1006" s="46">
        <f t="shared" si="47"/>
        <v>0</v>
      </c>
      <c r="AZ1006" s="46">
        <f t="shared" si="48"/>
        <v>0</v>
      </c>
    </row>
    <row r="1007" spans="3:52">
      <c r="C1007" s="102"/>
      <c r="D1007" s="3"/>
      <c r="F1007" s="3"/>
      <c r="G1007" s="3"/>
      <c r="H1007" s="3"/>
      <c r="J1007" s="3"/>
      <c r="K1007" s="3"/>
      <c r="L1007" s="4"/>
      <c r="M1007" s="3"/>
      <c r="O1007" s="58"/>
      <c r="Q1007" s="64"/>
      <c r="R1007" s="45"/>
      <c r="S1007" s="45"/>
      <c r="U1007" s="64"/>
      <c r="V1007" s="45"/>
      <c r="W1007" s="64"/>
      <c r="X1007" s="64"/>
      <c r="Y1007" s="45"/>
      <c r="Z1007" s="45"/>
      <c r="AA1007" s="105"/>
      <c r="AB1007" s="105"/>
      <c r="AC1007" s="105"/>
      <c r="AD1007" s="64"/>
      <c r="AG1007" s="45"/>
      <c r="AH1007" s="64"/>
      <c r="AI1007" s="45"/>
      <c r="AJ1007" s="105"/>
      <c r="AK1007" s="105"/>
      <c r="AL1007" s="60"/>
      <c r="AM1007" s="60"/>
      <c r="AN1007" s="60"/>
      <c r="AO1007" s="60"/>
      <c r="AP1007" s="60"/>
      <c r="AQ1007" s="60"/>
      <c r="AR1007" s="60"/>
      <c r="AS1007" s="60"/>
      <c r="AT1007" s="45"/>
      <c r="AU1007" s="45"/>
      <c r="AW1007" s="45"/>
      <c r="AX1007" s="46">
        <f t="shared" si="46"/>
        <v>0</v>
      </c>
      <c r="AY1007" s="46">
        <f t="shared" si="47"/>
        <v>0</v>
      </c>
      <c r="AZ1007" s="46">
        <f t="shared" si="48"/>
        <v>0</v>
      </c>
    </row>
    <row r="1008" spans="3:52">
      <c r="C1008" s="102"/>
      <c r="D1008" s="3"/>
      <c r="F1008" s="3"/>
      <c r="G1008" s="3"/>
      <c r="H1008" s="3"/>
      <c r="J1008" s="3"/>
      <c r="K1008" s="3"/>
      <c r="L1008" s="4"/>
      <c r="M1008" s="3"/>
      <c r="O1008" s="58"/>
      <c r="Q1008" s="64"/>
      <c r="R1008" s="45"/>
      <c r="S1008" s="45"/>
      <c r="U1008" s="64"/>
      <c r="V1008" s="45"/>
      <c r="W1008" s="64"/>
      <c r="X1008" s="64"/>
      <c r="Y1008" s="45"/>
      <c r="Z1008" s="45"/>
      <c r="AA1008" s="105"/>
      <c r="AB1008" s="105"/>
      <c r="AC1008" s="105"/>
      <c r="AD1008" s="64"/>
      <c r="AH1008" s="64"/>
      <c r="AI1008" s="45"/>
      <c r="AJ1008" s="105"/>
      <c r="AK1008" s="105"/>
      <c r="AL1008" s="60"/>
      <c r="AM1008" s="60"/>
      <c r="AN1008" s="60"/>
      <c r="AO1008" s="60"/>
      <c r="AP1008" s="60"/>
      <c r="AQ1008" s="60"/>
      <c r="AR1008" s="60"/>
      <c r="AS1008" s="60"/>
      <c r="AT1008" s="45"/>
      <c r="AU1008" s="45"/>
      <c r="AW1008" s="45"/>
      <c r="AX1008" s="46">
        <f t="shared" si="46"/>
        <v>0</v>
      </c>
      <c r="AY1008" s="46">
        <f t="shared" si="47"/>
        <v>0</v>
      </c>
      <c r="AZ1008" s="46">
        <f t="shared" si="48"/>
        <v>0</v>
      </c>
    </row>
    <row r="1009" spans="3:52">
      <c r="C1009" s="102"/>
      <c r="D1009" s="3"/>
      <c r="F1009" s="3"/>
      <c r="G1009" s="3"/>
      <c r="H1009" s="3"/>
      <c r="J1009" s="3"/>
      <c r="K1009" s="3"/>
      <c r="L1009" s="4"/>
      <c r="M1009" s="3"/>
      <c r="O1009" s="58"/>
      <c r="Q1009" s="64"/>
      <c r="R1009" s="45"/>
      <c r="S1009" s="45"/>
      <c r="U1009" s="64"/>
      <c r="V1009" s="45"/>
      <c r="W1009" s="64"/>
      <c r="X1009" s="64"/>
      <c r="Y1009" s="45"/>
      <c r="Z1009" s="45"/>
      <c r="AA1009" s="105"/>
      <c r="AB1009" s="105"/>
      <c r="AC1009" s="105"/>
      <c r="AD1009" s="64"/>
      <c r="AH1009" s="64"/>
      <c r="AI1009" s="45"/>
      <c r="AJ1009" s="105"/>
      <c r="AK1009" s="105"/>
      <c r="AL1009" s="60"/>
      <c r="AM1009" s="60"/>
      <c r="AN1009" s="60"/>
      <c r="AO1009" s="60"/>
      <c r="AP1009" s="60"/>
      <c r="AQ1009" s="60"/>
      <c r="AR1009" s="60"/>
      <c r="AS1009" s="60"/>
      <c r="AT1009" s="45"/>
      <c r="AU1009" s="45"/>
      <c r="AW1009" s="45"/>
      <c r="AX1009" s="46">
        <f t="shared" si="46"/>
        <v>0</v>
      </c>
      <c r="AY1009" s="46">
        <f t="shared" si="47"/>
        <v>0</v>
      </c>
      <c r="AZ1009" s="46">
        <f t="shared" si="48"/>
        <v>0</v>
      </c>
    </row>
    <row r="1010" spans="3:52">
      <c r="C1010" s="102"/>
      <c r="D1010" s="3"/>
      <c r="F1010" s="3"/>
      <c r="G1010" s="3"/>
      <c r="H1010" s="3"/>
      <c r="J1010" s="3"/>
      <c r="K1010" s="3"/>
      <c r="L1010" s="4"/>
      <c r="M1010" s="3"/>
      <c r="O1010" s="58"/>
      <c r="Q1010" s="64"/>
      <c r="R1010" s="45"/>
      <c r="S1010" s="45"/>
      <c r="U1010" s="64"/>
      <c r="V1010" s="45"/>
      <c r="W1010" s="64"/>
      <c r="X1010" s="64"/>
      <c r="Y1010" s="45"/>
      <c r="Z1010" s="45"/>
      <c r="AA1010" s="105"/>
      <c r="AB1010" s="105"/>
      <c r="AC1010" s="105"/>
      <c r="AD1010" s="64"/>
      <c r="AG1010" s="45"/>
      <c r="AH1010" s="64"/>
      <c r="AI1010" s="45"/>
      <c r="AJ1010" s="105"/>
      <c r="AK1010" s="105"/>
      <c r="AL1010" s="60"/>
      <c r="AM1010" s="60"/>
      <c r="AN1010" s="60"/>
      <c r="AO1010" s="60"/>
      <c r="AP1010" s="60"/>
      <c r="AQ1010" s="60"/>
      <c r="AR1010" s="60"/>
      <c r="AS1010" s="60"/>
      <c r="AT1010" s="45"/>
      <c r="AU1010" s="45"/>
      <c r="AW1010" s="45"/>
      <c r="AX1010" s="46">
        <f t="shared" si="46"/>
        <v>0</v>
      </c>
      <c r="AY1010" s="46">
        <f t="shared" si="47"/>
        <v>0</v>
      </c>
      <c r="AZ1010" s="46">
        <f t="shared" si="48"/>
        <v>0</v>
      </c>
    </row>
    <row r="1011" spans="3:52">
      <c r="C1011" s="102"/>
      <c r="D1011" s="3"/>
      <c r="F1011" s="3"/>
      <c r="G1011" s="3"/>
      <c r="H1011" s="3"/>
      <c r="J1011" s="3"/>
      <c r="K1011" s="3"/>
      <c r="L1011" s="4"/>
      <c r="M1011" s="3"/>
      <c r="O1011" s="58"/>
      <c r="Q1011" s="64"/>
      <c r="R1011" s="45"/>
      <c r="S1011" s="45"/>
      <c r="U1011" s="64"/>
      <c r="V1011" s="45"/>
      <c r="W1011" s="64"/>
      <c r="X1011" s="64"/>
      <c r="Y1011" s="45"/>
      <c r="Z1011" s="45"/>
      <c r="AA1011" s="105"/>
      <c r="AB1011" s="105"/>
      <c r="AC1011" s="105"/>
      <c r="AD1011" s="64"/>
      <c r="AH1011" s="64"/>
      <c r="AI1011" s="45"/>
      <c r="AJ1011" s="105"/>
      <c r="AK1011" s="105"/>
      <c r="AL1011" s="60"/>
      <c r="AM1011" s="60"/>
      <c r="AN1011" s="60"/>
      <c r="AO1011" s="60"/>
      <c r="AP1011" s="60"/>
      <c r="AQ1011" s="60"/>
      <c r="AR1011" s="60"/>
      <c r="AS1011" s="60"/>
      <c r="AT1011" s="45"/>
      <c r="AU1011" s="45"/>
      <c r="AW1011" s="45"/>
      <c r="AX1011" s="46">
        <f t="shared" si="46"/>
        <v>0</v>
      </c>
      <c r="AY1011" s="46">
        <f t="shared" si="47"/>
        <v>0</v>
      </c>
      <c r="AZ1011" s="46">
        <f t="shared" si="48"/>
        <v>0</v>
      </c>
    </row>
    <row r="1012" spans="3:52">
      <c r="C1012" s="102"/>
      <c r="D1012" s="3"/>
      <c r="F1012" s="3"/>
      <c r="G1012" s="3"/>
      <c r="H1012" s="3"/>
      <c r="J1012" s="3"/>
      <c r="K1012" s="3"/>
      <c r="L1012" s="4"/>
      <c r="M1012" s="3"/>
      <c r="O1012" s="58"/>
      <c r="Q1012" s="64"/>
      <c r="R1012" s="45"/>
      <c r="S1012" s="45"/>
      <c r="U1012" s="64"/>
      <c r="V1012" s="45"/>
      <c r="W1012" s="64"/>
      <c r="X1012" s="64"/>
      <c r="Y1012" s="45"/>
      <c r="Z1012" s="45"/>
      <c r="AA1012" s="105"/>
      <c r="AB1012" s="105"/>
      <c r="AC1012" s="105"/>
      <c r="AD1012" s="64"/>
      <c r="AG1012" s="45"/>
      <c r="AH1012" s="64"/>
      <c r="AI1012" s="45"/>
      <c r="AJ1012" s="105"/>
      <c r="AK1012" s="105"/>
      <c r="AL1012" s="60"/>
      <c r="AM1012" s="60"/>
      <c r="AN1012" s="60"/>
      <c r="AO1012" s="60"/>
      <c r="AP1012" s="60"/>
      <c r="AQ1012" s="60"/>
      <c r="AR1012" s="60"/>
      <c r="AS1012" s="60"/>
      <c r="AT1012" s="45"/>
      <c r="AU1012" s="45"/>
      <c r="AW1012" s="45"/>
      <c r="AX1012" s="46">
        <f t="shared" si="46"/>
        <v>0</v>
      </c>
      <c r="AY1012" s="46">
        <f t="shared" si="47"/>
        <v>0</v>
      </c>
      <c r="AZ1012" s="46">
        <f t="shared" si="48"/>
        <v>0</v>
      </c>
    </row>
    <row r="1013" spans="3:52">
      <c r="C1013" s="102"/>
      <c r="D1013" s="3"/>
      <c r="F1013" s="3"/>
      <c r="G1013" s="3"/>
      <c r="H1013" s="3"/>
      <c r="J1013" s="3"/>
      <c r="K1013" s="3"/>
      <c r="L1013" s="4"/>
      <c r="M1013" s="3"/>
      <c r="O1013" s="58"/>
      <c r="Q1013" s="64"/>
      <c r="R1013" s="45"/>
      <c r="S1013" s="45"/>
      <c r="U1013" s="64"/>
      <c r="V1013" s="45"/>
      <c r="W1013" s="64"/>
      <c r="X1013" s="64"/>
      <c r="Y1013" s="45"/>
      <c r="Z1013" s="45"/>
      <c r="AA1013" s="105"/>
      <c r="AB1013" s="105"/>
      <c r="AC1013" s="105"/>
      <c r="AD1013" s="64"/>
      <c r="AH1013" s="64"/>
      <c r="AI1013" s="45"/>
      <c r="AJ1013" s="105"/>
      <c r="AK1013" s="105"/>
      <c r="AL1013" s="60"/>
      <c r="AM1013" s="60"/>
      <c r="AN1013" s="60"/>
      <c r="AO1013" s="60"/>
      <c r="AP1013" s="60"/>
      <c r="AQ1013" s="60"/>
      <c r="AR1013" s="60"/>
      <c r="AS1013" s="60"/>
      <c r="AT1013" s="45"/>
      <c r="AU1013" s="45"/>
      <c r="AW1013" s="45"/>
      <c r="AX1013" s="46">
        <f t="shared" si="46"/>
        <v>0</v>
      </c>
      <c r="AY1013" s="46">
        <f t="shared" si="47"/>
        <v>0</v>
      </c>
      <c r="AZ1013" s="46">
        <f t="shared" si="48"/>
        <v>0</v>
      </c>
    </row>
    <row r="1014" spans="3:52">
      <c r="C1014" s="102"/>
      <c r="D1014" s="3"/>
      <c r="F1014" s="3"/>
      <c r="G1014" s="3"/>
      <c r="H1014" s="3"/>
      <c r="J1014" s="3"/>
      <c r="K1014" s="3"/>
      <c r="L1014" s="4"/>
      <c r="M1014" s="3"/>
      <c r="O1014" s="58"/>
      <c r="Q1014" s="64"/>
      <c r="R1014" s="45"/>
      <c r="S1014" s="45"/>
      <c r="U1014" s="64"/>
      <c r="V1014" s="45"/>
      <c r="W1014" s="64"/>
      <c r="X1014" s="64"/>
      <c r="Y1014" s="45"/>
      <c r="Z1014" s="45"/>
      <c r="AA1014" s="105"/>
      <c r="AB1014" s="105"/>
      <c r="AC1014" s="105"/>
      <c r="AD1014" s="64"/>
      <c r="AG1014" s="45"/>
      <c r="AH1014" s="64"/>
      <c r="AI1014" s="45"/>
      <c r="AJ1014" s="105"/>
      <c r="AK1014" s="105"/>
      <c r="AL1014" s="60"/>
      <c r="AM1014" s="60"/>
      <c r="AN1014" s="60"/>
      <c r="AO1014" s="60"/>
      <c r="AP1014" s="60"/>
      <c r="AQ1014" s="60"/>
      <c r="AR1014" s="60"/>
      <c r="AS1014" s="60"/>
      <c r="AT1014" s="45"/>
      <c r="AU1014" s="45"/>
      <c r="AW1014" s="45"/>
      <c r="AX1014" s="46">
        <f t="shared" si="46"/>
        <v>0</v>
      </c>
      <c r="AY1014" s="46">
        <f t="shared" si="47"/>
        <v>0</v>
      </c>
      <c r="AZ1014" s="46">
        <f t="shared" si="48"/>
        <v>0</v>
      </c>
    </row>
    <row r="1015" spans="3:52">
      <c r="C1015" s="102"/>
      <c r="D1015" s="3"/>
      <c r="F1015" s="3"/>
      <c r="G1015" s="3"/>
      <c r="H1015" s="3"/>
      <c r="J1015" s="3"/>
      <c r="K1015" s="3"/>
      <c r="L1015" s="4"/>
      <c r="M1015" s="3"/>
      <c r="O1015" s="58"/>
      <c r="Q1015" s="64"/>
      <c r="R1015" s="45"/>
      <c r="S1015" s="45"/>
      <c r="U1015" s="64"/>
      <c r="V1015" s="45"/>
      <c r="W1015" s="64"/>
      <c r="X1015" s="64"/>
      <c r="Y1015" s="45"/>
      <c r="Z1015" s="45"/>
      <c r="AA1015" s="105"/>
      <c r="AB1015" s="105"/>
      <c r="AC1015" s="105"/>
      <c r="AD1015" s="64"/>
      <c r="AH1015" s="64"/>
      <c r="AI1015" s="45"/>
      <c r="AJ1015" s="105"/>
      <c r="AK1015" s="105"/>
      <c r="AL1015" s="60"/>
      <c r="AM1015" s="60"/>
      <c r="AN1015" s="60"/>
      <c r="AO1015" s="60"/>
      <c r="AP1015" s="60"/>
      <c r="AQ1015" s="60"/>
      <c r="AR1015" s="60"/>
      <c r="AS1015" s="60"/>
      <c r="AT1015" s="45"/>
      <c r="AU1015" s="45"/>
      <c r="AW1015" s="45"/>
      <c r="AX1015" s="46">
        <f t="shared" si="46"/>
        <v>0</v>
      </c>
      <c r="AY1015" s="46">
        <f t="shared" si="47"/>
        <v>0</v>
      </c>
      <c r="AZ1015" s="46">
        <f t="shared" si="48"/>
        <v>0</v>
      </c>
    </row>
    <row r="1016" spans="3:52">
      <c r="C1016" s="102"/>
      <c r="D1016" s="3"/>
      <c r="F1016" s="3"/>
      <c r="G1016" s="3"/>
      <c r="H1016" s="3"/>
      <c r="J1016" s="3"/>
      <c r="K1016" s="3"/>
      <c r="L1016" s="4"/>
      <c r="M1016" s="3"/>
      <c r="O1016" s="58"/>
      <c r="Q1016" s="64"/>
      <c r="R1016" s="45"/>
      <c r="S1016" s="45"/>
      <c r="U1016" s="64"/>
      <c r="V1016" s="45"/>
      <c r="W1016" s="64"/>
      <c r="X1016" s="64"/>
      <c r="Y1016" s="45"/>
      <c r="Z1016" s="45"/>
      <c r="AA1016" s="105"/>
      <c r="AB1016" s="105"/>
      <c r="AC1016" s="105"/>
      <c r="AD1016" s="64"/>
      <c r="AH1016" s="64"/>
      <c r="AI1016" s="45"/>
      <c r="AJ1016" s="105"/>
      <c r="AK1016" s="105"/>
      <c r="AL1016" s="60"/>
      <c r="AM1016" s="60"/>
      <c r="AN1016" s="60"/>
      <c r="AO1016" s="60"/>
      <c r="AP1016" s="60"/>
      <c r="AQ1016" s="60"/>
      <c r="AR1016" s="60"/>
      <c r="AS1016" s="60"/>
      <c r="AT1016" s="45"/>
      <c r="AU1016" s="45"/>
      <c r="AW1016" s="45"/>
      <c r="AX1016" s="46">
        <f t="shared" si="46"/>
        <v>0</v>
      </c>
      <c r="AY1016" s="46">
        <f t="shared" si="47"/>
        <v>0</v>
      </c>
      <c r="AZ1016" s="46">
        <f t="shared" si="48"/>
        <v>0</v>
      </c>
    </row>
    <row r="1017" spans="3:52">
      <c r="C1017" s="102"/>
      <c r="D1017" s="3"/>
      <c r="F1017" s="3"/>
      <c r="G1017" s="3"/>
      <c r="H1017" s="3"/>
      <c r="J1017" s="3"/>
      <c r="K1017" s="3"/>
      <c r="L1017" s="4"/>
      <c r="M1017" s="3"/>
      <c r="O1017" s="58"/>
      <c r="Q1017" s="64"/>
      <c r="R1017" s="45"/>
      <c r="S1017" s="45"/>
      <c r="U1017" s="64"/>
      <c r="V1017" s="45"/>
      <c r="W1017" s="64"/>
      <c r="X1017" s="64"/>
      <c r="Y1017" s="45"/>
      <c r="Z1017" s="45"/>
      <c r="AA1017" s="105"/>
      <c r="AB1017" s="105"/>
      <c r="AC1017" s="105"/>
      <c r="AD1017" s="64"/>
      <c r="AG1017" s="45"/>
      <c r="AH1017" s="64"/>
      <c r="AI1017" s="45"/>
      <c r="AJ1017" s="105"/>
      <c r="AK1017" s="105"/>
      <c r="AL1017" s="60"/>
      <c r="AM1017" s="60"/>
      <c r="AN1017" s="60"/>
      <c r="AO1017" s="60"/>
      <c r="AP1017" s="60"/>
      <c r="AQ1017" s="60"/>
      <c r="AR1017" s="60"/>
      <c r="AS1017" s="60"/>
      <c r="AT1017" s="45"/>
      <c r="AU1017" s="45"/>
      <c r="AW1017" s="45"/>
      <c r="AX1017" s="46">
        <f t="shared" si="46"/>
        <v>0</v>
      </c>
      <c r="AY1017" s="46">
        <f t="shared" si="47"/>
        <v>0</v>
      </c>
      <c r="AZ1017" s="46">
        <f t="shared" si="48"/>
        <v>0</v>
      </c>
    </row>
    <row r="1018" spans="3:52">
      <c r="C1018" s="102"/>
      <c r="D1018" s="3"/>
      <c r="F1018" s="3"/>
      <c r="G1018" s="3"/>
      <c r="H1018" s="3"/>
      <c r="J1018" s="3"/>
      <c r="K1018" s="3"/>
      <c r="L1018" s="4"/>
      <c r="M1018" s="3"/>
      <c r="O1018" s="58"/>
      <c r="Q1018" s="64"/>
      <c r="R1018" s="45"/>
      <c r="S1018" s="45"/>
      <c r="U1018" s="64"/>
      <c r="V1018" s="45"/>
      <c r="W1018" s="64"/>
      <c r="X1018" s="64"/>
      <c r="Y1018" s="45"/>
      <c r="Z1018" s="45"/>
      <c r="AA1018" s="105"/>
      <c r="AB1018" s="105"/>
      <c r="AC1018" s="105"/>
      <c r="AD1018" s="64"/>
      <c r="AG1018" s="45"/>
      <c r="AH1018" s="64"/>
      <c r="AI1018" s="45"/>
      <c r="AJ1018" s="105"/>
      <c r="AK1018" s="105"/>
      <c r="AL1018" s="60"/>
      <c r="AM1018" s="60"/>
      <c r="AN1018" s="60"/>
      <c r="AO1018" s="60"/>
      <c r="AP1018" s="60"/>
      <c r="AQ1018" s="60"/>
      <c r="AR1018" s="60"/>
      <c r="AS1018" s="60"/>
      <c r="AT1018" s="45"/>
      <c r="AU1018" s="45"/>
      <c r="AW1018" s="45"/>
      <c r="AX1018" s="46">
        <f t="shared" si="46"/>
        <v>0</v>
      </c>
      <c r="AY1018" s="46">
        <f t="shared" si="47"/>
        <v>0</v>
      </c>
      <c r="AZ1018" s="46">
        <f t="shared" si="48"/>
        <v>0</v>
      </c>
    </row>
    <row r="1019" spans="3:52">
      <c r="C1019" s="102"/>
      <c r="D1019" s="3"/>
      <c r="F1019" s="3"/>
      <c r="G1019" s="3"/>
      <c r="H1019" s="3"/>
      <c r="J1019" s="3"/>
      <c r="K1019" s="3"/>
      <c r="L1019" s="4"/>
      <c r="M1019" s="3"/>
      <c r="O1019" s="58"/>
      <c r="Q1019" s="64"/>
      <c r="R1019" s="45"/>
      <c r="S1019" s="45"/>
      <c r="U1019" s="64"/>
      <c r="V1019" s="45"/>
      <c r="W1019" s="64"/>
      <c r="X1019" s="64"/>
      <c r="Y1019" s="45"/>
      <c r="Z1019" s="45"/>
      <c r="AA1019" s="105"/>
      <c r="AB1019" s="105"/>
      <c r="AC1019" s="105"/>
      <c r="AD1019" s="64"/>
      <c r="AG1019" s="45"/>
      <c r="AH1019" s="64"/>
      <c r="AI1019" s="45"/>
      <c r="AJ1019" s="105"/>
      <c r="AK1019" s="105"/>
      <c r="AL1019" s="60"/>
      <c r="AM1019" s="60"/>
      <c r="AN1019" s="60"/>
      <c r="AO1019" s="60"/>
      <c r="AP1019" s="60"/>
      <c r="AQ1019" s="60"/>
      <c r="AR1019" s="60"/>
      <c r="AS1019" s="60"/>
      <c r="AT1019" s="45"/>
      <c r="AU1019" s="45"/>
      <c r="AW1019" s="45"/>
      <c r="AX1019" s="46">
        <f t="shared" si="46"/>
        <v>0</v>
      </c>
      <c r="AY1019" s="46">
        <f t="shared" si="47"/>
        <v>0</v>
      </c>
      <c r="AZ1019" s="46">
        <f t="shared" si="48"/>
        <v>0</v>
      </c>
    </row>
    <row r="1020" spans="3:52">
      <c r="C1020" s="102"/>
      <c r="D1020" s="3"/>
      <c r="F1020" s="3"/>
      <c r="G1020" s="3"/>
      <c r="H1020" s="3"/>
      <c r="J1020" s="3"/>
      <c r="K1020" s="3"/>
      <c r="L1020" s="4"/>
      <c r="M1020" s="3"/>
      <c r="O1020" s="58"/>
      <c r="Q1020" s="64"/>
      <c r="R1020" s="45"/>
      <c r="S1020" s="45"/>
      <c r="U1020" s="64"/>
      <c r="V1020" s="45"/>
      <c r="W1020" s="64"/>
      <c r="X1020" s="64"/>
      <c r="Y1020" s="45"/>
      <c r="Z1020" s="45"/>
      <c r="AA1020" s="105"/>
      <c r="AB1020" s="105"/>
      <c r="AC1020" s="105"/>
      <c r="AD1020" s="64"/>
      <c r="AG1020" s="45"/>
      <c r="AH1020" s="64"/>
      <c r="AI1020" s="45"/>
      <c r="AJ1020" s="105"/>
      <c r="AK1020" s="105"/>
      <c r="AL1020" s="60"/>
      <c r="AM1020" s="60"/>
      <c r="AN1020" s="60"/>
      <c r="AO1020" s="60"/>
      <c r="AP1020" s="60"/>
      <c r="AQ1020" s="60"/>
      <c r="AR1020" s="60"/>
      <c r="AS1020" s="60"/>
      <c r="AT1020" s="45"/>
      <c r="AU1020" s="45"/>
      <c r="AW1020" s="45"/>
      <c r="AX1020" s="46">
        <f t="shared" si="46"/>
        <v>0</v>
      </c>
      <c r="AY1020" s="46">
        <f t="shared" si="47"/>
        <v>0</v>
      </c>
      <c r="AZ1020" s="46">
        <f t="shared" si="48"/>
        <v>0</v>
      </c>
    </row>
    <row r="1021" spans="3:52">
      <c r="C1021" s="102"/>
      <c r="D1021" s="3"/>
      <c r="F1021" s="3"/>
      <c r="G1021" s="3"/>
      <c r="H1021" s="3"/>
      <c r="J1021" s="3"/>
      <c r="K1021" s="3"/>
      <c r="L1021" s="4"/>
      <c r="M1021" s="3"/>
      <c r="O1021" s="58"/>
      <c r="Q1021" s="64"/>
      <c r="R1021" s="45"/>
      <c r="S1021" s="45"/>
      <c r="U1021" s="64"/>
      <c r="V1021" s="45"/>
      <c r="W1021" s="64"/>
      <c r="X1021" s="64"/>
      <c r="Y1021" s="45"/>
      <c r="Z1021" s="45"/>
      <c r="AA1021" s="105"/>
      <c r="AB1021" s="105"/>
      <c r="AC1021" s="105"/>
      <c r="AD1021" s="64"/>
      <c r="AG1021" s="45"/>
      <c r="AH1021" s="64"/>
      <c r="AI1021" s="45"/>
      <c r="AJ1021" s="105"/>
      <c r="AK1021" s="105"/>
      <c r="AL1021" s="60"/>
      <c r="AM1021" s="60"/>
      <c r="AN1021" s="60"/>
      <c r="AO1021" s="60"/>
      <c r="AP1021" s="60"/>
      <c r="AQ1021" s="60"/>
      <c r="AR1021" s="60"/>
      <c r="AS1021" s="60"/>
      <c r="AT1021" s="45"/>
      <c r="AU1021" s="45"/>
      <c r="AW1021" s="45"/>
      <c r="AX1021" s="46">
        <f t="shared" si="46"/>
        <v>0</v>
      </c>
      <c r="AY1021" s="46">
        <f t="shared" si="47"/>
        <v>0</v>
      </c>
      <c r="AZ1021" s="46">
        <f t="shared" si="48"/>
        <v>0</v>
      </c>
    </row>
    <row r="1022" spans="3:52">
      <c r="C1022" s="102"/>
      <c r="D1022" s="3"/>
      <c r="F1022" s="3"/>
      <c r="G1022" s="3"/>
      <c r="H1022" s="3"/>
      <c r="J1022" s="3"/>
      <c r="K1022" s="3"/>
      <c r="L1022" s="4"/>
      <c r="M1022" s="3"/>
      <c r="O1022" s="58"/>
      <c r="Q1022" s="64"/>
      <c r="R1022" s="45"/>
      <c r="S1022" s="45"/>
      <c r="U1022" s="64"/>
      <c r="V1022" s="45"/>
      <c r="W1022" s="64"/>
      <c r="X1022" s="64"/>
      <c r="Y1022" s="45"/>
      <c r="Z1022" s="45"/>
      <c r="AA1022" s="105"/>
      <c r="AB1022" s="105"/>
      <c r="AC1022" s="105"/>
      <c r="AD1022" s="64"/>
      <c r="AG1022" s="45"/>
      <c r="AH1022" s="64"/>
      <c r="AI1022" s="45"/>
      <c r="AJ1022" s="105"/>
      <c r="AK1022" s="105"/>
      <c r="AL1022" s="60"/>
      <c r="AM1022" s="60"/>
      <c r="AN1022" s="60"/>
      <c r="AO1022" s="60"/>
      <c r="AP1022" s="60"/>
      <c r="AQ1022" s="60"/>
      <c r="AR1022" s="60"/>
      <c r="AS1022" s="60"/>
      <c r="AT1022" s="45"/>
      <c r="AU1022" s="45"/>
      <c r="AW1022" s="45"/>
      <c r="AX1022" s="46">
        <f t="shared" si="46"/>
        <v>0</v>
      </c>
      <c r="AY1022" s="46">
        <f t="shared" si="47"/>
        <v>0</v>
      </c>
      <c r="AZ1022" s="46">
        <f t="shared" si="48"/>
        <v>0</v>
      </c>
    </row>
    <row r="1023" spans="3:52">
      <c r="C1023" s="102"/>
      <c r="D1023" s="3"/>
      <c r="F1023" s="3"/>
      <c r="G1023" s="3"/>
      <c r="H1023" s="3"/>
      <c r="J1023" s="3"/>
      <c r="K1023" s="3"/>
      <c r="L1023" s="4"/>
      <c r="M1023" s="3"/>
      <c r="O1023" s="58"/>
      <c r="Q1023" s="64"/>
      <c r="R1023" s="45"/>
      <c r="S1023" s="45"/>
      <c r="U1023" s="64"/>
      <c r="V1023" s="45"/>
      <c r="W1023" s="64"/>
      <c r="X1023" s="64"/>
      <c r="Y1023" s="45"/>
      <c r="Z1023" s="45"/>
      <c r="AA1023" s="105"/>
      <c r="AB1023" s="105"/>
      <c r="AC1023" s="105"/>
      <c r="AD1023" s="64"/>
      <c r="AG1023" s="45"/>
      <c r="AH1023" s="64"/>
      <c r="AI1023" s="45"/>
      <c r="AJ1023" s="105"/>
      <c r="AK1023" s="105"/>
      <c r="AL1023" s="60"/>
      <c r="AM1023" s="60"/>
      <c r="AN1023" s="60"/>
      <c r="AO1023" s="60"/>
      <c r="AP1023" s="60"/>
      <c r="AQ1023" s="60"/>
      <c r="AR1023" s="60"/>
      <c r="AS1023" s="60"/>
      <c r="AT1023" s="45"/>
      <c r="AU1023" s="45"/>
      <c r="AW1023" s="45"/>
      <c r="AX1023" s="46">
        <f t="shared" si="46"/>
        <v>0</v>
      </c>
      <c r="AY1023" s="46">
        <f t="shared" si="47"/>
        <v>0</v>
      </c>
      <c r="AZ1023" s="46">
        <f t="shared" si="48"/>
        <v>0</v>
      </c>
    </row>
    <row r="1024" spans="3:52">
      <c r="C1024" s="102"/>
      <c r="D1024" s="3"/>
      <c r="F1024" s="3"/>
      <c r="G1024" s="3"/>
      <c r="H1024" s="3"/>
      <c r="J1024" s="3"/>
      <c r="K1024" s="3"/>
      <c r="L1024" s="4"/>
      <c r="M1024" s="3"/>
      <c r="O1024" s="58"/>
      <c r="Q1024" s="64"/>
      <c r="R1024" s="45"/>
      <c r="S1024" s="45"/>
      <c r="U1024" s="64"/>
      <c r="V1024" s="45"/>
      <c r="W1024" s="64"/>
      <c r="X1024" s="64"/>
      <c r="Y1024" s="45"/>
      <c r="Z1024" s="45"/>
      <c r="AA1024" s="105"/>
      <c r="AB1024" s="105"/>
      <c r="AC1024" s="105"/>
      <c r="AD1024" s="64"/>
      <c r="AG1024" s="45"/>
      <c r="AH1024" s="64"/>
      <c r="AI1024" s="45"/>
      <c r="AJ1024" s="105"/>
      <c r="AK1024" s="105"/>
      <c r="AL1024" s="60"/>
      <c r="AM1024" s="60"/>
      <c r="AN1024" s="60"/>
      <c r="AO1024" s="60"/>
      <c r="AP1024" s="60"/>
      <c r="AQ1024" s="60"/>
      <c r="AR1024" s="60"/>
      <c r="AS1024" s="60"/>
      <c r="AT1024" s="45"/>
      <c r="AU1024" s="45"/>
      <c r="AW1024" s="45"/>
      <c r="AX1024" s="46">
        <f t="shared" si="46"/>
        <v>0</v>
      </c>
      <c r="AY1024" s="46">
        <f t="shared" si="47"/>
        <v>0</v>
      </c>
      <c r="AZ1024" s="46">
        <f t="shared" si="48"/>
        <v>0</v>
      </c>
    </row>
    <row r="1025" spans="3:52">
      <c r="C1025" s="102"/>
      <c r="D1025" s="3"/>
      <c r="F1025" s="3"/>
      <c r="G1025" s="3"/>
      <c r="H1025" s="3"/>
      <c r="J1025" s="3"/>
      <c r="K1025" s="3"/>
      <c r="L1025" s="4"/>
      <c r="M1025" s="3"/>
      <c r="O1025" s="58"/>
      <c r="Q1025" s="64"/>
      <c r="R1025" s="45"/>
      <c r="S1025" s="45"/>
      <c r="U1025" s="64"/>
      <c r="V1025" s="45"/>
      <c r="W1025" s="64"/>
      <c r="X1025" s="64"/>
      <c r="Y1025" s="45"/>
      <c r="Z1025" s="45"/>
      <c r="AA1025" s="105"/>
      <c r="AB1025" s="105"/>
      <c r="AC1025" s="105"/>
      <c r="AD1025" s="64"/>
      <c r="AH1025" s="64"/>
      <c r="AI1025" s="45"/>
      <c r="AJ1025" s="105"/>
      <c r="AK1025" s="105"/>
      <c r="AL1025" s="60"/>
      <c r="AM1025" s="60"/>
      <c r="AN1025" s="60"/>
      <c r="AO1025" s="60"/>
      <c r="AP1025" s="60"/>
      <c r="AQ1025" s="60"/>
      <c r="AR1025" s="60"/>
      <c r="AS1025" s="60"/>
      <c r="AT1025" s="45"/>
      <c r="AU1025" s="45"/>
      <c r="AW1025" s="45"/>
      <c r="AX1025" s="46">
        <f t="shared" si="46"/>
        <v>0</v>
      </c>
      <c r="AY1025" s="46">
        <f t="shared" si="47"/>
        <v>0</v>
      </c>
      <c r="AZ1025" s="46">
        <f t="shared" si="48"/>
        <v>0</v>
      </c>
    </row>
    <row r="1026" spans="3:52">
      <c r="C1026" s="102"/>
      <c r="D1026" s="3"/>
      <c r="F1026" s="3"/>
      <c r="G1026" s="3"/>
      <c r="H1026" s="3"/>
      <c r="J1026" s="3"/>
      <c r="K1026" s="3"/>
      <c r="L1026" s="4"/>
      <c r="M1026" s="3"/>
      <c r="O1026" s="58"/>
      <c r="Q1026" s="64"/>
      <c r="R1026" s="45"/>
      <c r="S1026" s="45"/>
      <c r="U1026" s="64"/>
      <c r="V1026" s="45"/>
      <c r="W1026" s="64"/>
      <c r="X1026" s="64"/>
      <c r="Y1026" s="45"/>
      <c r="Z1026" s="45"/>
      <c r="AA1026" s="105"/>
      <c r="AB1026" s="105"/>
      <c r="AC1026" s="105"/>
      <c r="AD1026" s="64"/>
      <c r="AG1026" s="45"/>
      <c r="AH1026" s="64"/>
      <c r="AI1026" s="45"/>
      <c r="AJ1026" s="105"/>
      <c r="AK1026" s="105"/>
      <c r="AL1026" s="60"/>
      <c r="AM1026" s="60"/>
      <c r="AN1026" s="60"/>
      <c r="AO1026" s="60"/>
      <c r="AP1026" s="60"/>
      <c r="AQ1026" s="60"/>
      <c r="AR1026" s="60"/>
      <c r="AS1026" s="60"/>
      <c r="AT1026" s="45"/>
      <c r="AU1026" s="45"/>
      <c r="AW1026" s="45"/>
      <c r="AX1026" s="46">
        <f t="shared" si="46"/>
        <v>0</v>
      </c>
      <c r="AY1026" s="46">
        <f t="shared" si="47"/>
        <v>0</v>
      </c>
      <c r="AZ1026" s="46">
        <f t="shared" si="48"/>
        <v>0</v>
      </c>
    </row>
    <row r="1027" spans="3:52">
      <c r="C1027" s="102"/>
      <c r="D1027" s="3"/>
      <c r="F1027" s="3"/>
      <c r="G1027" s="3"/>
      <c r="H1027" s="3"/>
      <c r="J1027" s="3"/>
      <c r="K1027" s="3"/>
      <c r="L1027" s="4"/>
      <c r="M1027" s="3"/>
      <c r="O1027" s="58"/>
      <c r="Q1027" s="64"/>
      <c r="R1027" s="45"/>
      <c r="S1027" s="45"/>
      <c r="U1027" s="64"/>
      <c r="V1027" s="45"/>
      <c r="W1027" s="64"/>
      <c r="X1027" s="64"/>
      <c r="Y1027" s="45"/>
      <c r="Z1027" s="45"/>
      <c r="AA1027" s="105"/>
      <c r="AB1027" s="105"/>
      <c r="AC1027" s="105"/>
      <c r="AD1027" s="64"/>
      <c r="AG1027" s="45"/>
      <c r="AH1027" s="64"/>
      <c r="AI1027" s="45"/>
      <c r="AJ1027" s="105"/>
      <c r="AK1027" s="105"/>
      <c r="AL1027" s="60"/>
      <c r="AM1027" s="60"/>
      <c r="AN1027" s="60"/>
      <c r="AO1027" s="60"/>
      <c r="AP1027" s="60"/>
      <c r="AQ1027" s="60"/>
      <c r="AR1027" s="60"/>
      <c r="AS1027" s="60"/>
      <c r="AT1027" s="45"/>
      <c r="AU1027" s="45"/>
      <c r="AW1027" s="45"/>
      <c r="AX1027" s="46">
        <f t="shared" si="46"/>
        <v>0</v>
      </c>
      <c r="AY1027" s="46">
        <f t="shared" si="47"/>
        <v>0</v>
      </c>
      <c r="AZ1027" s="46">
        <f t="shared" si="48"/>
        <v>0</v>
      </c>
    </row>
    <row r="1028" spans="3:52">
      <c r="C1028" s="102"/>
      <c r="D1028" s="3"/>
      <c r="F1028" s="3"/>
      <c r="G1028" s="3"/>
      <c r="H1028" s="3"/>
      <c r="J1028" s="3"/>
      <c r="K1028" s="3"/>
      <c r="L1028" s="4"/>
      <c r="M1028" s="3"/>
      <c r="O1028" s="58"/>
      <c r="Q1028" s="64"/>
      <c r="R1028" s="45"/>
      <c r="S1028" s="45"/>
      <c r="U1028" s="64"/>
      <c r="V1028" s="45"/>
      <c r="W1028" s="64"/>
      <c r="X1028" s="64"/>
      <c r="Y1028" s="45"/>
      <c r="Z1028" s="45"/>
      <c r="AA1028" s="105"/>
      <c r="AB1028" s="105"/>
      <c r="AC1028" s="105"/>
      <c r="AD1028" s="64"/>
      <c r="AG1028" s="45"/>
      <c r="AH1028" s="64"/>
      <c r="AI1028" s="45"/>
      <c r="AJ1028" s="105"/>
      <c r="AK1028" s="105"/>
      <c r="AL1028" s="60"/>
      <c r="AM1028" s="60"/>
      <c r="AN1028" s="60"/>
      <c r="AO1028" s="60"/>
      <c r="AP1028" s="60"/>
      <c r="AQ1028" s="60"/>
      <c r="AR1028" s="60"/>
      <c r="AS1028" s="60"/>
      <c r="AT1028" s="45"/>
      <c r="AU1028" s="45"/>
      <c r="AW1028" s="45"/>
      <c r="AX1028" s="46">
        <f t="shared" si="46"/>
        <v>0</v>
      </c>
      <c r="AY1028" s="46">
        <f t="shared" si="47"/>
        <v>0</v>
      </c>
      <c r="AZ1028" s="46">
        <f t="shared" si="48"/>
        <v>0</v>
      </c>
    </row>
    <row r="1029" spans="3:52">
      <c r="C1029" s="102"/>
      <c r="D1029" s="3"/>
      <c r="F1029" s="3"/>
      <c r="G1029" s="3"/>
      <c r="H1029" s="3"/>
      <c r="J1029" s="3"/>
      <c r="K1029" s="3"/>
      <c r="L1029" s="4"/>
      <c r="M1029" s="3"/>
      <c r="O1029" s="58"/>
      <c r="Q1029" s="64"/>
      <c r="R1029" s="45"/>
      <c r="S1029" s="45"/>
      <c r="U1029" s="64"/>
      <c r="V1029" s="45"/>
      <c r="W1029" s="64"/>
      <c r="X1029" s="64"/>
      <c r="Y1029" s="45"/>
      <c r="Z1029" s="45"/>
      <c r="AA1029" s="105"/>
      <c r="AB1029" s="105"/>
      <c r="AC1029" s="105"/>
      <c r="AD1029" s="64"/>
      <c r="AG1029" s="45"/>
      <c r="AH1029" s="64"/>
      <c r="AI1029" s="45"/>
      <c r="AJ1029" s="105"/>
      <c r="AK1029" s="105"/>
      <c r="AL1029" s="60"/>
      <c r="AM1029" s="60"/>
      <c r="AN1029" s="60"/>
      <c r="AO1029" s="60"/>
      <c r="AP1029" s="60"/>
      <c r="AQ1029" s="60"/>
      <c r="AR1029" s="60"/>
      <c r="AS1029" s="60"/>
      <c r="AT1029" s="45"/>
      <c r="AU1029" s="45"/>
      <c r="AW1029" s="45"/>
      <c r="AX1029" s="46">
        <f t="shared" si="46"/>
        <v>0</v>
      </c>
      <c r="AY1029" s="46">
        <f t="shared" si="47"/>
        <v>0</v>
      </c>
      <c r="AZ1029" s="46">
        <f t="shared" si="48"/>
        <v>0</v>
      </c>
    </row>
    <row r="1030" spans="3:52">
      <c r="C1030" s="102"/>
      <c r="D1030" s="3"/>
      <c r="F1030" s="3"/>
      <c r="G1030" s="3"/>
      <c r="H1030" s="3"/>
      <c r="J1030" s="3"/>
      <c r="K1030" s="3"/>
      <c r="L1030" s="4"/>
      <c r="M1030" s="3"/>
      <c r="O1030" s="58"/>
      <c r="Q1030" s="64"/>
      <c r="R1030" s="45"/>
      <c r="S1030" s="45"/>
      <c r="U1030" s="64"/>
      <c r="V1030" s="45"/>
      <c r="W1030" s="64"/>
      <c r="X1030" s="64"/>
      <c r="Y1030" s="45"/>
      <c r="Z1030" s="45"/>
      <c r="AA1030" s="105"/>
      <c r="AB1030" s="105"/>
      <c r="AC1030" s="105"/>
      <c r="AD1030" s="64"/>
      <c r="AG1030" s="45"/>
      <c r="AH1030" s="64"/>
      <c r="AI1030" s="45"/>
      <c r="AJ1030" s="105"/>
      <c r="AK1030" s="105"/>
      <c r="AL1030" s="60"/>
      <c r="AM1030" s="60"/>
      <c r="AN1030" s="60"/>
      <c r="AO1030" s="60"/>
      <c r="AP1030" s="60"/>
      <c r="AQ1030" s="60"/>
      <c r="AR1030" s="60"/>
      <c r="AS1030" s="60"/>
      <c r="AT1030" s="45"/>
      <c r="AU1030" s="45"/>
      <c r="AW1030" s="45"/>
      <c r="AX1030" s="46">
        <f t="shared" si="46"/>
        <v>0</v>
      </c>
      <c r="AY1030" s="46">
        <f t="shared" si="47"/>
        <v>0</v>
      </c>
      <c r="AZ1030" s="46">
        <f t="shared" si="48"/>
        <v>0</v>
      </c>
    </row>
    <row r="1031" spans="3:52">
      <c r="C1031" s="102"/>
      <c r="D1031" s="3"/>
      <c r="F1031" s="3"/>
      <c r="G1031" s="3"/>
      <c r="H1031" s="3"/>
      <c r="J1031" s="3"/>
      <c r="K1031" s="3"/>
      <c r="L1031" s="4"/>
      <c r="M1031" s="3"/>
      <c r="O1031" s="58"/>
      <c r="Q1031" s="64"/>
      <c r="R1031" s="45"/>
      <c r="S1031" s="45"/>
      <c r="U1031" s="64"/>
      <c r="V1031" s="45"/>
      <c r="W1031" s="64"/>
      <c r="X1031" s="64"/>
      <c r="Y1031" s="45"/>
      <c r="Z1031" s="45"/>
      <c r="AA1031" s="105"/>
      <c r="AB1031" s="105"/>
      <c r="AC1031" s="105"/>
      <c r="AD1031" s="64"/>
      <c r="AG1031" s="45"/>
      <c r="AH1031" s="64"/>
      <c r="AI1031" s="45"/>
      <c r="AJ1031" s="105"/>
      <c r="AK1031" s="105"/>
      <c r="AL1031" s="60"/>
      <c r="AM1031" s="60"/>
      <c r="AN1031" s="60"/>
      <c r="AO1031" s="60"/>
      <c r="AP1031" s="60"/>
      <c r="AQ1031" s="60"/>
      <c r="AR1031" s="60"/>
      <c r="AS1031" s="60"/>
      <c r="AT1031" s="45"/>
      <c r="AU1031" s="45"/>
      <c r="AW1031" s="45"/>
      <c r="AX1031" s="46">
        <f t="shared" si="46"/>
        <v>0</v>
      </c>
      <c r="AY1031" s="46">
        <f t="shared" si="47"/>
        <v>0</v>
      </c>
      <c r="AZ1031" s="46">
        <f t="shared" si="48"/>
        <v>0</v>
      </c>
    </row>
    <row r="1032" spans="3:52">
      <c r="C1032" s="102"/>
      <c r="D1032" s="3"/>
      <c r="F1032" s="3"/>
      <c r="G1032" s="3"/>
      <c r="H1032" s="3"/>
      <c r="J1032" s="3"/>
      <c r="K1032" s="3"/>
      <c r="L1032" s="4"/>
      <c r="M1032" s="3"/>
      <c r="O1032" s="58"/>
      <c r="Q1032" s="64"/>
      <c r="R1032" s="45"/>
      <c r="S1032" s="45"/>
      <c r="U1032" s="64"/>
      <c r="V1032" s="45"/>
      <c r="W1032" s="64"/>
      <c r="X1032" s="64"/>
      <c r="Y1032" s="45"/>
      <c r="Z1032" s="45"/>
      <c r="AA1032" s="105"/>
      <c r="AB1032" s="105"/>
      <c r="AC1032" s="105"/>
      <c r="AD1032" s="64"/>
      <c r="AH1032" s="64"/>
      <c r="AI1032" s="45"/>
      <c r="AJ1032" s="105"/>
      <c r="AK1032" s="105"/>
      <c r="AL1032" s="60"/>
      <c r="AM1032" s="60"/>
      <c r="AN1032" s="60"/>
      <c r="AO1032" s="60"/>
      <c r="AP1032" s="60"/>
      <c r="AQ1032" s="60"/>
      <c r="AR1032" s="60"/>
      <c r="AS1032" s="60"/>
      <c r="AT1032" s="45"/>
      <c r="AU1032" s="45"/>
      <c r="AW1032" s="45"/>
      <c r="AX1032" s="46">
        <f t="shared" si="46"/>
        <v>0</v>
      </c>
      <c r="AY1032" s="46">
        <f t="shared" si="47"/>
        <v>0</v>
      </c>
      <c r="AZ1032" s="46">
        <f t="shared" si="48"/>
        <v>0</v>
      </c>
    </row>
    <row r="1033" spans="3:52">
      <c r="C1033" s="102"/>
      <c r="D1033" s="3"/>
      <c r="F1033" s="3"/>
      <c r="G1033" s="3"/>
      <c r="H1033" s="3"/>
      <c r="J1033" s="3"/>
      <c r="K1033" s="3"/>
      <c r="L1033" s="4"/>
      <c r="M1033" s="3"/>
      <c r="O1033" s="58"/>
      <c r="Q1033" s="64"/>
      <c r="R1033" s="45"/>
      <c r="S1033" s="45"/>
      <c r="U1033" s="64"/>
      <c r="V1033" s="45"/>
      <c r="W1033" s="64"/>
      <c r="X1033" s="64"/>
      <c r="Y1033" s="45"/>
      <c r="Z1033" s="45"/>
      <c r="AA1033" s="105"/>
      <c r="AB1033" s="105"/>
      <c r="AC1033" s="105"/>
      <c r="AD1033" s="64"/>
      <c r="AG1033" s="45"/>
      <c r="AH1033" s="64"/>
      <c r="AI1033" s="45"/>
      <c r="AJ1033" s="105"/>
      <c r="AK1033" s="105"/>
      <c r="AL1033" s="60"/>
      <c r="AM1033" s="60"/>
      <c r="AN1033" s="60"/>
      <c r="AO1033" s="60"/>
      <c r="AP1033" s="60"/>
      <c r="AQ1033" s="60"/>
      <c r="AR1033" s="60"/>
      <c r="AS1033" s="60"/>
      <c r="AT1033" s="45"/>
      <c r="AU1033" s="45"/>
      <c r="AW1033" s="45"/>
      <c r="AX1033" s="46">
        <f t="shared" si="46"/>
        <v>0</v>
      </c>
      <c r="AY1033" s="46">
        <f t="shared" si="47"/>
        <v>0</v>
      </c>
      <c r="AZ1033" s="46">
        <f t="shared" si="48"/>
        <v>0</v>
      </c>
    </row>
    <row r="1034" spans="3:52">
      <c r="C1034" s="102"/>
      <c r="D1034" s="3"/>
      <c r="F1034" s="3"/>
      <c r="G1034" s="3"/>
      <c r="H1034" s="3"/>
      <c r="J1034" s="3"/>
      <c r="K1034" s="3"/>
      <c r="L1034" s="4"/>
      <c r="M1034" s="3"/>
      <c r="O1034" s="58"/>
      <c r="Q1034" s="64"/>
      <c r="R1034" s="45"/>
      <c r="S1034" s="45"/>
      <c r="U1034" s="64"/>
      <c r="V1034" s="45"/>
      <c r="W1034" s="64"/>
      <c r="X1034" s="64"/>
      <c r="Y1034" s="45"/>
      <c r="Z1034" s="45"/>
      <c r="AA1034" s="105"/>
      <c r="AB1034" s="105"/>
      <c r="AC1034" s="105"/>
      <c r="AD1034" s="64"/>
      <c r="AG1034" s="45"/>
      <c r="AH1034" s="64"/>
      <c r="AI1034" s="45"/>
      <c r="AJ1034" s="105"/>
      <c r="AK1034" s="105"/>
      <c r="AL1034" s="60"/>
      <c r="AM1034" s="60"/>
      <c r="AN1034" s="60"/>
      <c r="AO1034" s="60"/>
      <c r="AP1034" s="60"/>
      <c r="AQ1034" s="60"/>
      <c r="AR1034" s="60"/>
      <c r="AS1034" s="60"/>
      <c r="AT1034" s="45"/>
      <c r="AU1034" s="45"/>
      <c r="AW1034" s="45"/>
      <c r="AX1034" s="46">
        <f t="shared" si="46"/>
        <v>0</v>
      </c>
      <c r="AY1034" s="46">
        <f t="shared" si="47"/>
        <v>0</v>
      </c>
      <c r="AZ1034" s="46">
        <f t="shared" si="48"/>
        <v>0</v>
      </c>
    </row>
    <row r="1035" spans="3:52">
      <c r="C1035" s="102"/>
      <c r="D1035" s="3"/>
      <c r="F1035" s="3"/>
      <c r="G1035" s="3"/>
      <c r="H1035" s="3"/>
      <c r="J1035" s="3"/>
      <c r="K1035" s="3"/>
      <c r="L1035" s="4"/>
      <c r="M1035" s="3"/>
      <c r="O1035" s="58"/>
      <c r="Q1035" s="64"/>
      <c r="R1035" s="45"/>
      <c r="S1035" s="45"/>
      <c r="U1035" s="64"/>
      <c r="V1035" s="45"/>
      <c r="W1035" s="64"/>
      <c r="X1035" s="64"/>
      <c r="Y1035" s="45"/>
      <c r="Z1035" s="45"/>
      <c r="AA1035" s="105"/>
      <c r="AB1035" s="105"/>
      <c r="AC1035" s="105"/>
      <c r="AD1035" s="64"/>
      <c r="AG1035" s="45"/>
      <c r="AH1035" s="64"/>
      <c r="AI1035" s="45"/>
      <c r="AJ1035" s="105"/>
      <c r="AK1035" s="105"/>
      <c r="AL1035" s="60"/>
      <c r="AM1035" s="60"/>
      <c r="AN1035" s="60"/>
      <c r="AO1035" s="60"/>
      <c r="AP1035" s="60"/>
      <c r="AQ1035" s="60"/>
      <c r="AR1035" s="60"/>
      <c r="AS1035" s="60"/>
      <c r="AT1035" s="45"/>
      <c r="AU1035" s="45"/>
      <c r="AW1035" s="45"/>
      <c r="AX1035" s="46">
        <f t="shared" ref="AX1035:AX1098" si="49">IFERROR(SUM(Q1035:AS1035)-SUM(AT1035:AU1035)+AV1035,"-")</f>
        <v>0</v>
      </c>
      <c r="AY1035" s="46">
        <f t="shared" ref="AY1035:AY1098" si="50">IFERROR(SUM(Q1035:AS1035)-SUM(AT1035:AT1035),"-")</f>
        <v>0</v>
      </c>
      <c r="AZ1035" s="46">
        <f t="shared" ref="AZ1035:AZ1098" si="51">SUM(Q1035:AS1035)</f>
        <v>0</v>
      </c>
    </row>
    <row r="1036" spans="3:52">
      <c r="C1036" s="102"/>
      <c r="D1036" s="3"/>
      <c r="F1036" s="3"/>
      <c r="G1036" s="3"/>
      <c r="H1036" s="3"/>
      <c r="J1036" s="3"/>
      <c r="K1036" s="3"/>
      <c r="L1036" s="4"/>
      <c r="M1036" s="3"/>
      <c r="O1036" s="58"/>
      <c r="Q1036" s="64"/>
      <c r="R1036" s="45"/>
      <c r="S1036" s="45"/>
      <c r="U1036" s="64"/>
      <c r="V1036" s="45"/>
      <c r="W1036" s="64"/>
      <c r="X1036" s="64"/>
      <c r="Y1036" s="45"/>
      <c r="Z1036" s="45"/>
      <c r="AA1036" s="105"/>
      <c r="AB1036" s="105"/>
      <c r="AC1036" s="105"/>
      <c r="AD1036" s="64"/>
      <c r="AG1036" s="45"/>
      <c r="AH1036" s="64"/>
      <c r="AI1036" s="45"/>
      <c r="AJ1036" s="105"/>
      <c r="AK1036" s="105"/>
      <c r="AL1036" s="60"/>
      <c r="AM1036" s="60"/>
      <c r="AN1036" s="60"/>
      <c r="AO1036" s="60"/>
      <c r="AP1036" s="60"/>
      <c r="AQ1036" s="60"/>
      <c r="AR1036" s="60"/>
      <c r="AS1036" s="60"/>
      <c r="AT1036" s="45"/>
      <c r="AU1036" s="45"/>
      <c r="AW1036" s="45"/>
      <c r="AX1036" s="46">
        <f t="shared" si="49"/>
        <v>0</v>
      </c>
      <c r="AY1036" s="46">
        <f t="shared" si="50"/>
        <v>0</v>
      </c>
      <c r="AZ1036" s="46">
        <f t="shared" si="51"/>
        <v>0</v>
      </c>
    </row>
    <row r="1037" spans="3:52">
      <c r="C1037" s="102"/>
      <c r="D1037" s="3"/>
      <c r="F1037" s="3"/>
      <c r="G1037" s="3"/>
      <c r="H1037" s="3"/>
      <c r="J1037" s="3"/>
      <c r="K1037" s="3"/>
      <c r="L1037" s="4"/>
      <c r="M1037" s="3"/>
      <c r="O1037" s="58"/>
      <c r="Q1037" s="64"/>
      <c r="R1037" s="45"/>
      <c r="S1037" s="45"/>
      <c r="U1037" s="64"/>
      <c r="V1037" s="45"/>
      <c r="W1037" s="64"/>
      <c r="X1037" s="64"/>
      <c r="Y1037" s="45"/>
      <c r="Z1037" s="45"/>
      <c r="AA1037" s="105"/>
      <c r="AB1037" s="105"/>
      <c r="AC1037" s="105"/>
      <c r="AD1037" s="64"/>
      <c r="AG1037" s="45"/>
      <c r="AH1037" s="64"/>
      <c r="AI1037" s="45"/>
      <c r="AJ1037" s="105"/>
      <c r="AK1037" s="105"/>
      <c r="AL1037" s="60"/>
      <c r="AM1037" s="60"/>
      <c r="AN1037" s="60"/>
      <c r="AO1037" s="60"/>
      <c r="AP1037" s="60"/>
      <c r="AQ1037" s="60"/>
      <c r="AR1037" s="60"/>
      <c r="AS1037" s="60"/>
      <c r="AT1037" s="45"/>
      <c r="AU1037" s="45"/>
      <c r="AW1037" s="45"/>
      <c r="AX1037" s="46">
        <f t="shared" si="49"/>
        <v>0</v>
      </c>
      <c r="AY1037" s="46">
        <f t="shared" si="50"/>
        <v>0</v>
      </c>
      <c r="AZ1037" s="46">
        <f t="shared" si="51"/>
        <v>0</v>
      </c>
    </row>
    <row r="1038" spans="3:52">
      <c r="C1038" s="102"/>
      <c r="D1038" s="3"/>
      <c r="F1038" s="3"/>
      <c r="G1038" s="3"/>
      <c r="H1038" s="3"/>
      <c r="J1038" s="3"/>
      <c r="K1038" s="3"/>
      <c r="L1038" s="4"/>
      <c r="M1038" s="3"/>
      <c r="O1038" s="58"/>
      <c r="Q1038" s="64"/>
      <c r="R1038" s="45"/>
      <c r="S1038" s="45"/>
      <c r="U1038" s="64"/>
      <c r="V1038" s="45"/>
      <c r="W1038" s="64"/>
      <c r="X1038" s="64"/>
      <c r="Y1038" s="45"/>
      <c r="Z1038" s="45"/>
      <c r="AA1038" s="105"/>
      <c r="AB1038" s="105"/>
      <c r="AC1038" s="105"/>
      <c r="AD1038" s="64"/>
      <c r="AH1038" s="64"/>
      <c r="AI1038" s="45"/>
      <c r="AJ1038" s="105"/>
      <c r="AK1038" s="105"/>
      <c r="AL1038" s="60"/>
      <c r="AM1038" s="60"/>
      <c r="AN1038" s="60"/>
      <c r="AO1038" s="60"/>
      <c r="AP1038" s="60"/>
      <c r="AQ1038" s="60"/>
      <c r="AR1038" s="60"/>
      <c r="AS1038" s="60"/>
      <c r="AT1038" s="45"/>
      <c r="AU1038" s="45"/>
      <c r="AW1038" s="45"/>
      <c r="AX1038" s="46">
        <f t="shared" si="49"/>
        <v>0</v>
      </c>
      <c r="AY1038" s="46">
        <f t="shared" si="50"/>
        <v>0</v>
      </c>
      <c r="AZ1038" s="46">
        <f t="shared" si="51"/>
        <v>0</v>
      </c>
    </row>
    <row r="1039" spans="3:52">
      <c r="C1039" s="102"/>
      <c r="D1039" s="3"/>
      <c r="F1039" s="3"/>
      <c r="G1039" s="3"/>
      <c r="H1039" s="3"/>
      <c r="J1039" s="3"/>
      <c r="K1039" s="3"/>
      <c r="L1039" s="4"/>
      <c r="M1039" s="3"/>
      <c r="O1039" s="58"/>
      <c r="Q1039" s="64"/>
      <c r="R1039" s="45"/>
      <c r="S1039" s="45"/>
      <c r="U1039" s="64"/>
      <c r="V1039" s="45"/>
      <c r="W1039" s="64"/>
      <c r="X1039" s="64"/>
      <c r="Y1039" s="45"/>
      <c r="Z1039" s="45"/>
      <c r="AA1039" s="105"/>
      <c r="AB1039" s="105"/>
      <c r="AC1039" s="105"/>
      <c r="AD1039" s="64"/>
      <c r="AG1039" s="45"/>
      <c r="AH1039" s="64"/>
      <c r="AI1039" s="45"/>
      <c r="AJ1039" s="105"/>
      <c r="AK1039" s="105"/>
      <c r="AL1039" s="60"/>
      <c r="AM1039" s="60"/>
      <c r="AN1039" s="60"/>
      <c r="AO1039" s="60"/>
      <c r="AP1039" s="60"/>
      <c r="AQ1039" s="60"/>
      <c r="AR1039" s="60"/>
      <c r="AS1039" s="60"/>
      <c r="AT1039" s="45"/>
      <c r="AU1039" s="45"/>
      <c r="AW1039" s="45"/>
      <c r="AX1039" s="46">
        <f t="shared" si="49"/>
        <v>0</v>
      </c>
      <c r="AY1039" s="46">
        <f t="shared" si="50"/>
        <v>0</v>
      </c>
      <c r="AZ1039" s="46">
        <f t="shared" si="51"/>
        <v>0</v>
      </c>
    </row>
    <row r="1040" spans="3:52">
      <c r="C1040" s="102"/>
      <c r="D1040" s="3"/>
      <c r="F1040" s="3"/>
      <c r="G1040" s="3"/>
      <c r="H1040" s="3"/>
      <c r="J1040" s="3"/>
      <c r="K1040" s="3"/>
      <c r="L1040" s="4"/>
      <c r="M1040" s="3"/>
      <c r="O1040" s="58"/>
      <c r="Q1040" s="64"/>
      <c r="R1040" s="45"/>
      <c r="S1040" s="45"/>
      <c r="U1040" s="64"/>
      <c r="V1040" s="45"/>
      <c r="W1040" s="64"/>
      <c r="X1040" s="64"/>
      <c r="Y1040" s="45"/>
      <c r="Z1040" s="45"/>
      <c r="AA1040" s="105"/>
      <c r="AB1040" s="105"/>
      <c r="AC1040" s="105"/>
      <c r="AD1040" s="64"/>
      <c r="AG1040" s="45"/>
      <c r="AH1040" s="64"/>
      <c r="AI1040" s="45"/>
      <c r="AJ1040" s="105"/>
      <c r="AK1040" s="105"/>
      <c r="AL1040" s="60"/>
      <c r="AM1040" s="60"/>
      <c r="AN1040" s="60"/>
      <c r="AO1040" s="60"/>
      <c r="AP1040" s="60"/>
      <c r="AQ1040" s="60"/>
      <c r="AR1040" s="60"/>
      <c r="AS1040" s="60"/>
      <c r="AT1040" s="45"/>
      <c r="AU1040" s="45"/>
      <c r="AW1040" s="45"/>
      <c r="AX1040" s="46">
        <f t="shared" si="49"/>
        <v>0</v>
      </c>
      <c r="AY1040" s="46">
        <f t="shared" si="50"/>
        <v>0</v>
      </c>
      <c r="AZ1040" s="46">
        <f t="shared" si="51"/>
        <v>0</v>
      </c>
    </row>
    <row r="1041" spans="3:52">
      <c r="C1041" s="102"/>
      <c r="D1041" s="3"/>
      <c r="F1041" s="3"/>
      <c r="G1041" s="3"/>
      <c r="H1041" s="3"/>
      <c r="J1041" s="3"/>
      <c r="K1041" s="3"/>
      <c r="L1041" s="4"/>
      <c r="M1041" s="3"/>
      <c r="O1041" s="58"/>
      <c r="Q1041" s="64"/>
      <c r="R1041" s="45"/>
      <c r="S1041" s="45"/>
      <c r="U1041" s="64"/>
      <c r="V1041" s="45"/>
      <c r="W1041" s="64"/>
      <c r="X1041" s="64"/>
      <c r="Y1041" s="45"/>
      <c r="Z1041" s="45"/>
      <c r="AA1041" s="105"/>
      <c r="AB1041" s="105"/>
      <c r="AC1041" s="105"/>
      <c r="AD1041" s="64"/>
      <c r="AG1041" s="45"/>
      <c r="AH1041" s="64"/>
      <c r="AI1041" s="45"/>
      <c r="AJ1041" s="105"/>
      <c r="AK1041" s="105"/>
      <c r="AL1041" s="60"/>
      <c r="AM1041" s="60"/>
      <c r="AN1041" s="60"/>
      <c r="AO1041" s="60"/>
      <c r="AP1041" s="60"/>
      <c r="AQ1041" s="60"/>
      <c r="AR1041" s="60"/>
      <c r="AS1041" s="60"/>
      <c r="AT1041" s="45"/>
      <c r="AU1041" s="45"/>
      <c r="AW1041" s="45"/>
      <c r="AX1041" s="46">
        <f t="shared" si="49"/>
        <v>0</v>
      </c>
      <c r="AY1041" s="46">
        <f t="shared" si="50"/>
        <v>0</v>
      </c>
      <c r="AZ1041" s="46">
        <f t="shared" si="51"/>
        <v>0</v>
      </c>
    </row>
    <row r="1042" spans="3:52">
      <c r="C1042" s="102"/>
      <c r="D1042" s="3"/>
      <c r="F1042" s="3"/>
      <c r="G1042" s="3"/>
      <c r="H1042" s="3"/>
      <c r="J1042" s="3"/>
      <c r="K1042" s="3"/>
      <c r="L1042" s="4"/>
      <c r="M1042" s="3"/>
      <c r="O1042" s="58"/>
      <c r="Q1042" s="64"/>
      <c r="R1042" s="45"/>
      <c r="S1042" s="45"/>
      <c r="U1042" s="64"/>
      <c r="V1042" s="45"/>
      <c r="W1042" s="64"/>
      <c r="X1042" s="64"/>
      <c r="Y1042" s="45"/>
      <c r="Z1042" s="45"/>
      <c r="AA1042" s="105"/>
      <c r="AB1042" s="105"/>
      <c r="AC1042" s="105"/>
      <c r="AD1042" s="64"/>
      <c r="AG1042" s="45"/>
      <c r="AH1042" s="64"/>
      <c r="AI1042" s="45"/>
      <c r="AJ1042" s="105"/>
      <c r="AK1042" s="105"/>
      <c r="AL1042" s="60"/>
      <c r="AM1042" s="60"/>
      <c r="AN1042" s="60"/>
      <c r="AO1042" s="60"/>
      <c r="AP1042" s="60"/>
      <c r="AQ1042" s="60"/>
      <c r="AR1042" s="60"/>
      <c r="AS1042" s="60"/>
      <c r="AT1042" s="45"/>
      <c r="AU1042" s="45"/>
      <c r="AW1042" s="45"/>
      <c r="AX1042" s="46">
        <f t="shared" si="49"/>
        <v>0</v>
      </c>
      <c r="AY1042" s="46">
        <f t="shared" si="50"/>
        <v>0</v>
      </c>
      <c r="AZ1042" s="46">
        <f t="shared" si="51"/>
        <v>0</v>
      </c>
    </row>
    <row r="1043" spans="3:52">
      <c r="C1043" s="102"/>
      <c r="D1043" s="3"/>
      <c r="F1043" s="3"/>
      <c r="G1043" s="3"/>
      <c r="H1043" s="3"/>
      <c r="J1043" s="3"/>
      <c r="K1043" s="3"/>
      <c r="L1043" s="4"/>
      <c r="M1043" s="3"/>
      <c r="O1043" s="58"/>
      <c r="Q1043" s="64"/>
      <c r="R1043" s="45"/>
      <c r="S1043" s="45"/>
      <c r="U1043" s="64"/>
      <c r="V1043" s="45"/>
      <c r="W1043" s="64"/>
      <c r="X1043" s="64"/>
      <c r="Y1043" s="45"/>
      <c r="Z1043" s="45"/>
      <c r="AA1043" s="105"/>
      <c r="AB1043" s="105"/>
      <c r="AC1043" s="105"/>
      <c r="AD1043" s="64"/>
      <c r="AG1043" s="45"/>
      <c r="AH1043" s="64"/>
      <c r="AI1043" s="45"/>
      <c r="AJ1043" s="105"/>
      <c r="AK1043" s="105"/>
      <c r="AL1043" s="60"/>
      <c r="AM1043" s="60"/>
      <c r="AN1043" s="60"/>
      <c r="AO1043" s="60"/>
      <c r="AP1043" s="60"/>
      <c r="AQ1043" s="60"/>
      <c r="AR1043" s="60"/>
      <c r="AS1043" s="60"/>
      <c r="AT1043" s="45"/>
      <c r="AU1043" s="45"/>
      <c r="AW1043" s="45"/>
      <c r="AX1043" s="46">
        <f t="shared" si="49"/>
        <v>0</v>
      </c>
      <c r="AY1043" s="46">
        <f t="shared" si="50"/>
        <v>0</v>
      </c>
      <c r="AZ1043" s="46">
        <f t="shared" si="51"/>
        <v>0</v>
      </c>
    </row>
    <row r="1044" spans="3:52">
      <c r="C1044" s="102"/>
      <c r="D1044" s="3"/>
      <c r="F1044" s="3"/>
      <c r="G1044" s="3"/>
      <c r="H1044" s="3"/>
      <c r="J1044" s="3"/>
      <c r="K1044" s="3"/>
      <c r="L1044" s="4"/>
      <c r="M1044" s="3"/>
      <c r="O1044" s="58"/>
      <c r="Q1044" s="64"/>
      <c r="R1044" s="45"/>
      <c r="S1044" s="45"/>
      <c r="U1044" s="64"/>
      <c r="V1044" s="45"/>
      <c r="W1044" s="64"/>
      <c r="X1044" s="64"/>
      <c r="Y1044" s="45"/>
      <c r="Z1044" s="45"/>
      <c r="AA1044" s="105"/>
      <c r="AB1044" s="105"/>
      <c r="AC1044" s="105"/>
      <c r="AD1044" s="64"/>
      <c r="AG1044" s="45"/>
      <c r="AH1044" s="64"/>
      <c r="AI1044" s="45"/>
      <c r="AJ1044" s="105"/>
      <c r="AK1044" s="105"/>
      <c r="AL1044" s="60"/>
      <c r="AM1044" s="60"/>
      <c r="AN1044" s="60"/>
      <c r="AO1044" s="60"/>
      <c r="AP1044" s="60"/>
      <c r="AQ1044" s="60"/>
      <c r="AR1044" s="60"/>
      <c r="AS1044" s="60"/>
      <c r="AT1044" s="45"/>
      <c r="AU1044" s="45"/>
      <c r="AW1044" s="45"/>
      <c r="AX1044" s="46">
        <f t="shared" si="49"/>
        <v>0</v>
      </c>
      <c r="AY1044" s="46">
        <f t="shared" si="50"/>
        <v>0</v>
      </c>
      <c r="AZ1044" s="46">
        <f t="shared" si="51"/>
        <v>0</v>
      </c>
    </row>
    <row r="1045" spans="3:52">
      <c r="C1045" s="102"/>
      <c r="D1045" s="3"/>
      <c r="F1045" s="3"/>
      <c r="G1045" s="3"/>
      <c r="H1045" s="3"/>
      <c r="J1045" s="3"/>
      <c r="K1045" s="3"/>
      <c r="L1045" s="4"/>
      <c r="M1045" s="3"/>
      <c r="N1045" s="70"/>
      <c r="O1045" s="58"/>
      <c r="Q1045" s="64"/>
      <c r="R1045" s="45"/>
      <c r="S1045" s="45"/>
      <c r="U1045" s="64"/>
      <c r="V1045" s="45"/>
      <c r="W1045" s="64"/>
      <c r="X1045" s="64"/>
      <c r="Y1045" s="45"/>
      <c r="Z1045" s="45"/>
      <c r="AA1045" s="105"/>
      <c r="AB1045" s="105"/>
      <c r="AC1045" s="105"/>
      <c r="AD1045" s="64"/>
      <c r="AG1045" s="45"/>
      <c r="AH1045" s="64"/>
      <c r="AI1045" s="45"/>
      <c r="AJ1045" s="105"/>
      <c r="AK1045" s="105"/>
      <c r="AL1045" s="60"/>
      <c r="AM1045" s="60"/>
      <c r="AN1045" s="60"/>
      <c r="AO1045" s="60"/>
      <c r="AP1045" s="60"/>
      <c r="AQ1045" s="60"/>
      <c r="AR1045" s="60"/>
      <c r="AS1045" s="60"/>
      <c r="AT1045" s="45"/>
      <c r="AU1045" s="45"/>
      <c r="AW1045" s="45"/>
      <c r="AX1045" s="46">
        <f t="shared" si="49"/>
        <v>0</v>
      </c>
      <c r="AY1045" s="46">
        <f t="shared" si="50"/>
        <v>0</v>
      </c>
      <c r="AZ1045" s="46">
        <f t="shared" si="51"/>
        <v>0</v>
      </c>
    </row>
    <row r="1046" spans="3:52">
      <c r="C1046" s="102"/>
      <c r="D1046" s="3"/>
      <c r="F1046" s="3"/>
      <c r="G1046" s="3"/>
      <c r="H1046" s="3"/>
      <c r="J1046" s="3"/>
      <c r="K1046" s="3"/>
      <c r="L1046" s="4"/>
      <c r="M1046" s="3"/>
      <c r="O1046" s="58"/>
      <c r="Q1046" s="64"/>
      <c r="R1046" s="45"/>
      <c r="S1046" s="45"/>
      <c r="U1046" s="64"/>
      <c r="V1046" s="45"/>
      <c r="W1046" s="64"/>
      <c r="X1046" s="64"/>
      <c r="Y1046" s="45"/>
      <c r="Z1046" s="45"/>
      <c r="AA1046" s="105"/>
      <c r="AB1046" s="105"/>
      <c r="AC1046" s="105"/>
      <c r="AD1046" s="64"/>
      <c r="AG1046" s="45"/>
      <c r="AH1046" s="64"/>
      <c r="AI1046" s="45"/>
      <c r="AJ1046" s="105"/>
      <c r="AK1046" s="105"/>
      <c r="AL1046" s="60"/>
      <c r="AM1046" s="60"/>
      <c r="AN1046" s="60"/>
      <c r="AO1046" s="60"/>
      <c r="AP1046" s="60"/>
      <c r="AQ1046" s="60"/>
      <c r="AR1046" s="60"/>
      <c r="AS1046" s="60"/>
      <c r="AT1046" s="45"/>
      <c r="AU1046" s="45"/>
      <c r="AW1046" s="45"/>
      <c r="AX1046" s="46">
        <f t="shared" si="49"/>
        <v>0</v>
      </c>
      <c r="AY1046" s="46">
        <f t="shared" si="50"/>
        <v>0</v>
      </c>
      <c r="AZ1046" s="46">
        <f t="shared" si="51"/>
        <v>0</v>
      </c>
    </row>
    <row r="1047" spans="3:52">
      <c r="C1047" s="102"/>
      <c r="D1047" s="3"/>
      <c r="F1047" s="3"/>
      <c r="G1047" s="3"/>
      <c r="H1047" s="3"/>
      <c r="J1047" s="3"/>
      <c r="K1047" s="3"/>
      <c r="L1047" s="4"/>
      <c r="M1047" s="3"/>
      <c r="O1047" s="58"/>
      <c r="Q1047" s="64"/>
      <c r="R1047" s="45"/>
      <c r="S1047" s="45"/>
      <c r="U1047" s="64"/>
      <c r="V1047" s="45"/>
      <c r="W1047" s="64"/>
      <c r="X1047" s="64"/>
      <c r="Y1047" s="45"/>
      <c r="Z1047" s="45"/>
      <c r="AA1047" s="105"/>
      <c r="AB1047" s="105"/>
      <c r="AC1047" s="105"/>
      <c r="AD1047" s="64"/>
      <c r="AH1047" s="64"/>
      <c r="AI1047" s="45"/>
      <c r="AJ1047" s="105"/>
      <c r="AK1047" s="105"/>
      <c r="AL1047" s="60"/>
      <c r="AM1047" s="60"/>
      <c r="AN1047" s="60"/>
      <c r="AO1047" s="60"/>
      <c r="AP1047" s="60"/>
      <c r="AQ1047" s="60"/>
      <c r="AR1047" s="60"/>
      <c r="AS1047" s="60"/>
      <c r="AT1047" s="45"/>
      <c r="AU1047" s="45"/>
      <c r="AW1047" s="45"/>
      <c r="AX1047" s="46">
        <f t="shared" si="49"/>
        <v>0</v>
      </c>
      <c r="AY1047" s="46">
        <f t="shared" si="50"/>
        <v>0</v>
      </c>
      <c r="AZ1047" s="46">
        <f t="shared" si="51"/>
        <v>0</v>
      </c>
    </row>
    <row r="1048" spans="3:52">
      <c r="C1048" s="102"/>
      <c r="D1048" s="3"/>
      <c r="F1048" s="3"/>
      <c r="G1048" s="3"/>
      <c r="H1048" s="3"/>
      <c r="J1048" s="3"/>
      <c r="K1048" s="3"/>
      <c r="L1048" s="4"/>
      <c r="M1048" s="3"/>
      <c r="O1048" s="58"/>
      <c r="Q1048" s="64"/>
      <c r="R1048" s="45"/>
      <c r="S1048" s="45"/>
      <c r="U1048" s="64"/>
      <c r="V1048" s="45"/>
      <c r="W1048" s="64"/>
      <c r="X1048" s="64"/>
      <c r="Y1048" s="45"/>
      <c r="Z1048" s="45"/>
      <c r="AA1048" s="105"/>
      <c r="AB1048" s="105"/>
      <c r="AC1048" s="105"/>
      <c r="AD1048" s="64"/>
      <c r="AH1048" s="64"/>
      <c r="AI1048" s="45"/>
      <c r="AJ1048" s="105"/>
      <c r="AK1048" s="105"/>
      <c r="AL1048" s="60"/>
      <c r="AM1048" s="60"/>
      <c r="AN1048" s="60"/>
      <c r="AO1048" s="60"/>
      <c r="AP1048" s="60"/>
      <c r="AQ1048" s="60"/>
      <c r="AR1048" s="60"/>
      <c r="AS1048" s="60"/>
      <c r="AT1048" s="45"/>
      <c r="AU1048" s="45"/>
      <c r="AW1048" s="45"/>
      <c r="AX1048" s="46">
        <f t="shared" si="49"/>
        <v>0</v>
      </c>
      <c r="AY1048" s="46">
        <f t="shared" si="50"/>
        <v>0</v>
      </c>
      <c r="AZ1048" s="46">
        <f t="shared" si="51"/>
        <v>0</v>
      </c>
    </row>
    <row r="1049" spans="3:52">
      <c r="C1049" s="102"/>
      <c r="D1049" s="3"/>
      <c r="F1049" s="3"/>
      <c r="G1049" s="3"/>
      <c r="H1049" s="3"/>
      <c r="J1049" s="3"/>
      <c r="K1049" s="3"/>
      <c r="L1049" s="4"/>
      <c r="M1049" s="3"/>
      <c r="O1049" s="58"/>
      <c r="Q1049" s="64"/>
      <c r="R1049" s="45"/>
      <c r="S1049" s="45"/>
      <c r="U1049" s="64"/>
      <c r="V1049" s="45"/>
      <c r="W1049" s="64"/>
      <c r="X1049" s="64"/>
      <c r="Y1049" s="45"/>
      <c r="Z1049" s="45"/>
      <c r="AA1049" s="105"/>
      <c r="AB1049" s="105"/>
      <c r="AC1049" s="105"/>
      <c r="AD1049" s="64"/>
      <c r="AH1049" s="64"/>
      <c r="AI1049" s="45"/>
      <c r="AJ1049" s="105"/>
      <c r="AK1049" s="105"/>
      <c r="AL1049" s="60"/>
      <c r="AM1049" s="60"/>
      <c r="AN1049" s="60"/>
      <c r="AO1049" s="60"/>
      <c r="AP1049" s="60"/>
      <c r="AQ1049" s="60"/>
      <c r="AR1049" s="60"/>
      <c r="AS1049" s="60"/>
      <c r="AT1049" s="45"/>
      <c r="AU1049" s="45"/>
      <c r="AW1049" s="45"/>
      <c r="AX1049" s="46">
        <f t="shared" si="49"/>
        <v>0</v>
      </c>
      <c r="AY1049" s="46">
        <f t="shared" si="50"/>
        <v>0</v>
      </c>
      <c r="AZ1049" s="46">
        <f t="shared" si="51"/>
        <v>0</v>
      </c>
    </row>
    <row r="1050" spans="3:52">
      <c r="C1050" s="102"/>
      <c r="D1050" s="3"/>
      <c r="F1050" s="3"/>
      <c r="G1050" s="3"/>
      <c r="H1050" s="3"/>
      <c r="J1050" s="3"/>
      <c r="K1050" s="3"/>
      <c r="L1050" s="4"/>
      <c r="M1050" s="3"/>
      <c r="O1050" s="58"/>
      <c r="Q1050" s="64"/>
      <c r="R1050" s="45"/>
      <c r="S1050" s="45"/>
      <c r="U1050" s="64"/>
      <c r="V1050" s="45"/>
      <c r="W1050" s="64"/>
      <c r="X1050" s="64"/>
      <c r="Y1050" s="45"/>
      <c r="Z1050" s="45"/>
      <c r="AA1050" s="105"/>
      <c r="AB1050" s="105"/>
      <c r="AC1050" s="105"/>
      <c r="AD1050" s="64"/>
      <c r="AG1050" s="45"/>
      <c r="AH1050" s="64"/>
      <c r="AI1050" s="45"/>
      <c r="AJ1050" s="105"/>
      <c r="AK1050" s="105"/>
      <c r="AL1050" s="60"/>
      <c r="AM1050" s="60"/>
      <c r="AN1050" s="60"/>
      <c r="AO1050" s="60"/>
      <c r="AP1050" s="60"/>
      <c r="AQ1050" s="60"/>
      <c r="AR1050" s="60"/>
      <c r="AS1050" s="60"/>
      <c r="AT1050" s="45"/>
      <c r="AU1050" s="45"/>
      <c r="AW1050" s="45"/>
      <c r="AX1050" s="46">
        <f t="shared" si="49"/>
        <v>0</v>
      </c>
      <c r="AY1050" s="46">
        <f t="shared" si="50"/>
        <v>0</v>
      </c>
      <c r="AZ1050" s="46">
        <f t="shared" si="51"/>
        <v>0</v>
      </c>
    </row>
    <row r="1051" spans="3:52">
      <c r="C1051" s="102"/>
      <c r="D1051" s="3"/>
      <c r="F1051" s="3"/>
      <c r="G1051" s="3"/>
      <c r="H1051" s="3"/>
      <c r="J1051" s="3"/>
      <c r="K1051" s="3"/>
      <c r="L1051" s="4"/>
      <c r="M1051" s="3"/>
      <c r="O1051" s="58"/>
      <c r="Q1051" s="64"/>
      <c r="R1051" s="45"/>
      <c r="S1051" s="45"/>
      <c r="U1051" s="64"/>
      <c r="V1051" s="45"/>
      <c r="W1051" s="64"/>
      <c r="X1051" s="64"/>
      <c r="Y1051" s="45"/>
      <c r="Z1051" s="45"/>
      <c r="AA1051" s="105"/>
      <c r="AB1051" s="105"/>
      <c r="AC1051" s="105"/>
      <c r="AD1051" s="64"/>
      <c r="AG1051" s="45"/>
      <c r="AH1051" s="64"/>
      <c r="AI1051" s="45"/>
      <c r="AJ1051" s="105"/>
      <c r="AK1051" s="105"/>
      <c r="AL1051" s="60"/>
      <c r="AM1051" s="60"/>
      <c r="AN1051" s="60"/>
      <c r="AO1051" s="60"/>
      <c r="AP1051" s="60"/>
      <c r="AQ1051" s="60"/>
      <c r="AR1051" s="60"/>
      <c r="AS1051" s="60"/>
      <c r="AT1051" s="45"/>
      <c r="AU1051" s="45"/>
      <c r="AW1051" s="45"/>
      <c r="AX1051" s="46">
        <f t="shared" si="49"/>
        <v>0</v>
      </c>
      <c r="AY1051" s="46">
        <f t="shared" si="50"/>
        <v>0</v>
      </c>
      <c r="AZ1051" s="46">
        <f t="shared" si="51"/>
        <v>0</v>
      </c>
    </row>
    <row r="1052" spans="3:52">
      <c r="C1052" s="102"/>
      <c r="D1052" s="3"/>
      <c r="F1052" s="3"/>
      <c r="G1052" s="3"/>
      <c r="H1052" s="3"/>
      <c r="J1052" s="3"/>
      <c r="K1052" s="3"/>
      <c r="L1052" s="4"/>
      <c r="M1052" s="3"/>
      <c r="O1052" s="58"/>
      <c r="Q1052" s="64"/>
      <c r="R1052" s="45"/>
      <c r="S1052" s="45"/>
      <c r="U1052" s="64"/>
      <c r="V1052" s="45"/>
      <c r="W1052" s="64"/>
      <c r="X1052" s="64"/>
      <c r="Y1052" s="45"/>
      <c r="Z1052" s="45"/>
      <c r="AA1052" s="105"/>
      <c r="AB1052" s="105"/>
      <c r="AC1052" s="105"/>
      <c r="AD1052" s="64"/>
      <c r="AG1052" s="45"/>
      <c r="AH1052" s="64"/>
      <c r="AI1052" s="45"/>
      <c r="AJ1052" s="105"/>
      <c r="AK1052" s="105"/>
      <c r="AL1052" s="60"/>
      <c r="AM1052" s="60"/>
      <c r="AN1052" s="60"/>
      <c r="AO1052" s="60"/>
      <c r="AP1052" s="60"/>
      <c r="AQ1052" s="60"/>
      <c r="AR1052" s="60"/>
      <c r="AS1052" s="60"/>
      <c r="AT1052" s="45"/>
      <c r="AU1052" s="45"/>
      <c r="AW1052" s="45"/>
      <c r="AX1052" s="46">
        <f t="shared" si="49"/>
        <v>0</v>
      </c>
      <c r="AY1052" s="46">
        <f t="shared" si="50"/>
        <v>0</v>
      </c>
      <c r="AZ1052" s="46">
        <f t="shared" si="51"/>
        <v>0</v>
      </c>
    </row>
    <row r="1053" spans="3:52">
      <c r="C1053" s="102"/>
      <c r="D1053" s="3"/>
      <c r="F1053" s="3"/>
      <c r="G1053" s="3"/>
      <c r="H1053" s="3"/>
      <c r="J1053" s="3"/>
      <c r="K1053" s="3"/>
      <c r="L1053" s="4"/>
      <c r="M1053" s="3"/>
      <c r="O1053" s="58"/>
      <c r="Q1053" s="64"/>
      <c r="R1053" s="45"/>
      <c r="S1053" s="45"/>
      <c r="U1053" s="64"/>
      <c r="V1053" s="45"/>
      <c r="W1053" s="64"/>
      <c r="X1053" s="64"/>
      <c r="Y1053" s="45"/>
      <c r="Z1053" s="45"/>
      <c r="AA1053" s="105"/>
      <c r="AB1053" s="105"/>
      <c r="AC1053" s="105"/>
      <c r="AD1053" s="64"/>
      <c r="AG1053" s="45"/>
      <c r="AH1053" s="64"/>
      <c r="AI1053" s="45"/>
      <c r="AJ1053" s="105"/>
      <c r="AK1053" s="105"/>
      <c r="AL1053" s="60"/>
      <c r="AM1053" s="60"/>
      <c r="AN1053" s="60"/>
      <c r="AO1053" s="60"/>
      <c r="AP1053" s="60"/>
      <c r="AQ1053" s="60"/>
      <c r="AR1053" s="60"/>
      <c r="AS1053" s="60"/>
      <c r="AT1053" s="45"/>
      <c r="AU1053" s="45"/>
      <c r="AW1053" s="45"/>
      <c r="AX1053" s="46">
        <f t="shared" si="49"/>
        <v>0</v>
      </c>
      <c r="AY1053" s="46">
        <f t="shared" si="50"/>
        <v>0</v>
      </c>
      <c r="AZ1053" s="46">
        <f t="shared" si="51"/>
        <v>0</v>
      </c>
    </row>
    <row r="1054" spans="3:52">
      <c r="C1054" s="102"/>
      <c r="D1054" s="3"/>
      <c r="F1054" s="3"/>
      <c r="G1054" s="3"/>
      <c r="H1054" s="3"/>
      <c r="J1054" s="3"/>
      <c r="K1054" s="3"/>
      <c r="L1054" s="4"/>
      <c r="M1054" s="3"/>
      <c r="O1054" s="58"/>
      <c r="Q1054" s="64"/>
      <c r="R1054" s="45"/>
      <c r="S1054" s="45"/>
      <c r="U1054" s="64"/>
      <c r="V1054" s="45"/>
      <c r="W1054" s="64"/>
      <c r="X1054" s="64"/>
      <c r="Y1054" s="45"/>
      <c r="Z1054" s="45"/>
      <c r="AA1054" s="105"/>
      <c r="AB1054" s="105"/>
      <c r="AC1054" s="105"/>
      <c r="AD1054" s="64"/>
      <c r="AH1054" s="64"/>
      <c r="AI1054" s="45"/>
      <c r="AJ1054" s="105"/>
      <c r="AK1054" s="105"/>
      <c r="AL1054" s="60"/>
      <c r="AM1054" s="60"/>
      <c r="AN1054" s="60"/>
      <c r="AO1054" s="60"/>
      <c r="AP1054" s="60"/>
      <c r="AQ1054" s="60"/>
      <c r="AR1054" s="60"/>
      <c r="AS1054" s="60"/>
      <c r="AT1054" s="45"/>
      <c r="AU1054" s="45"/>
      <c r="AW1054" s="45"/>
      <c r="AX1054" s="46">
        <f t="shared" si="49"/>
        <v>0</v>
      </c>
      <c r="AY1054" s="46">
        <f t="shared" si="50"/>
        <v>0</v>
      </c>
      <c r="AZ1054" s="46">
        <f t="shared" si="51"/>
        <v>0</v>
      </c>
    </row>
    <row r="1055" spans="3:52">
      <c r="C1055" s="102"/>
      <c r="D1055" s="3"/>
      <c r="F1055" s="3"/>
      <c r="G1055" s="3"/>
      <c r="H1055" s="3"/>
      <c r="J1055" s="3"/>
      <c r="K1055" s="3"/>
      <c r="L1055" s="4"/>
      <c r="M1055" s="3"/>
      <c r="O1055" s="58"/>
      <c r="Q1055" s="64"/>
      <c r="R1055" s="45"/>
      <c r="S1055" s="45"/>
      <c r="U1055" s="64"/>
      <c r="V1055" s="45"/>
      <c r="W1055" s="64"/>
      <c r="X1055" s="64"/>
      <c r="Y1055" s="45"/>
      <c r="Z1055" s="45"/>
      <c r="AA1055" s="105"/>
      <c r="AB1055" s="105"/>
      <c r="AC1055" s="105"/>
      <c r="AD1055" s="64"/>
      <c r="AH1055" s="64"/>
      <c r="AI1055" s="45"/>
      <c r="AJ1055" s="105"/>
      <c r="AK1055" s="105"/>
      <c r="AL1055" s="60"/>
      <c r="AM1055" s="60"/>
      <c r="AN1055" s="60"/>
      <c r="AO1055" s="60"/>
      <c r="AP1055" s="60"/>
      <c r="AQ1055" s="60"/>
      <c r="AR1055" s="60"/>
      <c r="AS1055" s="60"/>
      <c r="AT1055" s="45"/>
      <c r="AU1055" s="45"/>
      <c r="AW1055" s="45"/>
      <c r="AX1055" s="46">
        <f t="shared" si="49"/>
        <v>0</v>
      </c>
      <c r="AY1055" s="46">
        <f t="shared" si="50"/>
        <v>0</v>
      </c>
      <c r="AZ1055" s="46">
        <f t="shared" si="51"/>
        <v>0</v>
      </c>
    </row>
    <row r="1056" spans="3:52">
      <c r="C1056" s="102"/>
      <c r="D1056" s="3"/>
      <c r="F1056" s="3"/>
      <c r="G1056" s="3"/>
      <c r="H1056" s="3"/>
      <c r="J1056" s="3"/>
      <c r="K1056" s="3"/>
      <c r="L1056" s="4"/>
      <c r="M1056" s="3"/>
      <c r="O1056" s="58"/>
      <c r="Q1056" s="64"/>
      <c r="R1056" s="45"/>
      <c r="S1056" s="45"/>
      <c r="U1056" s="64"/>
      <c r="V1056" s="45"/>
      <c r="W1056" s="64"/>
      <c r="X1056" s="64"/>
      <c r="Y1056" s="45"/>
      <c r="Z1056" s="45"/>
      <c r="AA1056" s="105"/>
      <c r="AB1056" s="105"/>
      <c r="AC1056" s="105"/>
      <c r="AD1056" s="64"/>
      <c r="AH1056" s="64"/>
      <c r="AI1056" s="45"/>
      <c r="AJ1056" s="105"/>
      <c r="AK1056" s="105"/>
      <c r="AL1056" s="60"/>
      <c r="AM1056" s="60"/>
      <c r="AN1056" s="60"/>
      <c r="AO1056" s="60"/>
      <c r="AP1056" s="60"/>
      <c r="AQ1056" s="60"/>
      <c r="AR1056" s="60"/>
      <c r="AS1056" s="60"/>
      <c r="AT1056" s="45"/>
      <c r="AU1056" s="45"/>
      <c r="AW1056" s="45"/>
      <c r="AX1056" s="46">
        <f t="shared" si="49"/>
        <v>0</v>
      </c>
      <c r="AY1056" s="46">
        <f t="shared" si="50"/>
        <v>0</v>
      </c>
      <c r="AZ1056" s="46">
        <f t="shared" si="51"/>
        <v>0</v>
      </c>
    </row>
    <row r="1057" spans="3:52">
      <c r="C1057" s="102"/>
      <c r="D1057" s="3"/>
      <c r="F1057" s="3"/>
      <c r="G1057" s="3"/>
      <c r="H1057" s="3"/>
      <c r="J1057" s="3"/>
      <c r="K1057" s="3"/>
      <c r="L1057" s="4"/>
      <c r="M1057" s="3"/>
      <c r="O1057" s="58"/>
      <c r="Q1057" s="64"/>
      <c r="R1057" s="45"/>
      <c r="S1057" s="45"/>
      <c r="U1057" s="64"/>
      <c r="V1057" s="45"/>
      <c r="W1057" s="64"/>
      <c r="X1057" s="64"/>
      <c r="Y1057" s="45"/>
      <c r="Z1057" s="45"/>
      <c r="AA1057" s="105"/>
      <c r="AB1057" s="105"/>
      <c r="AC1057" s="105"/>
      <c r="AD1057" s="64"/>
      <c r="AH1057" s="64"/>
      <c r="AI1057" s="45"/>
      <c r="AJ1057" s="105"/>
      <c r="AK1057" s="105"/>
      <c r="AL1057" s="60"/>
      <c r="AM1057" s="60"/>
      <c r="AN1057" s="60"/>
      <c r="AO1057" s="60"/>
      <c r="AP1057" s="60"/>
      <c r="AQ1057" s="60"/>
      <c r="AR1057" s="60"/>
      <c r="AS1057" s="60"/>
      <c r="AT1057" s="45"/>
      <c r="AU1057" s="45"/>
      <c r="AW1057" s="45"/>
      <c r="AX1057" s="46">
        <f t="shared" si="49"/>
        <v>0</v>
      </c>
      <c r="AY1057" s="46">
        <f t="shared" si="50"/>
        <v>0</v>
      </c>
      <c r="AZ1057" s="46">
        <f t="shared" si="51"/>
        <v>0</v>
      </c>
    </row>
    <row r="1058" spans="3:52">
      <c r="C1058" s="102"/>
      <c r="D1058" s="3"/>
      <c r="F1058" s="3"/>
      <c r="G1058" s="3"/>
      <c r="H1058" s="3"/>
      <c r="J1058" s="3"/>
      <c r="K1058" s="3"/>
      <c r="L1058" s="4"/>
      <c r="M1058" s="3"/>
      <c r="O1058" s="58"/>
      <c r="Q1058" s="64"/>
      <c r="R1058" s="45"/>
      <c r="S1058" s="45"/>
      <c r="U1058" s="64"/>
      <c r="V1058" s="45"/>
      <c r="W1058" s="64"/>
      <c r="X1058" s="64"/>
      <c r="Y1058" s="45"/>
      <c r="Z1058" s="45"/>
      <c r="AA1058" s="105"/>
      <c r="AB1058" s="105"/>
      <c r="AC1058" s="105"/>
      <c r="AD1058" s="64"/>
      <c r="AH1058" s="64"/>
      <c r="AI1058" s="45"/>
      <c r="AJ1058" s="105"/>
      <c r="AK1058" s="105"/>
      <c r="AL1058" s="60"/>
      <c r="AM1058" s="60"/>
      <c r="AN1058" s="60"/>
      <c r="AO1058" s="60"/>
      <c r="AP1058" s="60"/>
      <c r="AQ1058" s="60"/>
      <c r="AR1058" s="60"/>
      <c r="AS1058" s="60"/>
      <c r="AT1058" s="45"/>
      <c r="AU1058" s="45"/>
      <c r="AW1058" s="45"/>
      <c r="AX1058" s="46">
        <f t="shared" si="49"/>
        <v>0</v>
      </c>
      <c r="AY1058" s="46">
        <f t="shared" si="50"/>
        <v>0</v>
      </c>
      <c r="AZ1058" s="46">
        <f t="shared" si="51"/>
        <v>0</v>
      </c>
    </row>
    <row r="1059" spans="3:52">
      <c r="C1059" s="102"/>
      <c r="D1059" s="3"/>
      <c r="F1059" s="3"/>
      <c r="G1059" s="3"/>
      <c r="H1059" s="3"/>
      <c r="J1059" s="3"/>
      <c r="K1059" s="3"/>
      <c r="L1059" s="4"/>
      <c r="M1059" s="3"/>
      <c r="O1059" s="58"/>
      <c r="Q1059" s="64"/>
      <c r="R1059" s="45"/>
      <c r="S1059" s="45"/>
      <c r="U1059" s="64"/>
      <c r="V1059" s="45"/>
      <c r="W1059" s="64"/>
      <c r="X1059" s="64"/>
      <c r="Y1059" s="45"/>
      <c r="Z1059" s="45"/>
      <c r="AA1059" s="105"/>
      <c r="AB1059" s="105"/>
      <c r="AC1059" s="105"/>
      <c r="AD1059" s="64"/>
      <c r="AG1059" s="45"/>
      <c r="AH1059" s="64"/>
      <c r="AI1059" s="45"/>
      <c r="AJ1059" s="105"/>
      <c r="AK1059" s="105"/>
      <c r="AL1059" s="60"/>
      <c r="AM1059" s="60"/>
      <c r="AN1059" s="60"/>
      <c r="AO1059" s="60"/>
      <c r="AP1059" s="60"/>
      <c r="AQ1059" s="60"/>
      <c r="AR1059" s="60"/>
      <c r="AS1059" s="60"/>
      <c r="AT1059" s="45"/>
      <c r="AU1059" s="45"/>
      <c r="AW1059" s="45"/>
      <c r="AX1059" s="46">
        <f t="shared" si="49"/>
        <v>0</v>
      </c>
      <c r="AY1059" s="46">
        <f t="shared" si="50"/>
        <v>0</v>
      </c>
      <c r="AZ1059" s="46">
        <f t="shared" si="51"/>
        <v>0</v>
      </c>
    </row>
    <row r="1060" spans="3:52">
      <c r="C1060" s="102"/>
      <c r="D1060" s="3"/>
      <c r="F1060" s="3"/>
      <c r="G1060" s="3"/>
      <c r="H1060" s="3"/>
      <c r="J1060" s="3"/>
      <c r="K1060" s="3"/>
      <c r="L1060" s="4"/>
      <c r="M1060" s="3"/>
      <c r="O1060" s="58"/>
      <c r="Q1060" s="64"/>
      <c r="R1060" s="45"/>
      <c r="S1060" s="45"/>
      <c r="U1060" s="64"/>
      <c r="V1060" s="45"/>
      <c r="W1060" s="64"/>
      <c r="X1060" s="64"/>
      <c r="Y1060" s="45"/>
      <c r="Z1060" s="45"/>
      <c r="AA1060" s="105"/>
      <c r="AB1060" s="105"/>
      <c r="AC1060" s="105"/>
      <c r="AD1060" s="64"/>
      <c r="AG1060" s="45"/>
      <c r="AH1060" s="64"/>
      <c r="AI1060" s="45"/>
      <c r="AJ1060" s="105"/>
      <c r="AK1060" s="105"/>
      <c r="AL1060" s="60"/>
      <c r="AM1060" s="60"/>
      <c r="AN1060" s="60"/>
      <c r="AO1060" s="60"/>
      <c r="AP1060" s="60"/>
      <c r="AQ1060" s="60"/>
      <c r="AR1060" s="60"/>
      <c r="AS1060" s="60"/>
      <c r="AT1060" s="45"/>
      <c r="AU1060" s="45"/>
      <c r="AW1060" s="45"/>
      <c r="AX1060" s="46">
        <f t="shared" si="49"/>
        <v>0</v>
      </c>
      <c r="AY1060" s="46">
        <f t="shared" si="50"/>
        <v>0</v>
      </c>
      <c r="AZ1060" s="46">
        <f t="shared" si="51"/>
        <v>0</v>
      </c>
    </row>
    <row r="1061" spans="3:52">
      <c r="C1061" s="102"/>
      <c r="D1061" s="3"/>
      <c r="F1061" s="3"/>
      <c r="G1061" s="3"/>
      <c r="H1061" s="3"/>
      <c r="J1061" s="3"/>
      <c r="K1061" s="3"/>
      <c r="L1061" s="4"/>
      <c r="M1061" s="3"/>
      <c r="O1061" s="58"/>
      <c r="Q1061" s="64"/>
      <c r="R1061" s="45"/>
      <c r="S1061" s="45"/>
      <c r="U1061" s="64"/>
      <c r="V1061" s="45"/>
      <c r="W1061" s="64"/>
      <c r="X1061" s="64"/>
      <c r="Y1061" s="45"/>
      <c r="Z1061" s="45"/>
      <c r="AA1061" s="105"/>
      <c r="AB1061" s="105"/>
      <c r="AC1061" s="105"/>
      <c r="AD1061" s="64"/>
      <c r="AG1061" s="45"/>
      <c r="AH1061" s="64"/>
      <c r="AI1061" s="45"/>
      <c r="AJ1061" s="105"/>
      <c r="AK1061" s="105"/>
      <c r="AL1061" s="60"/>
      <c r="AM1061" s="60"/>
      <c r="AN1061" s="60"/>
      <c r="AO1061" s="60"/>
      <c r="AP1061" s="60"/>
      <c r="AQ1061" s="60"/>
      <c r="AR1061" s="60"/>
      <c r="AS1061" s="60"/>
      <c r="AT1061" s="45"/>
      <c r="AU1061" s="45"/>
      <c r="AW1061" s="45"/>
      <c r="AX1061" s="46">
        <f t="shared" si="49"/>
        <v>0</v>
      </c>
      <c r="AY1061" s="46">
        <f t="shared" si="50"/>
        <v>0</v>
      </c>
      <c r="AZ1061" s="46">
        <f t="shared" si="51"/>
        <v>0</v>
      </c>
    </row>
    <row r="1062" spans="3:52">
      <c r="C1062" s="102"/>
      <c r="D1062" s="3"/>
      <c r="F1062" s="3"/>
      <c r="G1062" s="3"/>
      <c r="H1062" s="3"/>
      <c r="J1062" s="3"/>
      <c r="K1062" s="3"/>
      <c r="L1062" s="4"/>
      <c r="M1062" s="3"/>
      <c r="O1062" s="58"/>
      <c r="Q1062" s="64"/>
      <c r="R1062" s="45"/>
      <c r="S1062" s="45"/>
      <c r="U1062" s="64"/>
      <c r="V1062" s="45"/>
      <c r="W1062" s="64"/>
      <c r="X1062" s="64"/>
      <c r="Y1062" s="45"/>
      <c r="Z1062" s="45"/>
      <c r="AA1062" s="105"/>
      <c r="AB1062" s="105"/>
      <c r="AC1062" s="105"/>
      <c r="AD1062" s="64"/>
      <c r="AG1062" s="45"/>
      <c r="AH1062" s="64"/>
      <c r="AI1062" s="45"/>
      <c r="AJ1062" s="105"/>
      <c r="AK1062" s="105"/>
      <c r="AL1062" s="60"/>
      <c r="AM1062" s="60"/>
      <c r="AN1062" s="60"/>
      <c r="AO1062" s="60"/>
      <c r="AP1062" s="60"/>
      <c r="AQ1062" s="60"/>
      <c r="AR1062" s="60"/>
      <c r="AS1062" s="60"/>
      <c r="AT1062" s="45"/>
      <c r="AU1062" s="45"/>
      <c r="AW1062" s="45"/>
      <c r="AX1062" s="46">
        <f t="shared" si="49"/>
        <v>0</v>
      </c>
      <c r="AY1062" s="46">
        <f t="shared" si="50"/>
        <v>0</v>
      </c>
      <c r="AZ1062" s="46">
        <f t="shared" si="51"/>
        <v>0</v>
      </c>
    </row>
    <row r="1063" spans="3:52">
      <c r="C1063" s="102"/>
      <c r="D1063" s="3"/>
      <c r="F1063" s="3"/>
      <c r="G1063" s="3"/>
      <c r="H1063" s="3"/>
      <c r="J1063" s="3"/>
      <c r="K1063" s="3"/>
      <c r="L1063" s="4"/>
      <c r="M1063" s="3"/>
      <c r="O1063" s="58"/>
      <c r="Q1063" s="64"/>
      <c r="R1063" s="45"/>
      <c r="S1063" s="45"/>
      <c r="U1063" s="64"/>
      <c r="V1063" s="45"/>
      <c r="W1063" s="64"/>
      <c r="X1063" s="64"/>
      <c r="Y1063" s="45"/>
      <c r="Z1063" s="45"/>
      <c r="AA1063" s="105"/>
      <c r="AB1063" s="105"/>
      <c r="AC1063" s="105"/>
      <c r="AD1063" s="64"/>
      <c r="AH1063" s="64"/>
      <c r="AI1063" s="45"/>
      <c r="AJ1063" s="105"/>
      <c r="AK1063" s="105"/>
      <c r="AL1063" s="60"/>
      <c r="AM1063" s="60"/>
      <c r="AN1063" s="60"/>
      <c r="AO1063" s="60"/>
      <c r="AP1063" s="60"/>
      <c r="AQ1063" s="60"/>
      <c r="AR1063" s="60"/>
      <c r="AS1063" s="60"/>
      <c r="AT1063" s="45"/>
      <c r="AU1063" s="45"/>
      <c r="AW1063" s="45"/>
      <c r="AX1063" s="46">
        <f t="shared" si="49"/>
        <v>0</v>
      </c>
      <c r="AY1063" s="46">
        <f t="shared" si="50"/>
        <v>0</v>
      </c>
      <c r="AZ1063" s="46">
        <f t="shared" si="51"/>
        <v>0</v>
      </c>
    </row>
    <row r="1064" spans="3:52">
      <c r="C1064" s="102"/>
      <c r="D1064" s="3"/>
      <c r="F1064" s="3"/>
      <c r="G1064" s="3"/>
      <c r="H1064" s="3"/>
      <c r="J1064" s="3"/>
      <c r="K1064" s="3"/>
      <c r="L1064" s="4"/>
      <c r="M1064" s="3"/>
      <c r="O1064" s="58"/>
      <c r="Q1064" s="64"/>
      <c r="R1064" s="45"/>
      <c r="S1064" s="45"/>
      <c r="U1064" s="64"/>
      <c r="V1064" s="45"/>
      <c r="W1064" s="64"/>
      <c r="X1064" s="64"/>
      <c r="Y1064" s="45"/>
      <c r="Z1064" s="45"/>
      <c r="AA1064" s="105"/>
      <c r="AB1064" s="105"/>
      <c r="AC1064" s="105"/>
      <c r="AD1064" s="64"/>
      <c r="AH1064" s="64"/>
      <c r="AI1064" s="45"/>
      <c r="AJ1064" s="105"/>
      <c r="AK1064" s="105"/>
      <c r="AL1064" s="60"/>
      <c r="AM1064" s="60"/>
      <c r="AN1064" s="60"/>
      <c r="AO1064" s="60"/>
      <c r="AP1064" s="60"/>
      <c r="AQ1064" s="60"/>
      <c r="AR1064" s="60"/>
      <c r="AS1064" s="60"/>
      <c r="AT1064" s="45"/>
      <c r="AU1064" s="45"/>
      <c r="AW1064" s="45"/>
      <c r="AX1064" s="46">
        <f t="shared" si="49"/>
        <v>0</v>
      </c>
      <c r="AY1064" s="46">
        <f t="shared" si="50"/>
        <v>0</v>
      </c>
      <c r="AZ1064" s="46">
        <f t="shared" si="51"/>
        <v>0</v>
      </c>
    </row>
    <row r="1065" spans="3:52">
      <c r="C1065" s="102"/>
      <c r="D1065" s="3"/>
      <c r="F1065" s="3"/>
      <c r="G1065" s="3"/>
      <c r="H1065" s="3"/>
      <c r="J1065" s="3"/>
      <c r="K1065" s="3"/>
      <c r="L1065" s="4"/>
      <c r="M1065" s="3"/>
      <c r="O1065" s="58"/>
      <c r="Q1065" s="64"/>
      <c r="R1065" s="45"/>
      <c r="S1065" s="45"/>
      <c r="U1065" s="64"/>
      <c r="V1065" s="45"/>
      <c r="W1065" s="64"/>
      <c r="X1065" s="64"/>
      <c r="Y1065" s="45"/>
      <c r="Z1065" s="45"/>
      <c r="AA1065" s="105"/>
      <c r="AB1065" s="105"/>
      <c r="AC1065" s="105"/>
      <c r="AD1065" s="64"/>
      <c r="AH1065" s="64"/>
      <c r="AI1065" s="45"/>
      <c r="AJ1065" s="105"/>
      <c r="AK1065" s="105"/>
      <c r="AL1065" s="60"/>
      <c r="AM1065" s="60"/>
      <c r="AN1065" s="60"/>
      <c r="AO1065" s="60"/>
      <c r="AP1065" s="60"/>
      <c r="AQ1065" s="60"/>
      <c r="AR1065" s="60"/>
      <c r="AS1065" s="60"/>
      <c r="AT1065" s="45"/>
      <c r="AU1065" s="45"/>
      <c r="AW1065" s="45"/>
      <c r="AX1065" s="46">
        <f t="shared" si="49"/>
        <v>0</v>
      </c>
      <c r="AY1065" s="46">
        <f t="shared" si="50"/>
        <v>0</v>
      </c>
      <c r="AZ1065" s="46">
        <f t="shared" si="51"/>
        <v>0</v>
      </c>
    </row>
    <row r="1066" spans="3:52">
      <c r="C1066" s="102"/>
      <c r="D1066" s="3"/>
      <c r="F1066" s="3"/>
      <c r="G1066" s="3"/>
      <c r="H1066" s="3"/>
      <c r="J1066" s="3"/>
      <c r="K1066" s="3"/>
      <c r="L1066" s="4"/>
      <c r="M1066" s="3"/>
      <c r="O1066" s="58"/>
      <c r="Q1066" s="64"/>
      <c r="R1066" s="45"/>
      <c r="S1066" s="45"/>
      <c r="U1066" s="64"/>
      <c r="V1066" s="45"/>
      <c r="W1066" s="64"/>
      <c r="X1066" s="64"/>
      <c r="Y1066" s="45"/>
      <c r="Z1066" s="45"/>
      <c r="AA1066" s="105"/>
      <c r="AB1066" s="105"/>
      <c r="AC1066" s="105"/>
      <c r="AD1066" s="64"/>
      <c r="AH1066" s="64"/>
      <c r="AI1066" s="45"/>
      <c r="AJ1066" s="105"/>
      <c r="AK1066" s="105"/>
      <c r="AL1066" s="60"/>
      <c r="AM1066" s="60"/>
      <c r="AN1066" s="60"/>
      <c r="AO1066" s="60"/>
      <c r="AP1066" s="60"/>
      <c r="AQ1066" s="60"/>
      <c r="AR1066" s="60"/>
      <c r="AS1066" s="60"/>
      <c r="AT1066" s="45"/>
      <c r="AU1066" s="45"/>
      <c r="AW1066" s="45"/>
      <c r="AX1066" s="46">
        <f t="shared" si="49"/>
        <v>0</v>
      </c>
      <c r="AY1066" s="46">
        <f t="shared" si="50"/>
        <v>0</v>
      </c>
      <c r="AZ1066" s="46">
        <f t="shared" si="51"/>
        <v>0</v>
      </c>
    </row>
    <row r="1067" spans="3:52">
      <c r="C1067" s="102"/>
      <c r="D1067" s="3"/>
      <c r="F1067" s="3"/>
      <c r="G1067" s="3"/>
      <c r="H1067" s="3"/>
      <c r="J1067" s="3"/>
      <c r="K1067" s="3"/>
      <c r="L1067" s="4"/>
      <c r="M1067" s="3"/>
      <c r="O1067" s="58"/>
      <c r="Q1067" s="64"/>
      <c r="R1067" s="45"/>
      <c r="S1067" s="45"/>
      <c r="U1067" s="64"/>
      <c r="V1067" s="45"/>
      <c r="W1067" s="64"/>
      <c r="X1067" s="64"/>
      <c r="Y1067" s="45"/>
      <c r="Z1067" s="45"/>
      <c r="AA1067" s="105"/>
      <c r="AB1067" s="105"/>
      <c r="AC1067" s="105"/>
      <c r="AD1067" s="64"/>
      <c r="AG1067" s="45"/>
      <c r="AH1067" s="64"/>
      <c r="AI1067" s="45"/>
      <c r="AJ1067" s="105"/>
      <c r="AK1067" s="105"/>
      <c r="AL1067" s="60"/>
      <c r="AM1067" s="60"/>
      <c r="AN1067" s="60"/>
      <c r="AO1067" s="60"/>
      <c r="AP1067" s="60"/>
      <c r="AQ1067" s="60"/>
      <c r="AR1067" s="60"/>
      <c r="AS1067" s="60"/>
      <c r="AT1067" s="45"/>
      <c r="AU1067" s="45"/>
      <c r="AW1067" s="45"/>
      <c r="AX1067" s="46">
        <f t="shared" si="49"/>
        <v>0</v>
      </c>
      <c r="AY1067" s="46">
        <f t="shared" si="50"/>
        <v>0</v>
      </c>
      <c r="AZ1067" s="46">
        <f t="shared" si="51"/>
        <v>0</v>
      </c>
    </row>
    <row r="1068" spans="3:52">
      <c r="C1068" s="102"/>
      <c r="D1068" s="3"/>
      <c r="F1068" s="3"/>
      <c r="G1068" s="3"/>
      <c r="H1068" s="3"/>
      <c r="J1068" s="3"/>
      <c r="K1068" s="3"/>
      <c r="L1068" s="4"/>
      <c r="M1068" s="3"/>
      <c r="O1068" s="58"/>
      <c r="Q1068" s="64"/>
      <c r="R1068" s="45"/>
      <c r="S1068" s="45"/>
      <c r="U1068" s="64"/>
      <c r="V1068" s="45"/>
      <c r="W1068" s="64"/>
      <c r="X1068" s="64"/>
      <c r="Y1068" s="45"/>
      <c r="Z1068" s="45"/>
      <c r="AA1068" s="105"/>
      <c r="AB1068" s="105"/>
      <c r="AC1068" s="105"/>
      <c r="AD1068" s="64"/>
      <c r="AH1068" s="64"/>
      <c r="AI1068" s="45"/>
      <c r="AJ1068" s="105"/>
      <c r="AK1068" s="105"/>
      <c r="AL1068" s="60"/>
      <c r="AM1068" s="60"/>
      <c r="AN1068" s="60"/>
      <c r="AO1068" s="60"/>
      <c r="AP1068" s="60"/>
      <c r="AQ1068" s="60"/>
      <c r="AR1068" s="60"/>
      <c r="AS1068" s="60"/>
      <c r="AT1068" s="45"/>
      <c r="AU1068" s="45"/>
      <c r="AW1068" s="45"/>
      <c r="AX1068" s="46">
        <f t="shared" si="49"/>
        <v>0</v>
      </c>
      <c r="AY1068" s="46">
        <f t="shared" si="50"/>
        <v>0</v>
      </c>
      <c r="AZ1068" s="46">
        <f t="shared" si="51"/>
        <v>0</v>
      </c>
    </row>
    <row r="1069" spans="3:52">
      <c r="C1069" s="102"/>
      <c r="D1069" s="3"/>
      <c r="F1069" s="3"/>
      <c r="G1069" s="3"/>
      <c r="H1069" s="3"/>
      <c r="J1069" s="3"/>
      <c r="K1069" s="3"/>
      <c r="L1069" s="4"/>
      <c r="M1069" s="3"/>
      <c r="O1069" s="58"/>
      <c r="Q1069" s="64"/>
      <c r="R1069" s="45"/>
      <c r="S1069" s="45"/>
      <c r="U1069" s="64"/>
      <c r="V1069" s="45"/>
      <c r="W1069" s="64"/>
      <c r="X1069" s="64"/>
      <c r="Y1069" s="45"/>
      <c r="Z1069" s="45"/>
      <c r="AA1069" s="105"/>
      <c r="AB1069" s="105"/>
      <c r="AC1069" s="105"/>
      <c r="AD1069" s="64"/>
      <c r="AH1069" s="64"/>
      <c r="AI1069" s="45"/>
      <c r="AJ1069" s="105"/>
      <c r="AK1069" s="105"/>
      <c r="AL1069" s="60"/>
      <c r="AM1069" s="60"/>
      <c r="AN1069" s="60"/>
      <c r="AO1069" s="60"/>
      <c r="AP1069" s="60"/>
      <c r="AQ1069" s="60"/>
      <c r="AR1069" s="60"/>
      <c r="AS1069" s="60"/>
      <c r="AT1069" s="45"/>
      <c r="AU1069" s="45"/>
      <c r="AW1069" s="45"/>
      <c r="AX1069" s="46">
        <f t="shared" si="49"/>
        <v>0</v>
      </c>
      <c r="AY1069" s="46">
        <f t="shared" si="50"/>
        <v>0</v>
      </c>
      <c r="AZ1069" s="46">
        <f t="shared" si="51"/>
        <v>0</v>
      </c>
    </row>
    <row r="1070" spans="3:52">
      <c r="C1070" s="102"/>
      <c r="D1070" s="3"/>
      <c r="F1070" s="3"/>
      <c r="G1070" s="3"/>
      <c r="H1070" s="3"/>
      <c r="J1070" s="3"/>
      <c r="K1070" s="3"/>
      <c r="L1070" s="4"/>
      <c r="M1070" s="3"/>
      <c r="O1070" s="58"/>
      <c r="Q1070" s="64"/>
      <c r="R1070" s="45"/>
      <c r="S1070" s="45"/>
      <c r="U1070" s="64"/>
      <c r="V1070" s="45"/>
      <c r="W1070" s="64"/>
      <c r="X1070" s="64"/>
      <c r="Y1070" s="45"/>
      <c r="Z1070" s="45"/>
      <c r="AA1070" s="105"/>
      <c r="AB1070" s="105"/>
      <c r="AC1070" s="105"/>
      <c r="AD1070" s="64"/>
      <c r="AH1070" s="64"/>
      <c r="AI1070" s="45"/>
      <c r="AJ1070" s="105"/>
      <c r="AK1070" s="105"/>
      <c r="AL1070" s="60"/>
      <c r="AM1070" s="60"/>
      <c r="AN1070" s="60"/>
      <c r="AO1070" s="60"/>
      <c r="AP1070" s="60"/>
      <c r="AQ1070" s="60"/>
      <c r="AR1070" s="60"/>
      <c r="AS1070" s="60"/>
      <c r="AT1070" s="45"/>
      <c r="AU1070" s="45"/>
      <c r="AW1070" s="45"/>
      <c r="AX1070" s="46">
        <f t="shared" si="49"/>
        <v>0</v>
      </c>
      <c r="AY1070" s="46">
        <f t="shared" si="50"/>
        <v>0</v>
      </c>
      <c r="AZ1070" s="46">
        <f t="shared" si="51"/>
        <v>0</v>
      </c>
    </row>
    <row r="1071" spans="3:52">
      <c r="C1071" s="102"/>
      <c r="D1071" s="3"/>
      <c r="F1071" s="3"/>
      <c r="G1071" s="3"/>
      <c r="H1071" s="3"/>
      <c r="J1071" s="3"/>
      <c r="K1071" s="3"/>
      <c r="L1071" s="4"/>
      <c r="M1071" s="3"/>
      <c r="O1071" s="58"/>
      <c r="Q1071" s="64"/>
      <c r="R1071" s="45"/>
      <c r="S1071" s="45"/>
      <c r="U1071" s="64"/>
      <c r="V1071" s="45"/>
      <c r="W1071" s="64"/>
      <c r="X1071" s="64"/>
      <c r="Y1071" s="45"/>
      <c r="Z1071" s="45"/>
      <c r="AA1071" s="105"/>
      <c r="AB1071" s="105"/>
      <c r="AC1071" s="105"/>
      <c r="AD1071" s="64"/>
      <c r="AG1071" s="45"/>
      <c r="AH1071" s="64"/>
      <c r="AI1071" s="45"/>
      <c r="AJ1071" s="105"/>
      <c r="AK1071" s="105"/>
      <c r="AL1071" s="60"/>
      <c r="AM1071" s="60"/>
      <c r="AN1071" s="60"/>
      <c r="AO1071" s="60"/>
      <c r="AP1071" s="60"/>
      <c r="AQ1071" s="60"/>
      <c r="AR1071" s="60"/>
      <c r="AS1071" s="60"/>
      <c r="AT1071" s="45"/>
      <c r="AU1071" s="45"/>
      <c r="AW1071" s="45"/>
      <c r="AX1071" s="46">
        <f t="shared" si="49"/>
        <v>0</v>
      </c>
      <c r="AY1071" s="46">
        <f t="shared" si="50"/>
        <v>0</v>
      </c>
      <c r="AZ1071" s="46">
        <f t="shared" si="51"/>
        <v>0</v>
      </c>
    </row>
    <row r="1072" spans="3:52">
      <c r="C1072" s="102"/>
      <c r="D1072" s="3"/>
      <c r="F1072" s="3"/>
      <c r="G1072" s="3"/>
      <c r="H1072" s="3"/>
      <c r="J1072" s="3"/>
      <c r="K1072" s="3"/>
      <c r="L1072" s="4"/>
      <c r="M1072" s="3"/>
      <c r="O1072" s="58"/>
      <c r="Q1072" s="64"/>
      <c r="R1072" s="45"/>
      <c r="S1072" s="45"/>
      <c r="U1072" s="64"/>
      <c r="V1072" s="45"/>
      <c r="W1072" s="64"/>
      <c r="X1072" s="64"/>
      <c r="Y1072" s="45"/>
      <c r="Z1072" s="45"/>
      <c r="AA1072" s="105"/>
      <c r="AB1072" s="105"/>
      <c r="AC1072" s="105"/>
      <c r="AD1072" s="64"/>
      <c r="AG1072" s="45"/>
      <c r="AH1072" s="64"/>
      <c r="AI1072" s="45"/>
      <c r="AJ1072" s="105"/>
      <c r="AK1072" s="105"/>
      <c r="AL1072" s="60"/>
      <c r="AM1072" s="60"/>
      <c r="AN1072" s="60"/>
      <c r="AO1072" s="60"/>
      <c r="AP1072" s="60"/>
      <c r="AQ1072" s="60"/>
      <c r="AR1072" s="60"/>
      <c r="AS1072" s="60"/>
      <c r="AT1072" s="45"/>
      <c r="AU1072" s="45"/>
      <c r="AW1072" s="45"/>
      <c r="AX1072" s="46">
        <f t="shared" si="49"/>
        <v>0</v>
      </c>
      <c r="AY1072" s="46">
        <f t="shared" si="50"/>
        <v>0</v>
      </c>
      <c r="AZ1072" s="46">
        <f t="shared" si="51"/>
        <v>0</v>
      </c>
    </row>
    <row r="1073" spans="3:52">
      <c r="C1073" s="102"/>
      <c r="D1073" s="3"/>
      <c r="F1073" s="3"/>
      <c r="G1073" s="3"/>
      <c r="H1073" s="3"/>
      <c r="J1073" s="3"/>
      <c r="K1073" s="3"/>
      <c r="L1073" s="4"/>
      <c r="M1073" s="3"/>
      <c r="O1073" s="58"/>
      <c r="Q1073" s="64"/>
      <c r="R1073" s="45"/>
      <c r="S1073" s="45"/>
      <c r="U1073" s="64"/>
      <c r="V1073" s="45"/>
      <c r="W1073" s="64"/>
      <c r="X1073" s="64"/>
      <c r="Y1073" s="45"/>
      <c r="Z1073" s="45"/>
      <c r="AA1073" s="105"/>
      <c r="AB1073" s="105"/>
      <c r="AC1073" s="105"/>
      <c r="AD1073" s="64"/>
      <c r="AG1073" s="45"/>
      <c r="AH1073" s="64"/>
      <c r="AI1073" s="45"/>
      <c r="AJ1073" s="105"/>
      <c r="AK1073" s="105"/>
      <c r="AL1073" s="60"/>
      <c r="AM1073" s="60"/>
      <c r="AN1073" s="60"/>
      <c r="AO1073" s="60"/>
      <c r="AP1073" s="60"/>
      <c r="AQ1073" s="60"/>
      <c r="AR1073" s="60"/>
      <c r="AS1073" s="60"/>
      <c r="AT1073" s="45"/>
      <c r="AU1073" s="45"/>
      <c r="AW1073" s="45"/>
      <c r="AX1073" s="46">
        <f t="shared" si="49"/>
        <v>0</v>
      </c>
      <c r="AY1073" s="46">
        <f t="shared" si="50"/>
        <v>0</v>
      </c>
      <c r="AZ1073" s="46">
        <f t="shared" si="51"/>
        <v>0</v>
      </c>
    </row>
    <row r="1074" spans="3:52">
      <c r="C1074" s="102"/>
      <c r="D1074" s="3"/>
      <c r="F1074" s="3"/>
      <c r="G1074" s="3"/>
      <c r="H1074" s="3"/>
      <c r="J1074" s="3"/>
      <c r="K1074" s="3"/>
      <c r="L1074" s="4"/>
      <c r="M1074" s="3"/>
      <c r="O1074" s="58"/>
      <c r="Q1074" s="64"/>
      <c r="R1074" s="45"/>
      <c r="S1074" s="45"/>
      <c r="U1074" s="64"/>
      <c r="V1074" s="45"/>
      <c r="W1074" s="64"/>
      <c r="X1074" s="64"/>
      <c r="Y1074" s="45"/>
      <c r="Z1074" s="45"/>
      <c r="AA1074" s="105"/>
      <c r="AB1074" s="105"/>
      <c r="AC1074" s="105"/>
      <c r="AD1074" s="64"/>
      <c r="AG1074" s="45"/>
      <c r="AH1074" s="64"/>
      <c r="AI1074" s="45"/>
      <c r="AJ1074" s="105"/>
      <c r="AK1074" s="105"/>
      <c r="AL1074" s="60"/>
      <c r="AM1074" s="60"/>
      <c r="AN1074" s="60"/>
      <c r="AO1074" s="60"/>
      <c r="AP1074" s="60"/>
      <c r="AQ1074" s="60"/>
      <c r="AR1074" s="60"/>
      <c r="AS1074" s="60"/>
      <c r="AT1074" s="45"/>
      <c r="AU1074" s="45"/>
      <c r="AW1074" s="45"/>
      <c r="AX1074" s="46">
        <f t="shared" si="49"/>
        <v>0</v>
      </c>
      <c r="AY1074" s="46">
        <f t="shared" si="50"/>
        <v>0</v>
      </c>
      <c r="AZ1074" s="46">
        <f t="shared" si="51"/>
        <v>0</v>
      </c>
    </row>
    <row r="1075" spans="3:52">
      <c r="C1075" s="102"/>
      <c r="D1075" s="3"/>
      <c r="F1075" s="3"/>
      <c r="G1075" s="3"/>
      <c r="H1075" s="3"/>
      <c r="J1075" s="3"/>
      <c r="K1075" s="3"/>
      <c r="L1075" s="4"/>
      <c r="M1075" s="3"/>
      <c r="O1075" s="58"/>
      <c r="Q1075" s="64"/>
      <c r="R1075" s="45"/>
      <c r="S1075" s="45"/>
      <c r="U1075" s="64"/>
      <c r="V1075" s="45"/>
      <c r="W1075" s="64"/>
      <c r="X1075" s="64"/>
      <c r="Y1075" s="45"/>
      <c r="Z1075" s="45"/>
      <c r="AA1075" s="105"/>
      <c r="AB1075" s="105"/>
      <c r="AC1075" s="105"/>
      <c r="AD1075" s="64"/>
      <c r="AG1075" s="45"/>
      <c r="AH1075" s="64"/>
      <c r="AI1075" s="45"/>
      <c r="AJ1075" s="105"/>
      <c r="AK1075" s="105"/>
      <c r="AL1075" s="60"/>
      <c r="AM1075" s="60"/>
      <c r="AN1075" s="60"/>
      <c r="AO1075" s="60"/>
      <c r="AP1075" s="60"/>
      <c r="AQ1075" s="60"/>
      <c r="AR1075" s="60"/>
      <c r="AS1075" s="60"/>
      <c r="AT1075" s="45"/>
      <c r="AU1075" s="45"/>
      <c r="AW1075" s="45"/>
      <c r="AX1075" s="46">
        <f t="shared" si="49"/>
        <v>0</v>
      </c>
      <c r="AY1075" s="46">
        <f t="shared" si="50"/>
        <v>0</v>
      </c>
      <c r="AZ1075" s="46">
        <f t="shared" si="51"/>
        <v>0</v>
      </c>
    </row>
    <row r="1076" spans="3:52">
      <c r="C1076" s="102"/>
      <c r="D1076" s="3"/>
      <c r="F1076" s="3"/>
      <c r="G1076" s="3"/>
      <c r="H1076" s="3"/>
      <c r="J1076" s="3"/>
      <c r="K1076" s="3"/>
      <c r="L1076" s="4"/>
      <c r="M1076" s="3"/>
      <c r="O1076" s="58"/>
      <c r="Q1076" s="64"/>
      <c r="R1076" s="45"/>
      <c r="S1076" s="45"/>
      <c r="U1076" s="64"/>
      <c r="V1076" s="45"/>
      <c r="W1076" s="64"/>
      <c r="X1076" s="64"/>
      <c r="Y1076" s="45"/>
      <c r="Z1076" s="45"/>
      <c r="AA1076" s="105"/>
      <c r="AB1076" s="105"/>
      <c r="AC1076" s="105"/>
      <c r="AD1076" s="64"/>
      <c r="AG1076" s="45"/>
      <c r="AH1076" s="64"/>
      <c r="AI1076" s="45"/>
      <c r="AJ1076" s="105"/>
      <c r="AK1076" s="105"/>
      <c r="AL1076" s="60"/>
      <c r="AM1076" s="60"/>
      <c r="AN1076" s="60"/>
      <c r="AO1076" s="60"/>
      <c r="AP1076" s="60"/>
      <c r="AQ1076" s="60"/>
      <c r="AR1076" s="60"/>
      <c r="AS1076" s="60"/>
      <c r="AT1076" s="45"/>
      <c r="AU1076" s="45"/>
      <c r="AW1076" s="45"/>
      <c r="AX1076" s="46">
        <f t="shared" si="49"/>
        <v>0</v>
      </c>
      <c r="AY1076" s="46">
        <f t="shared" si="50"/>
        <v>0</v>
      </c>
      <c r="AZ1076" s="46">
        <f t="shared" si="51"/>
        <v>0</v>
      </c>
    </row>
    <row r="1077" spans="3:52">
      <c r="C1077" s="102"/>
      <c r="D1077" s="3"/>
      <c r="F1077" s="3"/>
      <c r="G1077" s="3"/>
      <c r="H1077" s="3"/>
      <c r="J1077" s="3"/>
      <c r="K1077" s="3"/>
      <c r="L1077" s="4"/>
      <c r="M1077" s="3"/>
      <c r="O1077" s="58"/>
      <c r="Q1077" s="64"/>
      <c r="R1077" s="45"/>
      <c r="S1077" s="45"/>
      <c r="U1077" s="64"/>
      <c r="V1077" s="45"/>
      <c r="W1077" s="64"/>
      <c r="X1077" s="64"/>
      <c r="Y1077" s="45"/>
      <c r="Z1077" s="45"/>
      <c r="AA1077" s="105"/>
      <c r="AB1077" s="105"/>
      <c r="AC1077" s="105"/>
      <c r="AD1077" s="64"/>
      <c r="AG1077" s="45"/>
      <c r="AH1077" s="64"/>
      <c r="AI1077" s="45"/>
      <c r="AJ1077" s="105"/>
      <c r="AK1077" s="105"/>
      <c r="AL1077" s="60"/>
      <c r="AM1077" s="60"/>
      <c r="AN1077" s="60"/>
      <c r="AO1077" s="60"/>
      <c r="AP1077" s="60"/>
      <c r="AQ1077" s="60"/>
      <c r="AR1077" s="60"/>
      <c r="AS1077" s="60"/>
      <c r="AT1077" s="45"/>
      <c r="AU1077" s="45"/>
      <c r="AW1077" s="45"/>
      <c r="AX1077" s="46">
        <f t="shared" si="49"/>
        <v>0</v>
      </c>
      <c r="AY1077" s="46">
        <f t="shared" si="50"/>
        <v>0</v>
      </c>
      <c r="AZ1077" s="46">
        <f t="shared" si="51"/>
        <v>0</v>
      </c>
    </row>
    <row r="1078" spans="3:52">
      <c r="C1078" s="102"/>
      <c r="D1078" s="3"/>
      <c r="F1078" s="3"/>
      <c r="G1078" s="3"/>
      <c r="H1078" s="3"/>
      <c r="J1078" s="3"/>
      <c r="K1078" s="3"/>
      <c r="L1078" s="4"/>
      <c r="M1078" s="3"/>
      <c r="O1078" s="58"/>
      <c r="Q1078" s="64"/>
      <c r="R1078" s="45"/>
      <c r="S1078" s="45"/>
      <c r="U1078" s="64"/>
      <c r="V1078" s="45"/>
      <c r="W1078" s="64"/>
      <c r="X1078" s="64"/>
      <c r="Y1078" s="45"/>
      <c r="Z1078" s="45"/>
      <c r="AA1078" s="105"/>
      <c r="AB1078" s="105"/>
      <c r="AC1078" s="105"/>
      <c r="AD1078" s="64"/>
      <c r="AG1078" s="45"/>
      <c r="AH1078" s="64"/>
      <c r="AI1078" s="45"/>
      <c r="AJ1078" s="105"/>
      <c r="AK1078" s="105"/>
      <c r="AL1078" s="60"/>
      <c r="AM1078" s="60"/>
      <c r="AN1078" s="60"/>
      <c r="AO1078" s="60"/>
      <c r="AP1078" s="60"/>
      <c r="AQ1078" s="60"/>
      <c r="AR1078" s="60"/>
      <c r="AS1078" s="60"/>
      <c r="AT1078" s="45"/>
      <c r="AU1078" s="45"/>
      <c r="AW1078" s="45"/>
      <c r="AX1078" s="46">
        <f t="shared" si="49"/>
        <v>0</v>
      </c>
      <c r="AY1078" s="46">
        <f t="shared" si="50"/>
        <v>0</v>
      </c>
      <c r="AZ1078" s="46">
        <f t="shared" si="51"/>
        <v>0</v>
      </c>
    </row>
    <row r="1079" spans="3:52">
      <c r="C1079" s="102"/>
      <c r="D1079" s="3"/>
      <c r="F1079" s="3"/>
      <c r="G1079" s="3"/>
      <c r="H1079" s="3"/>
      <c r="J1079" s="3"/>
      <c r="K1079" s="3"/>
      <c r="L1079" s="4"/>
      <c r="M1079" s="3"/>
      <c r="O1079" s="58"/>
      <c r="Q1079" s="64"/>
      <c r="R1079" s="45"/>
      <c r="S1079" s="45"/>
      <c r="U1079" s="64"/>
      <c r="V1079" s="45"/>
      <c r="W1079" s="64"/>
      <c r="X1079" s="64"/>
      <c r="Y1079" s="45"/>
      <c r="Z1079" s="45"/>
      <c r="AA1079" s="105"/>
      <c r="AB1079" s="105"/>
      <c r="AC1079" s="105"/>
      <c r="AD1079" s="64"/>
      <c r="AH1079" s="64"/>
      <c r="AI1079" s="45"/>
      <c r="AJ1079" s="105"/>
      <c r="AK1079" s="105"/>
      <c r="AL1079" s="60"/>
      <c r="AM1079" s="60"/>
      <c r="AN1079" s="60"/>
      <c r="AO1079" s="60"/>
      <c r="AP1079" s="60"/>
      <c r="AQ1079" s="60"/>
      <c r="AR1079" s="60"/>
      <c r="AS1079" s="60"/>
      <c r="AT1079" s="45"/>
      <c r="AU1079" s="45"/>
      <c r="AW1079" s="45"/>
      <c r="AX1079" s="46">
        <f t="shared" si="49"/>
        <v>0</v>
      </c>
      <c r="AY1079" s="46">
        <f t="shared" si="50"/>
        <v>0</v>
      </c>
      <c r="AZ1079" s="46">
        <f t="shared" si="51"/>
        <v>0</v>
      </c>
    </row>
    <row r="1080" spans="3:52">
      <c r="C1080" s="102"/>
      <c r="D1080" s="3"/>
      <c r="F1080" s="3"/>
      <c r="G1080" s="3"/>
      <c r="H1080" s="3"/>
      <c r="J1080" s="3"/>
      <c r="K1080" s="3"/>
      <c r="L1080" s="4"/>
      <c r="M1080" s="3"/>
      <c r="O1080" s="58"/>
      <c r="Q1080" s="64"/>
      <c r="R1080" s="45"/>
      <c r="S1080" s="45"/>
      <c r="U1080" s="64"/>
      <c r="V1080" s="45"/>
      <c r="W1080" s="64"/>
      <c r="X1080" s="64"/>
      <c r="Y1080" s="45"/>
      <c r="Z1080" s="45"/>
      <c r="AA1080" s="105"/>
      <c r="AB1080" s="105"/>
      <c r="AC1080" s="105"/>
      <c r="AD1080" s="64"/>
      <c r="AH1080" s="64"/>
      <c r="AI1080" s="45"/>
      <c r="AJ1080" s="105"/>
      <c r="AK1080" s="105"/>
      <c r="AL1080" s="60"/>
      <c r="AM1080" s="60"/>
      <c r="AN1080" s="60"/>
      <c r="AO1080" s="60"/>
      <c r="AP1080" s="60"/>
      <c r="AQ1080" s="60"/>
      <c r="AR1080" s="60"/>
      <c r="AS1080" s="60"/>
      <c r="AT1080" s="45"/>
      <c r="AU1080" s="45"/>
      <c r="AW1080" s="45"/>
      <c r="AX1080" s="46">
        <f t="shared" si="49"/>
        <v>0</v>
      </c>
      <c r="AY1080" s="46">
        <f t="shared" si="50"/>
        <v>0</v>
      </c>
      <c r="AZ1080" s="46">
        <f t="shared" si="51"/>
        <v>0</v>
      </c>
    </row>
    <row r="1081" spans="3:52">
      <c r="C1081" s="102"/>
      <c r="D1081" s="3"/>
      <c r="F1081" s="3"/>
      <c r="G1081" s="3"/>
      <c r="H1081" s="3"/>
      <c r="J1081" s="3"/>
      <c r="K1081" s="3"/>
      <c r="L1081" s="4"/>
      <c r="M1081" s="3"/>
      <c r="O1081" s="58"/>
      <c r="Q1081" s="64"/>
      <c r="R1081" s="45"/>
      <c r="S1081" s="45"/>
      <c r="U1081" s="64"/>
      <c r="V1081" s="45"/>
      <c r="W1081" s="64"/>
      <c r="X1081" s="64"/>
      <c r="Y1081" s="45"/>
      <c r="Z1081" s="45"/>
      <c r="AA1081" s="105"/>
      <c r="AB1081" s="105"/>
      <c r="AC1081" s="105"/>
      <c r="AD1081" s="64"/>
      <c r="AG1081" s="45"/>
      <c r="AH1081" s="64"/>
      <c r="AI1081" s="45"/>
      <c r="AJ1081" s="105"/>
      <c r="AK1081" s="105"/>
      <c r="AL1081" s="60"/>
      <c r="AM1081" s="60"/>
      <c r="AN1081" s="60"/>
      <c r="AO1081" s="60"/>
      <c r="AP1081" s="60"/>
      <c r="AQ1081" s="60"/>
      <c r="AR1081" s="60"/>
      <c r="AS1081" s="60"/>
      <c r="AT1081" s="45"/>
      <c r="AU1081" s="45"/>
      <c r="AW1081" s="45"/>
      <c r="AX1081" s="46">
        <f t="shared" si="49"/>
        <v>0</v>
      </c>
      <c r="AY1081" s="46">
        <f t="shared" si="50"/>
        <v>0</v>
      </c>
      <c r="AZ1081" s="46">
        <f t="shared" si="51"/>
        <v>0</v>
      </c>
    </row>
    <row r="1082" spans="3:52">
      <c r="C1082" s="102"/>
      <c r="D1082" s="3"/>
      <c r="F1082" s="3"/>
      <c r="G1082" s="3"/>
      <c r="H1082" s="3"/>
      <c r="J1082" s="3"/>
      <c r="K1082" s="3"/>
      <c r="L1082" s="4"/>
      <c r="M1082" s="3"/>
      <c r="O1082" s="58"/>
      <c r="Q1082" s="64"/>
      <c r="R1082" s="45"/>
      <c r="S1082" s="45"/>
      <c r="U1082" s="64"/>
      <c r="V1082" s="45"/>
      <c r="W1082" s="64"/>
      <c r="X1082" s="64"/>
      <c r="Y1082" s="45"/>
      <c r="Z1082" s="45"/>
      <c r="AA1082" s="105"/>
      <c r="AB1082" s="105"/>
      <c r="AC1082" s="105"/>
      <c r="AD1082" s="64"/>
      <c r="AG1082" s="45"/>
      <c r="AH1082" s="64"/>
      <c r="AI1082" s="45"/>
      <c r="AJ1082" s="105"/>
      <c r="AK1082" s="105"/>
      <c r="AL1082" s="60"/>
      <c r="AM1082" s="60"/>
      <c r="AN1082" s="60"/>
      <c r="AO1082" s="60"/>
      <c r="AP1082" s="60"/>
      <c r="AQ1082" s="60"/>
      <c r="AR1082" s="60"/>
      <c r="AS1082" s="60"/>
      <c r="AT1082" s="45"/>
      <c r="AU1082" s="45"/>
      <c r="AW1082" s="45"/>
      <c r="AX1082" s="46">
        <f t="shared" si="49"/>
        <v>0</v>
      </c>
      <c r="AY1082" s="46">
        <f t="shared" si="50"/>
        <v>0</v>
      </c>
      <c r="AZ1082" s="46">
        <f t="shared" si="51"/>
        <v>0</v>
      </c>
    </row>
    <row r="1083" spans="3:52">
      <c r="C1083" s="102"/>
      <c r="D1083" s="3"/>
      <c r="F1083" s="3"/>
      <c r="G1083" s="3"/>
      <c r="H1083" s="3"/>
      <c r="J1083" s="3"/>
      <c r="K1083" s="3"/>
      <c r="L1083" s="4"/>
      <c r="M1083" s="3"/>
      <c r="O1083" s="58"/>
      <c r="Q1083" s="64"/>
      <c r="R1083" s="45"/>
      <c r="S1083" s="45"/>
      <c r="U1083" s="64"/>
      <c r="V1083" s="45"/>
      <c r="W1083" s="64"/>
      <c r="X1083" s="64"/>
      <c r="Y1083" s="45"/>
      <c r="Z1083" s="45"/>
      <c r="AA1083" s="105"/>
      <c r="AB1083" s="105"/>
      <c r="AC1083" s="105"/>
      <c r="AD1083" s="64"/>
      <c r="AG1083" s="45"/>
      <c r="AH1083" s="64"/>
      <c r="AI1083" s="45"/>
      <c r="AJ1083" s="105"/>
      <c r="AK1083" s="105"/>
      <c r="AL1083" s="60"/>
      <c r="AM1083" s="60"/>
      <c r="AN1083" s="60"/>
      <c r="AO1083" s="60"/>
      <c r="AP1083" s="60"/>
      <c r="AQ1083" s="60"/>
      <c r="AR1083" s="60"/>
      <c r="AS1083" s="60"/>
      <c r="AT1083" s="45"/>
      <c r="AU1083" s="45"/>
      <c r="AW1083" s="45"/>
      <c r="AX1083" s="46">
        <f t="shared" si="49"/>
        <v>0</v>
      </c>
      <c r="AY1083" s="46">
        <f t="shared" si="50"/>
        <v>0</v>
      </c>
      <c r="AZ1083" s="46">
        <f t="shared" si="51"/>
        <v>0</v>
      </c>
    </row>
    <row r="1084" spans="3:52">
      <c r="C1084" s="102"/>
      <c r="D1084" s="3"/>
      <c r="F1084" s="3"/>
      <c r="G1084" s="3"/>
      <c r="H1084" s="3"/>
      <c r="J1084" s="3"/>
      <c r="K1084" s="3"/>
      <c r="L1084" s="4"/>
      <c r="M1084" s="3"/>
      <c r="O1084" s="58"/>
      <c r="Q1084" s="64"/>
      <c r="R1084" s="45"/>
      <c r="S1084" s="45"/>
      <c r="U1084" s="64"/>
      <c r="V1084" s="45"/>
      <c r="W1084" s="64"/>
      <c r="X1084" s="64"/>
      <c r="Y1084" s="45"/>
      <c r="Z1084" s="45"/>
      <c r="AA1084" s="105"/>
      <c r="AB1084" s="105"/>
      <c r="AC1084" s="105"/>
      <c r="AD1084" s="64"/>
      <c r="AG1084" s="45"/>
      <c r="AH1084" s="64"/>
      <c r="AI1084" s="45"/>
      <c r="AJ1084" s="105"/>
      <c r="AK1084" s="105"/>
      <c r="AL1084" s="60"/>
      <c r="AM1084" s="60"/>
      <c r="AN1084" s="60"/>
      <c r="AO1084" s="60"/>
      <c r="AP1084" s="60"/>
      <c r="AQ1084" s="60"/>
      <c r="AR1084" s="60"/>
      <c r="AS1084" s="60"/>
      <c r="AT1084" s="45"/>
      <c r="AU1084" s="45"/>
      <c r="AW1084" s="45"/>
      <c r="AX1084" s="46">
        <f t="shared" si="49"/>
        <v>0</v>
      </c>
      <c r="AY1084" s="46">
        <f t="shared" si="50"/>
        <v>0</v>
      </c>
      <c r="AZ1084" s="46">
        <f t="shared" si="51"/>
        <v>0</v>
      </c>
    </row>
    <row r="1085" spans="3:52">
      <c r="C1085" s="102"/>
      <c r="D1085" s="3"/>
      <c r="F1085" s="3"/>
      <c r="G1085" s="3"/>
      <c r="H1085" s="3"/>
      <c r="J1085" s="3"/>
      <c r="K1085" s="3"/>
      <c r="L1085" s="4"/>
      <c r="M1085" s="3"/>
      <c r="O1085" s="58"/>
      <c r="Q1085" s="64"/>
      <c r="R1085" s="45"/>
      <c r="S1085" s="45"/>
      <c r="U1085" s="64"/>
      <c r="V1085" s="45"/>
      <c r="W1085" s="64"/>
      <c r="X1085" s="64"/>
      <c r="Y1085" s="45"/>
      <c r="Z1085" s="45"/>
      <c r="AA1085" s="105"/>
      <c r="AB1085" s="105"/>
      <c r="AC1085" s="105"/>
      <c r="AD1085" s="64"/>
      <c r="AG1085" s="45"/>
      <c r="AH1085" s="64"/>
      <c r="AI1085" s="45"/>
      <c r="AJ1085" s="105"/>
      <c r="AK1085" s="105"/>
      <c r="AL1085" s="60"/>
      <c r="AM1085" s="60"/>
      <c r="AN1085" s="60"/>
      <c r="AO1085" s="60"/>
      <c r="AP1085" s="60"/>
      <c r="AQ1085" s="60"/>
      <c r="AR1085" s="60"/>
      <c r="AS1085" s="60"/>
      <c r="AT1085" s="45"/>
      <c r="AU1085" s="45"/>
      <c r="AW1085" s="45"/>
      <c r="AX1085" s="46">
        <f t="shared" si="49"/>
        <v>0</v>
      </c>
      <c r="AY1085" s="46">
        <f t="shared" si="50"/>
        <v>0</v>
      </c>
      <c r="AZ1085" s="46">
        <f t="shared" si="51"/>
        <v>0</v>
      </c>
    </row>
    <row r="1086" spans="3:52">
      <c r="C1086" s="102"/>
      <c r="D1086" s="3"/>
      <c r="F1086" s="3"/>
      <c r="G1086" s="3"/>
      <c r="H1086" s="3"/>
      <c r="J1086" s="3"/>
      <c r="K1086" s="3"/>
      <c r="L1086" s="4"/>
      <c r="M1086" s="3"/>
      <c r="O1086" s="58"/>
      <c r="Q1086" s="64"/>
      <c r="R1086" s="45"/>
      <c r="S1086" s="45"/>
      <c r="U1086" s="64"/>
      <c r="V1086" s="45"/>
      <c r="W1086" s="64"/>
      <c r="X1086" s="64"/>
      <c r="Y1086" s="45"/>
      <c r="Z1086" s="45"/>
      <c r="AA1086" s="105"/>
      <c r="AB1086" s="105"/>
      <c r="AC1086" s="105"/>
      <c r="AD1086" s="64"/>
      <c r="AG1086" s="45"/>
      <c r="AH1086" s="64"/>
      <c r="AI1086" s="45"/>
      <c r="AJ1086" s="105"/>
      <c r="AK1086" s="105"/>
      <c r="AL1086" s="60"/>
      <c r="AM1086" s="60"/>
      <c r="AN1086" s="60"/>
      <c r="AO1086" s="60"/>
      <c r="AP1086" s="60"/>
      <c r="AQ1086" s="60"/>
      <c r="AR1086" s="60"/>
      <c r="AS1086" s="60"/>
      <c r="AT1086" s="45"/>
      <c r="AU1086" s="45"/>
      <c r="AW1086" s="45"/>
      <c r="AX1086" s="46">
        <f t="shared" si="49"/>
        <v>0</v>
      </c>
      <c r="AY1086" s="46">
        <f t="shared" si="50"/>
        <v>0</v>
      </c>
      <c r="AZ1086" s="46">
        <f t="shared" si="51"/>
        <v>0</v>
      </c>
    </row>
    <row r="1087" spans="3:52">
      <c r="C1087" s="102"/>
      <c r="D1087" s="3"/>
      <c r="F1087" s="3"/>
      <c r="G1087" s="3"/>
      <c r="H1087" s="3"/>
      <c r="J1087" s="3"/>
      <c r="K1087" s="3"/>
      <c r="L1087" s="4"/>
      <c r="M1087" s="3"/>
      <c r="O1087" s="58"/>
      <c r="Q1087" s="64"/>
      <c r="R1087" s="45"/>
      <c r="S1087" s="45"/>
      <c r="U1087" s="64"/>
      <c r="V1087" s="45"/>
      <c r="W1087" s="64"/>
      <c r="X1087" s="64"/>
      <c r="Y1087" s="45"/>
      <c r="Z1087" s="45"/>
      <c r="AA1087" s="105"/>
      <c r="AB1087" s="105"/>
      <c r="AC1087" s="105"/>
      <c r="AD1087" s="64"/>
      <c r="AG1087" s="45"/>
      <c r="AH1087" s="64"/>
      <c r="AI1087" s="45"/>
      <c r="AJ1087" s="105"/>
      <c r="AK1087" s="105"/>
      <c r="AL1087" s="60"/>
      <c r="AM1087" s="60"/>
      <c r="AN1087" s="60"/>
      <c r="AO1087" s="60"/>
      <c r="AP1087" s="60"/>
      <c r="AQ1087" s="60"/>
      <c r="AR1087" s="60"/>
      <c r="AS1087" s="60"/>
      <c r="AT1087" s="45"/>
      <c r="AU1087" s="45"/>
      <c r="AW1087" s="45"/>
      <c r="AX1087" s="46">
        <f t="shared" si="49"/>
        <v>0</v>
      </c>
      <c r="AY1087" s="46">
        <f t="shared" si="50"/>
        <v>0</v>
      </c>
      <c r="AZ1087" s="46">
        <f t="shared" si="51"/>
        <v>0</v>
      </c>
    </row>
    <row r="1088" spans="3:52">
      <c r="C1088" s="102"/>
      <c r="D1088" s="3"/>
      <c r="F1088" s="3"/>
      <c r="G1088" s="3"/>
      <c r="H1088" s="3"/>
      <c r="J1088" s="3"/>
      <c r="K1088" s="3"/>
      <c r="L1088" s="4"/>
      <c r="M1088" s="3"/>
      <c r="O1088" s="58"/>
      <c r="Q1088" s="64"/>
      <c r="R1088" s="45"/>
      <c r="S1088" s="45"/>
      <c r="U1088" s="64"/>
      <c r="V1088" s="45"/>
      <c r="W1088" s="64"/>
      <c r="X1088" s="64"/>
      <c r="Y1088" s="45"/>
      <c r="Z1088" s="45"/>
      <c r="AA1088" s="105"/>
      <c r="AB1088" s="105"/>
      <c r="AC1088" s="105"/>
      <c r="AD1088" s="64"/>
      <c r="AG1088" s="45"/>
      <c r="AH1088" s="64"/>
      <c r="AI1088" s="45"/>
      <c r="AJ1088" s="105"/>
      <c r="AK1088" s="105"/>
      <c r="AL1088" s="60"/>
      <c r="AM1088" s="60"/>
      <c r="AN1088" s="60"/>
      <c r="AO1088" s="60"/>
      <c r="AP1088" s="60"/>
      <c r="AQ1088" s="60"/>
      <c r="AR1088" s="60"/>
      <c r="AS1088" s="60"/>
      <c r="AT1088" s="45"/>
      <c r="AU1088" s="45"/>
      <c r="AW1088" s="45"/>
      <c r="AX1088" s="46">
        <f t="shared" si="49"/>
        <v>0</v>
      </c>
      <c r="AY1088" s="46">
        <f t="shared" si="50"/>
        <v>0</v>
      </c>
      <c r="AZ1088" s="46">
        <f t="shared" si="51"/>
        <v>0</v>
      </c>
    </row>
    <row r="1089" spans="3:52">
      <c r="C1089" s="102"/>
      <c r="D1089" s="3"/>
      <c r="F1089" s="3"/>
      <c r="G1089" s="3"/>
      <c r="H1089" s="3"/>
      <c r="J1089" s="3"/>
      <c r="K1089" s="3"/>
      <c r="L1089" s="4"/>
      <c r="M1089" s="3"/>
      <c r="O1089" s="58"/>
      <c r="Q1089" s="64"/>
      <c r="R1089" s="45"/>
      <c r="S1089" s="45"/>
      <c r="U1089" s="64"/>
      <c r="V1089" s="45"/>
      <c r="W1089" s="64"/>
      <c r="X1089" s="64"/>
      <c r="Y1089" s="45"/>
      <c r="Z1089" s="45"/>
      <c r="AA1089" s="105"/>
      <c r="AB1089" s="105"/>
      <c r="AC1089" s="105"/>
      <c r="AD1089" s="64"/>
      <c r="AG1089" s="45"/>
      <c r="AH1089" s="64"/>
      <c r="AI1089" s="45"/>
      <c r="AJ1089" s="105"/>
      <c r="AK1089" s="105"/>
      <c r="AL1089" s="60"/>
      <c r="AM1089" s="60"/>
      <c r="AN1089" s="60"/>
      <c r="AO1089" s="60"/>
      <c r="AP1089" s="60"/>
      <c r="AQ1089" s="60"/>
      <c r="AR1089" s="60"/>
      <c r="AS1089" s="60"/>
      <c r="AT1089" s="45"/>
      <c r="AU1089" s="45"/>
      <c r="AW1089" s="45"/>
      <c r="AX1089" s="46">
        <f t="shared" si="49"/>
        <v>0</v>
      </c>
      <c r="AY1089" s="46">
        <f t="shared" si="50"/>
        <v>0</v>
      </c>
      <c r="AZ1089" s="46">
        <f t="shared" si="51"/>
        <v>0</v>
      </c>
    </row>
    <row r="1090" spans="3:52">
      <c r="C1090" s="102"/>
      <c r="D1090" s="3"/>
      <c r="F1090" s="3"/>
      <c r="G1090" s="3"/>
      <c r="H1090" s="3"/>
      <c r="J1090" s="3"/>
      <c r="K1090" s="3"/>
      <c r="L1090" s="4"/>
      <c r="M1090" s="3"/>
      <c r="O1090" s="58"/>
      <c r="Q1090" s="64"/>
      <c r="R1090" s="45"/>
      <c r="S1090" s="45"/>
      <c r="U1090" s="64"/>
      <c r="V1090" s="45"/>
      <c r="W1090" s="64"/>
      <c r="X1090" s="64"/>
      <c r="Y1090" s="45"/>
      <c r="Z1090" s="45"/>
      <c r="AA1090" s="105"/>
      <c r="AB1090" s="105"/>
      <c r="AC1090" s="105"/>
      <c r="AD1090" s="64"/>
      <c r="AH1090" s="64"/>
      <c r="AI1090" s="45"/>
      <c r="AJ1090" s="105"/>
      <c r="AK1090" s="105"/>
      <c r="AL1090" s="60"/>
      <c r="AM1090" s="60"/>
      <c r="AN1090" s="60"/>
      <c r="AO1090" s="60"/>
      <c r="AP1090" s="60"/>
      <c r="AQ1090" s="60"/>
      <c r="AR1090" s="60"/>
      <c r="AS1090" s="60"/>
      <c r="AT1090" s="45"/>
      <c r="AU1090" s="45"/>
      <c r="AW1090" s="45"/>
      <c r="AX1090" s="46">
        <f t="shared" si="49"/>
        <v>0</v>
      </c>
      <c r="AY1090" s="46">
        <f t="shared" si="50"/>
        <v>0</v>
      </c>
      <c r="AZ1090" s="46">
        <f t="shared" si="51"/>
        <v>0</v>
      </c>
    </row>
    <row r="1091" spans="3:52">
      <c r="C1091" s="102"/>
      <c r="D1091" s="3"/>
      <c r="F1091" s="3"/>
      <c r="G1091" s="3"/>
      <c r="H1091" s="3"/>
      <c r="J1091" s="3"/>
      <c r="K1091" s="3"/>
      <c r="L1091" s="4"/>
      <c r="M1091" s="3"/>
      <c r="O1091" s="58"/>
      <c r="Q1091" s="64"/>
      <c r="R1091" s="45"/>
      <c r="S1091" s="45"/>
      <c r="U1091" s="64"/>
      <c r="V1091" s="45"/>
      <c r="W1091" s="64"/>
      <c r="X1091" s="64"/>
      <c r="Y1091" s="45"/>
      <c r="Z1091" s="45"/>
      <c r="AA1091" s="105"/>
      <c r="AB1091" s="105"/>
      <c r="AC1091" s="105"/>
      <c r="AD1091" s="64"/>
      <c r="AG1091" s="45"/>
      <c r="AH1091" s="64"/>
      <c r="AI1091" s="45"/>
      <c r="AJ1091" s="105"/>
      <c r="AK1091" s="105"/>
      <c r="AL1091" s="60"/>
      <c r="AM1091" s="60"/>
      <c r="AN1091" s="60"/>
      <c r="AO1091" s="60"/>
      <c r="AP1091" s="60"/>
      <c r="AQ1091" s="60"/>
      <c r="AR1091" s="60"/>
      <c r="AS1091" s="60"/>
      <c r="AT1091" s="45"/>
      <c r="AU1091" s="45"/>
      <c r="AW1091" s="45"/>
      <c r="AX1091" s="46">
        <f t="shared" si="49"/>
        <v>0</v>
      </c>
      <c r="AY1091" s="46">
        <f t="shared" si="50"/>
        <v>0</v>
      </c>
      <c r="AZ1091" s="46">
        <f t="shared" si="51"/>
        <v>0</v>
      </c>
    </row>
    <row r="1092" spans="3:52">
      <c r="C1092" s="102"/>
      <c r="D1092" s="3"/>
      <c r="F1092" s="3"/>
      <c r="G1092" s="3"/>
      <c r="H1092" s="3"/>
      <c r="J1092" s="3"/>
      <c r="K1092" s="3"/>
      <c r="L1092" s="4"/>
      <c r="M1092" s="3"/>
      <c r="O1092" s="58"/>
      <c r="Q1092" s="64"/>
      <c r="R1092" s="45"/>
      <c r="S1092" s="45"/>
      <c r="U1092" s="64"/>
      <c r="V1092" s="45"/>
      <c r="W1092" s="64"/>
      <c r="X1092" s="64"/>
      <c r="Y1092" s="45"/>
      <c r="Z1092" s="45"/>
      <c r="AA1092" s="105"/>
      <c r="AB1092" s="105"/>
      <c r="AC1092" s="105"/>
      <c r="AD1092" s="64"/>
      <c r="AH1092" s="64"/>
      <c r="AI1092" s="45"/>
      <c r="AJ1092" s="105"/>
      <c r="AK1092" s="105"/>
      <c r="AL1092" s="60"/>
      <c r="AM1092" s="60"/>
      <c r="AN1092" s="60"/>
      <c r="AO1092" s="60"/>
      <c r="AP1092" s="60"/>
      <c r="AQ1092" s="60"/>
      <c r="AR1092" s="60"/>
      <c r="AS1092" s="60"/>
      <c r="AT1092" s="45"/>
      <c r="AU1092" s="45"/>
      <c r="AW1092" s="45"/>
      <c r="AX1092" s="46">
        <f t="shared" si="49"/>
        <v>0</v>
      </c>
      <c r="AY1092" s="46">
        <f t="shared" si="50"/>
        <v>0</v>
      </c>
      <c r="AZ1092" s="46">
        <f t="shared" si="51"/>
        <v>0</v>
      </c>
    </row>
    <row r="1093" spans="3:52">
      <c r="C1093" s="102"/>
      <c r="D1093" s="3"/>
      <c r="F1093" s="3"/>
      <c r="G1093" s="3"/>
      <c r="H1093" s="3"/>
      <c r="J1093" s="3"/>
      <c r="K1093" s="3"/>
      <c r="L1093" s="4"/>
      <c r="M1093" s="3"/>
      <c r="O1093" s="58"/>
      <c r="Q1093" s="64"/>
      <c r="R1093" s="45"/>
      <c r="S1093" s="45"/>
      <c r="U1093" s="64"/>
      <c r="V1093" s="45"/>
      <c r="W1093" s="64"/>
      <c r="X1093" s="64"/>
      <c r="Y1093" s="45"/>
      <c r="Z1093" s="45"/>
      <c r="AA1093" s="105"/>
      <c r="AB1093" s="105"/>
      <c r="AC1093" s="105"/>
      <c r="AD1093" s="64"/>
      <c r="AH1093" s="64"/>
      <c r="AI1093" s="45"/>
      <c r="AJ1093" s="105"/>
      <c r="AK1093" s="105"/>
      <c r="AL1093" s="60"/>
      <c r="AM1093" s="60"/>
      <c r="AN1093" s="60"/>
      <c r="AO1093" s="60"/>
      <c r="AP1093" s="60"/>
      <c r="AQ1093" s="60"/>
      <c r="AR1093" s="60"/>
      <c r="AS1093" s="60"/>
      <c r="AT1093" s="45"/>
      <c r="AU1093" s="45"/>
      <c r="AW1093" s="45"/>
      <c r="AX1093" s="46">
        <f t="shared" si="49"/>
        <v>0</v>
      </c>
      <c r="AY1093" s="46">
        <f t="shared" si="50"/>
        <v>0</v>
      </c>
      <c r="AZ1093" s="46">
        <f t="shared" si="51"/>
        <v>0</v>
      </c>
    </row>
    <row r="1094" spans="3:52">
      <c r="C1094" s="102"/>
      <c r="D1094" s="3"/>
      <c r="F1094" s="3"/>
      <c r="G1094" s="3"/>
      <c r="H1094" s="3"/>
      <c r="J1094" s="3"/>
      <c r="K1094" s="3"/>
      <c r="L1094" s="4"/>
      <c r="M1094" s="3"/>
      <c r="O1094" s="58"/>
      <c r="Q1094" s="64"/>
      <c r="R1094" s="45"/>
      <c r="S1094" s="45"/>
      <c r="U1094" s="64"/>
      <c r="V1094" s="45"/>
      <c r="W1094" s="64"/>
      <c r="X1094" s="64"/>
      <c r="Y1094" s="45"/>
      <c r="Z1094" s="45"/>
      <c r="AA1094" s="105"/>
      <c r="AB1094" s="105"/>
      <c r="AC1094" s="105"/>
      <c r="AD1094" s="64"/>
      <c r="AG1094" s="45"/>
      <c r="AH1094" s="64"/>
      <c r="AI1094" s="45"/>
      <c r="AJ1094" s="105"/>
      <c r="AK1094" s="105"/>
      <c r="AL1094" s="60"/>
      <c r="AM1094" s="60"/>
      <c r="AN1094" s="60"/>
      <c r="AO1094" s="60"/>
      <c r="AP1094" s="60"/>
      <c r="AQ1094" s="60"/>
      <c r="AR1094" s="60"/>
      <c r="AS1094" s="60"/>
      <c r="AT1094" s="45"/>
      <c r="AU1094" s="45"/>
      <c r="AW1094" s="45"/>
      <c r="AX1094" s="46">
        <f t="shared" si="49"/>
        <v>0</v>
      </c>
      <c r="AY1094" s="46">
        <f t="shared" si="50"/>
        <v>0</v>
      </c>
      <c r="AZ1094" s="46">
        <f t="shared" si="51"/>
        <v>0</v>
      </c>
    </row>
    <row r="1095" spans="3:52">
      <c r="C1095" s="102"/>
      <c r="D1095" s="3"/>
      <c r="F1095" s="3"/>
      <c r="G1095" s="3"/>
      <c r="H1095" s="3"/>
      <c r="J1095" s="3"/>
      <c r="K1095" s="3"/>
      <c r="L1095" s="4"/>
      <c r="M1095" s="3"/>
      <c r="O1095" s="58"/>
      <c r="Q1095" s="64"/>
      <c r="R1095" s="45"/>
      <c r="S1095" s="45"/>
      <c r="U1095" s="64"/>
      <c r="V1095" s="45"/>
      <c r="W1095" s="64"/>
      <c r="X1095" s="64"/>
      <c r="Y1095" s="45"/>
      <c r="Z1095" s="45"/>
      <c r="AA1095" s="105"/>
      <c r="AB1095" s="105"/>
      <c r="AC1095" s="105"/>
      <c r="AD1095" s="64"/>
      <c r="AG1095" s="45"/>
      <c r="AH1095" s="64"/>
      <c r="AI1095" s="45"/>
      <c r="AJ1095" s="105"/>
      <c r="AK1095" s="105"/>
      <c r="AL1095" s="60"/>
      <c r="AM1095" s="60"/>
      <c r="AN1095" s="60"/>
      <c r="AO1095" s="60"/>
      <c r="AP1095" s="60"/>
      <c r="AQ1095" s="60"/>
      <c r="AR1095" s="60"/>
      <c r="AS1095" s="60"/>
      <c r="AT1095" s="45"/>
      <c r="AU1095" s="45"/>
      <c r="AW1095" s="45"/>
      <c r="AX1095" s="46">
        <f t="shared" si="49"/>
        <v>0</v>
      </c>
      <c r="AY1095" s="46">
        <f t="shared" si="50"/>
        <v>0</v>
      </c>
      <c r="AZ1095" s="46">
        <f t="shared" si="51"/>
        <v>0</v>
      </c>
    </row>
    <row r="1096" spans="3:52">
      <c r="C1096" s="102"/>
      <c r="D1096" s="3"/>
      <c r="F1096" s="3"/>
      <c r="G1096" s="3"/>
      <c r="H1096" s="3"/>
      <c r="J1096" s="3"/>
      <c r="K1096" s="3"/>
      <c r="L1096" s="4"/>
      <c r="M1096" s="3"/>
      <c r="O1096" s="58"/>
      <c r="Q1096" s="64"/>
      <c r="R1096" s="45"/>
      <c r="S1096" s="45"/>
      <c r="U1096" s="64"/>
      <c r="V1096" s="45"/>
      <c r="W1096" s="64"/>
      <c r="X1096" s="64"/>
      <c r="Y1096" s="45"/>
      <c r="Z1096" s="45"/>
      <c r="AA1096" s="105"/>
      <c r="AB1096" s="105"/>
      <c r="AC1096" s="105"/>
      <c r="AD1096" s="64"/>
      <c r="AG1096" s="45"/>
      <c r="AH1096" s="64"/>
      <c r="AI1096" s="45"/>
      <c r="AJ1096" s="105"/>
      <c r="AK1096" s="105"/>
      <c r="AL1096" s="60"/>
      <c r="AM1096" s="60"/>
      <c r="AN1096" s="60"/>
      <c r="AO1096" s="60"/>
      <c r="AP1096" s="60"/>
      <c r="AQ1096" s="60"/>
      <c r="AR1096" s="60"/>
      <c r="AS1096" s="60"/>
      <c r="AT1096" s="45"/>
      <c r="AU1096" s="45"/>
      <c r="AW1096" s="45"/>
      <c r="AX1096" s="46">
        <f t="shared" si="49"/>
        <v>0</v>
      </c>
      <c r="AY1096" s="46">
        <f t="shared" si="50"/>
        <v>0</v>
      </c>
      <c r="AZ1096" s="46">
        <f t="shared" si="51"/>
        <v>0</v>
      </c>
    </row>
    <row r="1097" spans="3:52">
      <c r="C1097" s="102"/>
      <c r="D1097" s="3"/>
      <c r="F1097" s="3"/>
      <c r="G1097" s="3"/>
      <c r="H1097" s="3"/>
      <c r="J1097" s="3"/>
      <c r="K1097" s="3"/>
      <c r="L1097" s="4"/>
      <c r="M1097" s="3"/>
      <c r="O1097" s="58"/>
      <c r="Q1097" s="64"/>
      <c r="R1097" s="45"/>
      <c r="S1097" s="45"/>
      <c r="U1097" s="64"/>
      <c r="V1097" s="45"/>
      <c r="W1097" s="64"/>
      <c r="X1097" s="64"/>
      <c r="Y1097" s="45"/>
      <c r="Z1097" s="45"/>
      <c r="AA1097" s="105"/>
      <c r="AB1097" s="105"/>
      <c r="AC1097" s="105"/>
      <c r="AD1097" s="64"/>
      <c r="AG1097" s="45"/>
      <c r="AH1097" s="64"/>
      <c r="AI1097" s="45"/>
      <c r="AJ1097" s="105"/>
      <c r="AK1097" s="105"/>
      <c r="AL1097" s="60"/>
      <c r="AM1097" s="60"/>
      <c r="AN1097" s="60"/>
      <c r="AO1097" s="60"/>
      <c r="AP1097" s="60"/>
      <c r="AQ1097" s="60"/>
      <c r="AR1097" s="60"/>
      <c r="AS1097" s="60"/>
      <c r="AT1097" s="45"/>
      <c r="AU1097" s="45"/>
      <c r="AW1097" s="45"/>
      <c r="AX1097" s="46">
        <f t="shared" si="49"/>
        <v>0</v>
      </c>
      <c r="AY1097" s="46">
        <f t="shared" si="50"/>
        <v>0</v>
      </c>
      <c r="AZ1097" s="46">
        <f t="shared" si="51"/>
        <v>0</v>
      </c>
    </row>
    <row r="1098" spans="3:52">
      <c r="C1098" s="102"/>
      <c r="D1098" s="3"/>
      <c r="F1098" s="3"/>
      <c r="G1098" s="3"/>
      <c r="H1098" s="3"/>
      <c r="J1098" s="3"/>
      <c r="K1098" s="3"/>
      <c r="L1098" s="4"/>
      <c r="M1098" s="3"/>
      <c r="O1098" s="58"/>
      <c r="Q1098" s="64"/>
      <c r="R1098" s="45"/>
      <c r="S1098" s="45"/>
      <c r="U1098" s="64"/>
      <c r="V1098" s="45"/>
      <c r="W1098" s="64"/>
      <c r="X1098" s="64"/>
      <c r="Y1098" s="45"/>
      <c r="Z1098" s="45"/>
      <c r="AA1098" s="105"/>
      <c r="AB1098" s="105"/>
      <c r="AC1098" s="105"/>
      <c r="AD1098" s="64"/>
      <c r="AH1098" s="64"/>
      <c r="AI1098" s="45"/>
      <c r="AJ1098" s="105"/>
      <c r="AK1098" s="105"/>
      <c r="AL1098" s="60"/>
      <c r="AM1098" s="60"/>
      <c r="AN1098" s="60"/>
      <c r="AO1098" s="60"/>
      <c r="AP1098" s="60"/>
      <c r="AQ1098" s="60"/>
      <c r="AR1098" s="60"/>
      <c r="AS1098" s="60"/>
      <c r="AT1098" s="45"/>
      <c r="AU1098" s="45"/>
      <c r="AW1098" s="45"/>
      <c r="AX1098" s="46">
        <f t="shared" si="49"/>
        <v>0</v>
      </c>
      <c r="AY1098" s="46">
        <f t="shared" si="50"/>
        <v>0</v>
      </c>
      <c r="AZ1098" s="46">
        <f t="shared" si="51"/>
        <v>0</v>
      </c>
    </row>
    <row r="1099" spans="3:52">
      <c r="C1099" s="102"/>
      <c r="D1099" s="3"/>
      <c r="F1099" s="3"/>
      <c r="G1099" s="3"/>
      <c r="H1099" s="3"/>
      <c r="J1099" s="3"/>
      <c r="K1099" s="3"/>
      <c r="L1099" s="4"/>
      <c r="M1099" s="3"/>
      <c r="O1099" s="58"/>
      <c r="Q1099" s="64"/>
      <c r="R1099" s="45"/>
      <c r="S1099" s="45"/>
      <c r="U1099" s="64"/>
      <c r="V1099" s="45"/>
      <c r="W1099" s="64"/>
      <c r="X1099" s="64"/>
      <c r="Y1099" s="45"/>
      <c r="Z1099" s="45"/>
      <c r="AA1099" s="105"/>
      <c r="AB1099" s="105"/>
      <c r="AC1099" s="105"/>
      <c r="AD1099" s="64"/>
      <c r="AH1099" s="64"/>
      <c r="AI1099" s="45"/>
      <c r="AJ1099" s="105"/>
      <c r="AK1099" s="105"/>
      <c r="AL1099" s="60"/>
      <c r="AM1099" s="60"/>
      <c r="AN1099" s="60"/>
      <c r="AO1099" s="60"/>
      <c r="AP1099" s="60"/>
      <c r="AQ1099" s="60"/>
      <c r="AR1099" s="60"/>
      <c r="AS1099" s="60"/>
      <c r="AT1099" s="45"/>
      <c r="AU1099" s="45"/>
      <c r="AW1099" s="45"/>
      <c r="AX1099" s="46">
        <f t="shared" ref="AX1099:AX1162" si="52">IFERROR(SUM(Q1099:AS1099)-SUM(AT1099:AU1099)+AV1099,"-")</f>
        <v>0</v>
      </c>
      <c r="AY1099" s="46">
        <f t="shared" ref="AY1099:AY1162" si="53">IFERROR(SUM(Q1099:AS1099)-SUM(AT1099:AT1099),"-")</f>
        <v>0</v>
      </c>
      <c r="AZ1099" s="46">
        <f t="shared" ref="AZ1099:AZ1162" si="54">SUM(Q1099:AS1099)</f>
        <v>0</v>
      </c>
    </row>
    <row r="1100" spans="3:52">
      <c r="C1100" s="102"/>
      <c r="D1100" s="3"/>
      <c r="F1100" s="3"/>
      <c r="G1100" s="3"/>
      <c r="H1100" s="3"/>
      <c r="J1100" s="3"/>
      <c r="K1100" s="3"/>
      <c r="L1100" s="4"/>
      <c r="M1100" s="3"/>
      <c r="O1100" s="58"/>
      <c r="Q1100" s="64"/>
      <c r="R1100" s="45"/>
      <c r="S1100" s="45"/>
      <c r="U1100" s="64"/>
      <c r="V1100" s="45"/>
      <c r="W1100" s="64"/>
      <c r="X1100" s="64"/>
      <c r="Y1100" s="45"/>
      <c r="Z1100" s="45"/>
      <c r="AA1100" s="105"/>
      <c r="AB1100" s="105"/>
      <c r="AC1100" s="105"/>
      <c r="AD1100" s="64"/>
      <c r="AH1100" s="64"/>
      <c r="AI1100" s="45"/>
      <c r="AJ1100" s="105"/>
      <c r="AK1100" s="105"/>
      <c r="AL1100" s="60"/>
      <c r="AM1100" s="60"/>
      <c r="AN1100" s="60"/>
      <c r="AO1100" s="60"/>
      <c r="AP1100" s="60"/>
      <c r="AQ1100" s="60"/>
      <c r="AR1100" s="60"/>
      <c r="AS1100" s="60"/>
      <c r="AT1100" s="45"/>
      <c r="AU1100" s="45"/>
      <c r="AW1100" s="45"/>
      <c r="AX1100" s="46">
        <f t="shared" si="52"/>
        <v>0</v>
      </c>
      <c r="AY1100" s="46">
        <f t="shared" si="53"/>
        <v>0</v>
      </c>
      <c r="AZ1100" s="46">
        <f t="shared" si="54"/>
        <v>0</v>
      </c>
    </row>
    <row r="1101" spans="3:52">
      <c r="C1101" s="102"/>
      <c r="D1101" s="3"/>
      <c r="F1101" s="3"/>
      <c r="G1101" s="3"/>
      <c r="H1101" s="3"/>
      <c r="J1101" s="3"/>
      <c r="K1101" s="3"/>
      <c r="L1101" s="4"/>
      <c r="M1101" s="3"/>
      <c r="O1101" s="58"/>
      <c r="Q1101" s="64"/>
      <c r="R1101" s="45"/>
      <c r="S1101" s="45"/>
      <c r="U1101" s="64"/>
      <c r="V1101" s="45"/>
      <c r="W1101" s="64"/>
      <c r="X1101" s="64"/>
      <c r="Y1101" s="45"/>
      <c r="Z1101" s="45"/>
      <c r="AA1101" s="105"/>
      <c r="AB1101" s="105"/>
      <c r="AC1101" s="105"/>
      <c r="AD1101" s="64"/>
      <c r="AH1101" s="64"/>
      <c r="AI1101" s="45"/>
      <c r="AJ1101" s="105"/>
      <c r="AK1101" s="105"/>
      <c r="AL1101" s="60"/>
      <c r="AM1101" s="60"/>
      <c r="AN1101" s="60"/>
      <c r="AO1101" s="60"/>
      <c r="AP1101" s="60"/>
      <c r="AQ1101" s="60"/>
      <c r="AR1101" s="60"/>
      <c r="AS1101" s="60"/>
      <c r="AT1101" s="45"/>
      <c r="AU1101" s="45"/>
      <c r="AW1101" s="45"/>
      <c r="AX1101" s="46">
        <f t="shared" si="52"/>
        <v>0</v>
      </c>
      <c r="AY1101" s="46">
        <f t="shared" si="53"/>
        <v>0</v>
      </c>
      <c r="AZ1101" s="46">
        <f t="shared" si="54"/>
        <v>0</v>
      </c>
    </row>
    <row r="1102" spans="3:52">
      <c r="C1102" s="102"/>
      <c r="D1102" s="3"/>
      <c r="F1102" s="3"/>
      <c r="G1102" s="3"/>
      <c r="H1102" s="3"/>
      <c r="J1102" s="3"/>
      <c r="K1102" s="3"/>
      <c r="L1102" s="4"/>
      <c r="M1102" s="3"/>
      <c r="O1102" s="58"/>
      <c r="Q1102" s="64"/>
      <c r="R1102" s="45"/>
      <c r="S1102" s="45"/>
      <c r="U1102" s="64"/>
      <c r="V1102" s="45"/>
      <c r="W1102" s="64"/>
      <c r="X1102" s="64"/>
      <c r="Y1102" s="45"/>
      <c r="Z1102" s="45"/>
      <c r="AA1102" s="105"/>
      <c r="AB1102" s="105"/>
      <c r="AC1102" s="105"/>
      <c r="AD1102" s="64"/>
      <c r="AG1102" s="45"/>
      <c r="AH1102" s="64"/>
      <c r="AI1102" s="45"/>
      <c r="AJ1102" s="105"/>
      <c r="AK1102" s="105"/>
      <c r="AL1102" s="60"/>
      <c r="AM1102" s="60"/>
      <c r="AN1102" s="60"/>
      <c r="AO1102" s="60"/>
      <c r="AP1102" s="60"/>
      <c r="AQ1102" s="60"/>
      <c r="AR1102" s="60"/>
      <c r="AS1102" s="60"/>
      <c r="AT1102" s="45"/>
      <c r="AU1102" s="45"/>
      <c r="AW1102" s="45"/>
      <c r="AX1102" s="46">
        <f t="shared" si="52"/>
        <v>0</v>
      </c>
      <c r="AY1102" s="46">
        <f t="shared" si="53"/>
        <v>0</v>
      </c>
      <c r="AZ1102" s="46">
        <f t="shared" si="54"/>
        <v>0</v>
      </c>
    </row>
    <row r="1103" spans="3:52">
      <c r="C1103" s="102"/>
      <c r="D1103" s="3"/>
      <c r="F1103" s="3"/>
      <c r="G1103" s="3"/>
      <c r="H1103" s="3"/>
      <c r="J1103" s="3"/>
      <c r="K1103" s="3"/>
      <c r="L1103" s="4"/>
      <c r="M1103" s="3"/>
      <c r="O1103" s="58"/>
      <c r="Q1103" s="64"/>
      <c r="R1103" s="45"/>
      <c r="S1103" s="45"/>
      <c r="U1103" s="64"/>
      <c r="V1103" s="45"/>
      <c r="W1103" s="64"/>
      <c r="X1103" s="64"/>
      <c r="Y1103" s="45"/>
      <c r="Z1103" s="45"/>
      <c r="AA1103" s="105"/>
      <c r="AB1103" s="105"/>
      <c r="AC1103" s="105"/>
      <c r="AD1103" s="64"/>
      <c r="AH1103" s="64"/>
      <c r="AI1103" s="45"/>
      <c r="AJ1103" s="105"/>
      <c r="AK1103" s="105"/>
      <c r="AL1103" s="60"/>
      <c r="AM1103" s="60"/>
      <c r="AN1103" s="60"/>
      <c r="AO1103" s="60"/>
      <c r="AP1103" s="60"/>
      <c r="AQ1103" s="60"/>
      <c r="AR1103" s="60"/>
      <c r="AS1103" s="60"/>
      <c r="AT1103" s="45"/>
      <c r="AU1103" s="45"/>
      <c r="AW1103" s="45"/>
      <c r="AX1103" s="46">
        <f t="shared" si="52"/>
        <v>0</v>
      </c>
      <c r="AY1103" s="46">
        <f t="shared" si="53"/>
        <v>0</v>
      </c>
      <c r="AZ1103" s="46">
        <f t="shared" si="54"/>
        <v>0</v>
      </c>
    </row>
    <row r="1104" spans="3:52">
      <c r="C1104" s="102"/>
      <c r="D1104" s="3"/>
      <c r="F1104" s="3"/>
      <c r="G1104" s="3"/>
      <c r="H1104" s="3"/>
      <c r="J1104" s="3"/>
      <c r="K1104" s="3"/>
      <c r="L1104" s="4"/>
      <c r="M1104" s="3"/>
      <c r="O1104" s="58"/>
      <c r="Q1104" s="64"/>
      <c r="R1104" s="45"/>
      <c r="S1104" s="45"/>
      <c r="U1104" s="64"/>
      <c r="V1104" s="45"/>
      <c r="W1104" s="64"/>
      <c r="X1104" s="64"/>
      <c r="Y1104" s="45"/>
      <c r="Z1104" s="45"/>
      <c r="AA1104" s="105"/>
      <c r="AB1104" s="105"/>
      <c r="AC1104" s="105"/>
      <c r="AD1104" s="64"/>
      <c r="AG1104" s="45"/>
      <c r="AH1104" s="64"/>
      <c r="AI1104" s="45"/>
      <c r="AJ1104" s="105"/>
      <c r="AK1104" s="105"/>
      <c r="AL1104" s="60"/>
      <c r="AM1104" s="60"/>
      <c r="AN1104" s="60"/>
      <c r="AO1104" s="60"/>
      <c r="AP1104" s="60"/>
      <c r="AQ1104" s="60"/>
      <c r="AR1104" s="60"/>
      <c r="AS1104" s="60"/>
      <c r="AT1104" s="45"/>
      <c r="AU1104" s="45"/>
      <c r="AW1104" s="45"/>
      <c r="AX1104" s="46">
        <f t="shared" si="52"/>
        <v>0</v>
      </c>
      <c r="AY1104" s="46">
        <f t="shared" si="53"/>
        <v>0</v>
      </c>
      <c r="AZ1104" s="46">
        <f t="shared" si="54"/>
        <v>0</v>
      </c>
    </row>
    <row r="1105" spans="3:52">
      <c r="C1105" s="102"/>
      <c r="D1105" s="3"/>
      <c r="F1105" s="3"/>
      <c r="G1105" s="3"/>
      <c r="H1105" s="3"/>
      <c r="J1105" s="3"/>
      <c r="K1105" s="3"/>
      <c r="L1105" s="4"/>
      <c r="M1105" s="3"/>
      <c r="N1105" s="70"/>
      <c r="O1105" s="58"/>
      <c r="Q1105" s="64"/>
      <c r="R1105" s="45"/>
      <c r="S1105" s="45"/>
      <c r="U1105" s="64"/>
      <c r="V1105" s="45"/>
      <c r="W1105" s="64"/>
      <c r="X1105" s="64"/>
      <c r="Y1105" s="45"/>
      <c r="Z1105" s="45"/>
      <c r="AA1105" s="105"/>
      <c r="AB1105" s="105"/>
      <c r="AC1105" s="105"/>
      <c r="AD1105" s="64"/>
      <c r="AG1105" s="45"/>
      <c r="AH1105" s="64"/>
      <c r="AI1105" s="45"/>
      <c r="AJ1105" s="105"/>
      <c r="AK1105" s="105"/>
      <c r="AL1105" s="60"/>
      <c r="AM1105" s="60"/>
      <c r="AN1105" s="60"/>
      <c r="AO1105" s="60"/>
      <c r="AP1105" s="60"/>
      <c r="AQ1105" s="60"/>
      <c r="AR1105" s="60"/>
      <c r="AS1105" s="60"/>
      <c r="AT1105" s="45"/>
      <c r="AU1105" s="45"/>
      <c r="AW1105" s="45"/>
      <c r="AX1105" s="46">
        <f t="shared" si="52"/>
        <v>0</v>
      </c>
      <c r="AY1105" s="46">
        <f t="shared" si="53"/>
        <v>0</v>
      </c>
      <c r="AZ1105" s="46">
        <f t="shared" si="54"/>
        <v>0</v>
      </c>
    </row>
    <row r="1106" spans="3:52">
      <c r="C1106" s="102"/>
      <c r="D1106" s="3"/>
      <c r="F1106" s="3"/>
      <c r="G1106" s="3"/>
      <c r="H1106" s="3"/>
      <c r="J1106" s="3"/>
      <c r="K1106" s="3"/>
      <c r="L1106" s="4"/>
      <c r="M1106" s="3"/>
      <c r="O1106" s="58"/>
      <c r="Q1106" s="64"/>
      <c r="R1106" s="45"/>
      <c r="S1106" s="45"/>
      <c r="U1106" s="64"/>
      <c r="V1106" s="45"/>
      <c r="W1106" s="64"/>
      <c r="X1106" s="64"/>
      <c r="Y1106" s="45"/>
      <c r="Z1106" s="45"/>
      <c r="AA1106" s="105"/>
      <c r="AB1106" s="105"/>
      <c r="AC1106" s="105"/>
      <c r="AD1106" s="64"/>
      <c r="AH1106" s="64"/>
      <c r="AI1106" s="45"/>
      <c r="AJ1106" s="105"/>
      <c r="AK1106" s="105"/>
      <c r="AL1106" s="60"/>
      <c r="AM1106" s="60"/>
      <c r="AN1106" s="60"/>
      <c r="AO1106" s="60"/>
      <c r="AP1106" s="60"/>
      <c r="AQ1106" s="60"/>
      <c r="AR1106" s="60"/>
      <c r="AS1106" s="60"/>
      <c r="AT1106" s="45"/>
      <c r="AU1106" s="45"/>
      <c r="AW1106" s="45"/>
      <c r="AX1106" s="46">
        <f t="shared" si="52"/>
        <v>0</v>
      </c>
      <c r="AY1106" s="46">
        <f t="shared" si="53"/>
        <v>0</v>
      </c>
      <c r="AZ1106" s="46">
        <f t="shared" si="54"/>
        <v>0</v>
      </c>
    </row>
    <row r="1107" spans="3:52">
      <c r="C1107" s="102"/>
      <c r="D1107" s="3"/>
      <c r="F1107" s="3"/>
      <c r="G1107" s="3"/>
      <c r="H1107" s="3"/>
      <c r="J1107" s="3"/>
      <c r="K1107" s="3"/>
      <c r="L1107" s="4"/>
      <c r="M1107" s="3"/>
      <c r="O1107" s="58"/>
      <c r="Q1107" s="64"/>
      <c r="R1107" s="45"/>
      <c r="S1107" s="45"/>
      <c r="U1107" s="64"/>
      <c r="V1107" s="45"/>
      <c r="W1107" s="64"/>
      <c r="X1107" s="64"/>
      <c r="Y1107" s="45"/>
      <c r="Z1107" s="45"/>
      <c r="AA1107" s="105"/>
      <c r="AB1107" s="105"/>
      <c r="AC1107" s="105"/>
      <c r="AD1107" s="64"/>
      <c r="AH1107" s="64"/>
      <c r="AI1107" s="45"/>
      <c r="AJ1107" s="105"/>
      <c r="AK1107" s="105"/>
      <c r="AL1107" s="60"/>
      <c r="AM1107" s="60"/>
      <c r="AN1107" s="60"/>
      <c r="AO1107" s="60"/>
      <c r="AP1107" s="60"/>
      <c r="AQ1107" s="60"/>
      <c r="AR1107" s="60"/>
      <c r="AS1107" s="60"/>
      <c r="AT1107" s="45"/>
      <c r="AU1107" s="45"/>
      <c r="AW1107" s="45"/>
      <c r="AX1107" s="46">
        <f t="shared" si="52"/>
        <v>0</v>
      </c>
      <c r="AY1107" s="46">
        <f t="shared" si="53"/>
        <v>0</v>
      </c>
      <c r="AZ1107" s="46">
        <f t="shared" si="54"/>
        <v>0</v>
      </c>
    </row>
    <row r="1108" spans="3:52">
      <c r="C1108" s="102"/>
      <c r="D1108" s="3"/>
      <c r="F1108" s="3"/>
      <c r="G1108" s="3"/>
      <c r="H1108" s="3"/>
      <c r="J1108" s="3"/>
      <c r="K1108" s="3"/>
      <c r="L1108" s="4"/>
      <c r="M1108" s="3"/>
      <c r="O1108" s="58"/>
      <c r="Q1108" s="64"/>
      <c r="R1108" s="45"/>
      <c r="S1108" s="45"/>
      <c r="U1108" s="64"/>
      <c r="V1108" s="45"/>
      <c r="W1108" s="64"/>
      <c r="X1108" s="64"/>
      <c r="Y1108" s="45"/>
      <c r="Z1108" s="45"/>
      <c r="AA1108" s="105"/>
      <c r="AB1108" s="105"/>
      <c r="AC1108" s="105"/>
      <c r="AD1108" s="64"/>
      <c r="AH1108" s="64"/>
      <c r="AI1108" s="45"/>
      <c r="AJ1108" s="105"/>
      <c r="AK1108" s="105"/>
      <c r="AL1108" s="60"/>
      <c r="AM1108" s="60"/>
      <c r="AN1108" s="60"/>
      <c r="AO1108" s="60"/>
      <c r="AP1108" s="60"/>
      <c r="AQ1108" s="60"/>
      <c r="AR1108" s="60"/>
      <c r="AS1108" s="60"/>
      <c r="AT1108" s="45"/>
      <c r="AU1108" s="45"/>
      <c r="AW1108" s="45"/>
      <c r="AX1108" s="46">
        <f t="shared" si="52"/>
        <v>0</v>
      </c>
      <c r="AY1108" s="46">
        <f t="shared" si="53"/>
        <v>0</v>
      </c>
      <c r="AZ1108" s="46">
        <f t="shared" si="54"/>
        <v>0</v>
      </c>
    </row>
    <row r="1109" spans="3:52">
      <c r="C1109" s="102"/>
      <c r="D1109" s="3"/>
      <c r="F1109" s="3"/>
      <c r="G1109" s="3"/>
      <c r="H1109" s="3"/>
      <c r="J1109" s="3"/>
      <c r="K1109" s="3"/>
      <c r="L1109" s="4"/>
      <c r="M1109" s="3"/>
      <c r="O1109" s="58"/>
      <c r="Q1109" s="64"/>
      <c r="R1109" s="45"/>
      <c r="S1109" s="45"/>
      <c r="U1109" s="64"/>
      <c r="V1109" s="45"/>
      <c r="W1109" s="64"/>
      <c r="X1109" s="64"/>
      <c r="Y1109" s="45"/>
      <c r="Z1109" s="45"/>
      <c r="AA1109" s="105"/>
      <c r="AB1109" s="105"/>
      <c r="AC1109" s="105"/>
      <c r="AD1109" s="64"/>
      <c r="AH1109" s="64"/>
      <c r="AI1109" s="45"/>
      <c r="AJ1109" s="105"/>
      <c r="AK1109" s="105"/>
      <c r="AL1109" s="60"/>
      <c r="AM1109" s="60"/>
      <c r="AN1109" s="60"/>
      <c r="AO1109" s="60"/>
      <c r="AP1109" s="60"/>
      <c r="AQ1109" s="60"/>
      <c r="AR1109" s="60"/>
      <c r="AS1109" s="60"/>
      <c r="AT1109" s="45"/>
      <c r="AU1109" s="45"/>
      <c r="AW1109" s="45"/>
      <c r="AX1109" s="46">
        <f t="shared" si="52"/>
        <v>0</v>
      </c>
      <c r="AY1109" s="46">
        <f t="shared" si="53"/>
        <v>0</v>
      </c>
      <c r="AZ1109" s="46">
        <f t="shared" si="54"/>
        <v>0</v>
      </c>
    </row>
    <row r="1110" spans="3:52">
      <c r="C1110" s="102"/>
      <c r="D1110" s="3"/>
      <c r="F1110" s="3"/>
      <c r="G1110" s="3"/>
      <c r="H1110" s="3"/>
      <c r="J1110" s="3"/>
      <c r="K1110" s="3"/>
      <c r="L1110" s="4"/>
      <c r="M1110" s="3"/>
      <c r="O1110" s="58"/>
      <c r="Q1110" s="64"/>
      <c r="R1110" s="45"/>
      <c r="S1110" s="45"/>
      <c r="U1110" s="64"/>
      <c r="V1110" s="45"/>
      <c r="W1110" s="64"/>
      <c r="X1110" s="64"/>
      <c r="Y1110" s="45"/>
      <c r="Z1110" s="45"/>
      <c r="AA1110" s="105"/>
      <c r="AB1110" s="105"/>
      <c r="AC1110" s="105"/>
      <c r="AD1110" s="64"/>
      <c r="AG1110" s="45"/>
      <c r="AH1110" s="64"/>
      <c r="AI1110" s="45"/>
      <c r="AJ1110" s="105"/>
      <c r="AK1110" s="105"/>
      <c r="AL1110" s="60"/>
      <c r="AM1110" s="60"/>
      <c r="AN1110" s="60"/>
      <c r="AO1110" s="60"/>
      <c r="AP1110" s="60"/>
      <c r="AQ1110" s="60"/>
      <c r="AR1110" s="60"/>
      <c r="AS1110" s="60"/>
      <c r="AT1110" s="45"/>
      <c r="AU1110" s="45"/>
      <c r="AW1110" s="45"/>
      <c r="AX1110" s="46">
        <f t="shared" si="52"/>
        <v>0</v>
      </c>
      <c r="AY1110" s="46">
        <f t="shared" si="53"/>
        <v>0</v>
      </c>
      <c r="AZ1110" s="46">
        <f t="shared" si="54"/>
        <v>0</v>
      </c>
    </row>
    <row r="1111" spans="3:52">
      <c r="C1111" s="102"/>
      <c r="D1111" s="3"/>
      <c r="F1111" s="3"/>
      <c r="G1111" s="3"/>
      <c r="H1111" s="3"/>
      <c r="J1111" s="3"/>
      <c r="K1111" s="3"/>
      <c r="L1111" s="4"/>
      <c r="M1111" s="3"/>
      <c r="O1111" s="58"/>
      <c r="Q1111" s="64"/>
      <c r="R1111" s="45"/>
      <c r="S1111" s="45"/>
      <c r="U1111" s="64"/>
      <c r="V1111" s="45"/>
      <c r="W1111" s="64"/>
      <c r="X1111" s="64"/>
      <c r="Y1111" s="45"/>
      <c r="Z1111" s="45"/>
      <c r="AA1111" s="105"/>
      <c r="AB1111" s="105"/>
      <c r="AC1111" s="105"/>
      <c r="AD1111" s="64"/>
      <c r="AH1111" s="64"/>
      <c r="AI1111" s="45"/>
      <c r="AJ1111" s="105"/>
      <c r="AK1111" s="105"/>
      <c r="AL1111" s="60"/>
      <c r="AM1111" s="60"/>
      <c r="AN1111" s="60"/>
      <c r="AO1111" s="60"/>
      <c r="AP1111" s="60"/>
      <c r="AQ1111" s="60"/>
      <c r="AR1111" s="60"/>
      <c r="AS1111" s="60"/>
      <c r="AT1111" s="45"/>
      <c r="AU1111" s="45"/>
      <c r="AW1111" s="45"/>
      <c r="AX1111" s="46">
        <f t="shared" si="52"/>
        <v>0</v>
      </c>
      <c r="AY1111" s="46">
        <f t="shared" si="53"/>
        <v>0</v>
      </c>
      <c r="AZ1111" s="46">
        <f t="shared" si="54"/>
        <v>0</v>
      </c>
    </row>
    <row r="1112" spans="3:52">
      <c r="C1112" s="102"/>
      <c r="D1112" s="3"/>
      <c r="F1112" s="3"/>
      <c r="G1112" s="3"/>
      <c r="H1112" s="3"/>
      <c r="J1112" s="3"/>
      <c r="K1112" s="3"/>
      <c r="L1112" s="4"/>
      <c r="M1112" s="3"/>
      <c r="O1112" s="58"/>
      <c r="Q1112" s="64"/>
      <c r="R1112" s="45"/>
      <c r="S1112" s="45"/>
      <c r="U1112" s="64"/>
      <c r="V1112" s="45"/>
      <c r="W1112" s="64"/>
      <c r="X1112" s="64"/>
      <c r="Y1112" s="45"/>
      <c r="Z1112" s="45"/>
      <c r="AA1112" s="105"/>
      <c r="AB1112" s="105"/>
      <c r="AC1112" s="105"/>
      <c r="AD1112" s="64"/>
      <c r="AG1112" s="45"/>
      <c r="AH1112" s="64"/>
      <c r="AI1112" s="45"/>
      <c r="AJ1112" s="105"/>
      <c r="AK1112" s="105"/>
      <c r="AL1112" s="60"/>
      <c r="AM1112" s="60"/>
      <c r="AN1112" s="60"/>
      <c r="AO1112" s="60"/>
      <c r="AP1112" s="60"/>
      <c r="AQ1112" s="60"/>
      <c r="AR1112" s="60"/>
      <c r="AS1112" s="60"/>
      <c r="AT1112" s="45"/>
      <c r="AU1112" s="45"/>
      <c r="AW1112" s="45"/>
      <c r="AX1112" s="46">
        <f t="shared" si="52"/>
        <v>0</v>
      </c>
      <c r="AY1112" s="46">
        <f t="shared" si="53"/>
        <v>0</v>
      </c>
      <c r="AZ1112" s="46">
        <f t="shared" si="54"/>
        <v>0</v>
      </c>
    </row>
    <row r="1113" spans="3:52">
      <c r="C1113" s="102"/>
      <c r="D1113" s="3"/>
      <c r="F1113" s="3"/>
      <c r="G1113" s="3"/>
      <c r="H1113" s="3"/>
      <c r="J1113" s="3"/>
      <c r="K1113" s="3"/>
      <c r="L1113" s="4"/>
      <c r="M1113" s="3"/>
      <c r="O1113" s="58"/>
      <c r="Q1113" s="64"/>
      <c r="R1113" s="45"/>
      <c r="S1113" s="45"/>
      <c r="U1113" s="64"/>
      <c r="V1113" s="45"/>
      <c r="W1113" s="64"/>
      <c r="X1113" s="64"/>
      <c r="Y1113" s="45"/>
      <c r="Z1113" s="45"/>
      <c r="AA1113" s="105"/>
      <c r="AB1113" s="105"/>
      <c r="AC1113" s="105"/>
      <c r="AD1113" s="64"/>
      <c r="AH1113" s="64"/>
      <c r="AI1113" s="45"/>
      <c r="AJ1113" s="105"/>
      <c r="AK1113" s="105"/>
      <c r="AL1113" s="60"/>
      <c r="AM1113" s="60"/>
      <c r="AN1113" s="60"/>
      <c r="AO1113" s="60"/>
      <c r="AP1113" s="60"/>
      <c r="AQ1113" s="60"/>
      <c r="AR1113" s="60"/>
      <c r="AS1113" s="60"/>
      <c r="AT1113" s="45"/>
      <c r="AU1113" s="45"/>
      <c r="AW1113" s="45"/>
      <c r="AX1113" s="46">
        <f t="shared" si="52"/>
        <v>0</v>
      </c>
      <c r="AY1113" s="46">
        <f t="shared" si="53"/>
        <v>0</v>
      </c>
      <c r="AZ1113" s="46">
        <f t="shared" si="54"/>
        <v>0</v>
      </c>
    </row>
    <row r="1114" spans="3:52">
      <c r="C1114" s="102"/>
      <c r="D1114" s="3"/>
      <c r="F1114" s="3"/>
      <c r="G1114" s="3"/>
      <c r="H1114" s="3"/>
      <c r="J1114" s="3"/>
      <c r="K1114" s="3"/>
      <c r="L1114" s="4"/>
      <c r="M1114" s="3"/>
      <c r="O1114" s="58"/>
      <c r="Q1114" s="64"/>
      <c r="R1114" s="45"/>
      <c r="S1114" s="45"/>
      <c r="U1114" s="64"/>
      <c r="V1114" s="45"/>
      <c r="W1114" s="64"/>
      <c r="X1114" s="64"/>
      <c r="Y1114" s="45"/>
      <c r="Z1114" s="45"/>
      <c r="AA1114" s="105"/>
      <c r="AB1114" s="105"/>
      <c r="AC1114" s="105"/>
      <c r="AD1114" s="64"/>
      <c r="AH1114" s="64"/>
      <c r="AI1114" s="45"/>
      <c r="AJ1114" s="105"/>
      <c r="AK1114" s="105"/>
      <c r="AL1114" s="60"/>
      <c r="AM1114" s="60"/>
      <c r="AN1114" s="60"/>
      <c r="AO1114" s="60"/>
      <c r="AP1114" s="60"/>
      <c r="AQ1114" s="60"/>
      <c r="AR1114" s="60"/>
      <c r="AS1114" s="60"/>
      <c r="AT1114" s="45"/>
      <c r="AU1114" s="45"/>
      <c r="AW1114" s="45"/>
      <c r="AX1114" s="46">
        <f t="shared" si="52"/>
        <v>0</v>
      </c>
      <c r="AY1114" s="46">
        <f t="shared" si="53"/>
        <v>0</v>
      </c>
      <c r="AZ1114" s="46">
        <f t="shared" si="54"/>
        <v>0</v>
      </c>
    </row>
    <row r="1115" spans="3:52">
      <c r="C1115" s="102"/>
      <c r="D1115" s="3"/>
      <c r="F1115" s="3"/>
      <c r="G1115" s="3"/>
      <c r="H1115" s="3"/>
      <c r="J1115" s="3"/>
      <c r="K1115" s="3"/>
      <c r="L1115" s="4"/>
      <c r="M1115" s="3"/>
      <c r="O1115" s="58"/>
      <c r="Q1115" s="64"/>
      <c r="R1115" s="45"/>
      <c r="S1115" s="45"/>
      <c r="U1115" s="64"/>
      <c r="V1115" s="45"/>
      <c r="W1115" s="64"/>
      <c r="X1115" s="64"/>
      <c r="Y1115" s="45"/>
      <c r="Z1115" s="45"/>
      <c r="AA1115" s="105"/>
      <c r="AB1115" s="105"/>
      <c r="AC1115" s="105"/>
      <c r="AD1115" s="64"/>
      <c r="AG1115" s="45"/>
      <c r="AH1115" s="64"/>
      <c r="AI1115" s="45"/>
      <c r="AJ1115" s="105"/>
      <c r="AK1115" s="105"/>
      <c r="AL1115" s="60"/>
      <c r="AM1115" s="60"/>
      <c r="AN1115" s="60"/>
      <c r="AO1115" s="60"/>
      <c r="AP1115" s="60"/>
      <c r="AQ1115" s="60"/>
      <c r="AR1115" s="60"/>
      <c r="AS1115" s="60"/>
      <c r="AT1115" s="45"/>
      <c r="AU1115" s="45"/>
      <c r="AW1115" s="45"/>
      <c r="AX1115" s="46">
        <f t="shared" si="52"/>
        <v>0</v>
      </c>
      <c r="AY1115" s="46">
        <f t="shared" si="53"/>
        <v>0</v>
      </c>
      <c r="AZ1115" s="46">
        <f t="shared" si="54"/>
        <v>0</v>
      </c>
    </row>
    <row r="1116" spans="3:52">
      <c r="C1116" s="102"/>
      <c r="D1116" s="3"/>
      <c r="F1116" s="3"/>
      <c r="G1116" s="3"/>
      <c r="H1116" s="3"/>
      <c r="J1116" s="3"/>
      <c r="K1116" s="3"/>
      <c r="L1116" s="4"/>
      <c r="M1116" s="3"/>
      <c r="O1116" s="58"/>
      <c r="Q1116" s="64"/>
      <c r="R1116" s="45"/>
      <c r="S1116" s="45"/>
      <c r="U1116" s="64"/>
      <c r="V1116" s="45"/>
      <c r="W1116" s="64"/>
      <c r="X1116" s="64"/>
      <c r="Y1116" s="45"/>
      <c r="Z1116" s="45"/>
      <c r="AA1116" s="105"/>
      <c r="AB1116" s="105"/>
      <c r="AC1116" s="105"/>
      <c r="AD1116" s="64"/>
      <c r="AG1116" s="45"/>
      <c r="AH1116" s="64"/>
      <c r="AI1116" s="45"/>
      <c r="AJ1116" s="105"/>
      <c r="AK1116" s="105"/>
      <c r="AL1116" s="60"/>
      <c r="AM1116" s="60"/>
      <c r="AN1116" s="60"/>
      <c r="AO1116" s="60"/>
      <c r="AP1116" s="60"/>
      <c r="AQ1116" s="60"/>
      <c r="AR1116" s="60"/>
      <c r="AS1116" s="60"/>
      <c r="AT1116" s="45"/>
      <c r="AU1116" s="45"/>
      <c r="AW1116" s="45"/>
      <c r="AX1116" s="46">
        <f t="shared" si="52"/>
        <v>0</v>
      </c>
      <c r="AY1116" s="46">
        <f t="shared" si="53"/>
        <v>0</v>
      </c>
      <c r="AZ1116" s="46">
        <f t="shared" si="54"/>
        <v>0</v>
      </c>
    </row>
    <row r="1117" spans="3:52">
      <c r="C1117" s="102"/>
      <c r="D1117" s="3"/>
      <c r="F1117" s="3"/>
      <c r="G1117" s="3"/>
      <c r="H1117" s="3"/>
      <c r="J1117" s="3"/>
      <c r="K1117" s="3"/>
      <c r="L1117" s="4"/>
      <c r="M1117" s="3"/>
      <c r="O1117" s="58"/>
      <c r="Q1117" s="64"/>
      <c r="R1117" s="45"/>
      <c r="S1117" s="45"/>
      <c r="U1117" s="64"/>
      <c r="V1117" s="45"/>
      <c r="W1117" s="64"/>
      <c r="X1117" s="64"/>
      <c r="Y1117" s="45"/>
      <c r="Z1117" s="45"/>
      <c r="AA1117" s="105"/>
      <c r="AB1117" s="105"/>
      <c r="AC1117" s="105"/>
      <c r="AD1117" s="64"/>
      <c r="AG1117" s="45"/>
      <c r="AH1117" s="64"/>
      <c r="AI1117" s="45"/>
      <c r="AJ1117" s="105"/>
      <c r="AK1117" s="105"/>
      <c r="AL1117" s="60"/>
      <c r="AM1117" s="60"/>
      <c r="AN1117" s="60"/>
      <c r="AO1117" s="60"/>
      <c r="AP1117" s="60"/>
      <c r="AQ1117" s="60"/>
      <c r="AR1117" s="60"/>
      <c r="AS1117" s="60"/>
      <c r="AT1117" s="45"/>
      <c r="AU1117" s="45"/>
      <c r="AW1117" s="45"/>
      <c r="AX1117" s="46">
        <f t="shared" si="52"/>
        <v>0</v>
      </c>
      <c r="AY1117" s="46">
        <f t="shared" si="53"/>
        <v>0</v>
      </c>
      <c r="AZ1117" s="46">
        <f t="shared" si="54"/>
        <v>0</v>
      </c>
    </row>
    <row r="1118" spans="3:52">
      <c r="C1118" s="102"/>
      <c r="D1118" s="3"/>
      <c r="F1118" s="3"/>
      <c r="G1118" s="3"/>
      <c r="H1118" s="3"/>
      <c r="J1118" s="3"/>
      <c r="K1118" s="3"/>
      <c r="L1118" s="4"/>
      <c r="M1118" s="3"/>
      <c r="O1118" s="58"/>
      <c r="Q1118" s="64"/>
      <c r="R1118" s="45"/>
      <c r="S1118" s="45"/>
      <c r="U1118" s="64"/>
      <c r="V1118" s="45"/>
      <c r="W1118" s="64"/>
      <c r="X1118" s="64"/>
      <c r="Y1118" s="45"/>
      <c r="Z1118" s="45"/>
      <c r="AA1118" s="105"/>
      <c r="AB1118" s="105"/>
      <c r="AC1118" s="105"/>
      <c r="AD1118" s="64"/>
      <c r="AH1118" s="64"/>
      <c r="AI1118" s="45"/>
      <c r="AJ1118" s="105"/>
      <c r="AK1118" s="105"/>
      <c r="AL1118" s="60"/>
      <c r="AM1118" s="60"/>
      <c r="AN1118" s="60"/>
      <c r="AO1118" s="60"/>
      <c r="AP1118" s="60"/>
      <c r="AQ1118" s="60"/>
      <c r="AR1118" s="60"/>
      <c r="AS1118" s="60"/>
      <c r="AT1118" s="45"/>
      <c r="AU1118" s="45"/>
      <c r="AW1118" s="45"/>
      <c r="AX1118" s="46">
        <f t="shared" si="52"/>
        <v>0</v>
      </c>
      <c r="AY1118" s="46">
        <f t="shared" si="53"/>
        <v>0</v>
      </c>
      <c r="AZ1118" s="46">
        <f t="shared" si="54"/>
        <v>0</v>
      </c>
    </row>
    <row r="1119" spans="3:52">
      <c r="C1119" s="102"/>
      <c r="D1119" s="3"/>
      <c r="F1119" s="3"/>
      <c r="G1119" s="3"/>
      <c r="H1119" s="3"/>
      <c r="J1119" s="3"/>
      <c r="K1119" s="3"/>
      <c r="L1119" s="4"/>
      <c r="M1119" s="3"/>
      <c r="O1119" s="58"/>
      <c r="Q1119" s="64"/>
      <c r="R1119" s="45"/>
      <c r="S1119" s="45"/>
      <c r="U1119" s="64"/>
      <c r="V1119" s="45"/>
      <c r="W1119" s="64"/>
      <c r="X1119" s="64"/>
      <c r="Y1119" s="45"/>
      <c r="Z1119" s="45"/>
      <c r="AA1119" s="105"/>
      <c r="AB1119" s="105"/>
      <c r="AC1119" s="105"/>
      <c r="AD1119" s="64"/>
      <c r="AH1119" s="64"/>
      <c r="AI1119" s="45"/>
      <c r="AJ1119" s="105"/>
      <c r="AK1119" s="105"/>
      <c r="AL1119" s="60"/>
      <c r="AM1119" s="60"/>
      <c r="AN1119" s="60"/>
      <c r="AO1119" s="60"/>
      <c r="AP1119" s="60"/>
      <c r="AQ1119" s="60"/>
      <c r="AR1119" s="60"/>
      <c r="AS1119" s="60"/>
      <c r="AT1119" s="45"/>
      <c r="AU1119" s="45"/>
      <c r="AW1119" s="45"/>
      <c r="AX1119" s="46">
        <f t="shared" si="52"/>
        <v>0</v>
      </c>
      <c r="AY1119" s="46">
        <f t="shared" si="53"/>
        <v>0</v>
      </c>
      <c r="AZ1119" s="46">
        <f t="shared" si="54"/>
        <v>0</v>
      </c>
    </row>
    <row r="1120" spans="3:52">
      <c r="C1120" s="102"/>
      <c r="D1120" s="3"/>
      <c r="F1120" s="3"/>
      <c r="G1120" s="3"/>
      <c r="H1120" s="3"/>
      <c r="J1120" s="3"/>
      <c r="K1120" s="3"/>
      <c r="L1120" s="4"/>
      <c r="M1120" s="3"/>
      <c r="O1120" s="58"/>
      <c r="Q1120" s="64"/>
      <c r="R1120" s="45"/>
      <c r="S1120" s="45"/>
      <c r="U1120" s="64"/>
      <c r="V1120" s="45"/>
      <c r="W1120" s="64"/>
      <c r="X1120" s="64"/>
      <c r="Y1120" s="45"/>
      <c r="Z1120" s="45"/>
      <c r="AA1120" s="105"/>
      <c r="AB1120" s="105"/>
      <c r="AC1120" s="105"/>
      <c r="AD1120" s="64"/>
      <c r="AH1120" s="64"/>
      <c r="AI1120" s="45"/>
      <c r="AJ1120" s="105"/>
      <c r="AK1120" s="105"/>
      <c r="AL1120" s="60"/>
      <c r="AM1120" s="60"/>
      <c r="AN1120" s="60"/>
      <c r="AO1120" s="60"/>
      <c r="AP1120" s="60"/>
      <c r="AQ1120" s="60"/>
      <c r="AR1120" s="60"/>
      <c r="AS1120" s="60"/>
      <c r="AT1120" s="45"/>
      <c r="AU1120" s="45"/>
      <c r="AW1120" s="45"/>
      <c r="AX1120" s="46">
        <f t="shared" si="52"/>
        <v>0</v>
      </c>
      <c r="AY1120" s="46">
        <f t="shared" si="53"/>
        <v>0</v>
      </c>
      <c r="AZ1120" s="46">
        <f t="shared" si="54"/>
        <v>0</v>
      </c>
    </row>
    <row r="1121" spans="3:52">
      <c r="C1121" s="102"/>
      <c r="D1121" s="3"/>
      <c r="F1121" s="3"/>
      <c r="G1121" s="3"/>
      <c r="H1121" s="3"/>
      <c r="J1121" s="3"/>
      <c r="K1121" s="3"/>
      <c r="L1121" s="4"/>
      <c r="M1121" s="3"/>
      <c r="O1121" s="58"/>
      <c r="Q1121" s="64"/>
      <c r="R1121" s="45"/>
      <c r="S1121" s="45"/>
      <c r="U1121" s="64"/>
      <c r="V1121" s="45"/>
      <c r="W1121" s="64"/>
      <c r="X1121" s="64"/>
      <c r="Y1121" s="45"/>
      <c r="Z1121" s="45"/>
      <c r="AA1121" s="105"/>
      <c r="AB1121" s="105"/>
      <c r="AC1121" s="105"/>
      <c r="AD1121" s="64"/>
      <c r="AH1121" s="64"/>
      <c r="AI1121" s="45"/>
      <c r="AJ1121" s="105"/>
      <c r="AK1121" s="105"/>
      <c r="AL1121" s="60"/>
      <c r="AM1121" s="60"/>
      <c r="AN1121" s="60"/>
      <c r="AO1121" s="60"/>
      <c r="AP1121" s="60"/>
      <c r="AQ1121" s="60"/>
      <c r="AR1121" s="60"/>
      <c r="AS1121" s="60"/>
      <c r="AT1121" s="45"/>
      <c r="AU1121" s="45"/>
      <c r="AW1121" s="45"/>
      <c r="AX1121" s="46">
        <f t="shared" si="52"/>
        <v>0</v>
      </c>
      <c r="AY1121" s="46">
        <f t="shared" si="53"/>
        <v>0</v>
      </c>
      <c r="AZ1121" s="46">
        <f t="shared" si="54"/>
        <v>0</v>
      </c>
    </row>
    <row r="1122" spans="3:52">
      <c r="C1122" s="102"/>
      <c r="D1122" s="3"/>
      <c r="F1122" s="3"/>
      <c r="G1122" s="3"/>
      <c r="H1122" s="3"/>
      <c r="J1122" s="3"/>
      <c r="K1122" s="3"/>
      <c r="L1122" s="4"/>
      <c r="M1122" s="3"/>
      <c r="O1122" s="58"/>
      <c r="Q1122" s="64"/>
      <c r="R1122" s="45"/>
      <c r="S1122" s="45"/>
      <c r="U1122" s="64"/>
      <c r="V1122" s="45"/>
      <c r="W1122" s="64"/>
      <c r="X1122" s="64"/>
      <c r="Y1122" s="45"/>
      <c r="Z1122" s="45"/>
      <c r="AA1122" s="105"/>
      <c r="AB1122" s="105"/>
      <c r="AC1122" s="105"/>
      <c r="AD1122" s="64"/>
      <c r="AH1122" s="64"/>
      <c r="AI1122" s="45"/>
      <c r="AJ1122" s="105"/>
      <c r="AK1122" s="105"/>
      <c r="AL1122" s="60"/>
      <c r="AM1122" s="60"/>
      <c r="AN1122" s="60"/>
      <c r="AO1122" s="60"/>
      <c r="AP1122" s="60"/>
      <c r="AQ1122" s="60"/>
      <c r="AR1122" s="60"/>
      <c r="AS1122" s="60"/>
      <c r="AT1122" s="45"/>
      <c r="AU1122" s="45"/>
      <c r="AW1122" s="45"/>
      <c r="AX1122" s="46">
        <f t="shared" si="52"/>
        <v>0</v>
      </c>
      <c r="AY1122" s="46">
        <f t="shared" si="53"/>
        <v>0</v>
      </c>
      <c r="AZ1122" s="46">
        <f t="shared" si="54"/>
        <v>0</v>
      </c>
    </row>
    <row r="1123" spans="3:52">
      <c r="C1123" s="102"/>
      <c r="D1123" s="3"/>
      <c r="F1123" s="3"/>
      <c r="G1123" s="3"/>
      <c r="H1123" s="3"/>
      <c r="J1123" s="3"/>
      <c r="K1123" s="3"/>
      <c r="L1123" s="4"/>
      <c r="M1123" s="3"/>
      <c r="O1123" s="58"/>
      <c r="Q1123" s="64"/>
      <c r="R1123" s="45"/>
      <c r="S1123" s="45"/>
      <c r="U1123" s="64"/>
      <c r="V1123" s="45"/>
      <c r="W1123" s="64"/>
      <c r="X1123" s="64"/>
      <c r="Y1123" s="45"/>
      <c r="Z1123" s="45"/>
      <c r="AA1123" s="105"/>
      <c r="AB1123" s="105"/>
      <c r="AC1123" s="105"/>
      <c r="AD1123" s="64"/>
      <c r="AH1123" s="64"/>
      <c r="AI1123" s="45"/>
      <c r="AJ1123" s="105"/>
      <c r="AK1123" s="105"/>
      <c r="AL1123" s="60"/>
      <c r="AM1123" s="60"/>
      <c r="AN1123" s="60"/>
      <c r="AO1123" s="60"/>
      <c r="AP1123" s="60"/>
      <c r="AQ1123" s="60"/>
      <c r="AR1123" s="60"/>
      <c r="AS1123" s="60"/>
      <c r="AT1123" s="45"/>
      <c r="AU1123" s="45"/>
      <c r="AW1123" s="45"/>
      <c r="AX1123" s="46">
        <f t="shared" si="52"/>
        <v>0</v>
      </c>
      <c r="AY1123" s="46">
        <f t="shared" si="53"/>
        <v>0</v>
      </c>
      <c r="AZ1123" s="46">
        <f t="shared" si="54"/>
        <v>0</v>
      </c>
    </row>
    <row r="1124" spans="3:52">
      <c r="C1124" s="102"/>
      <c r="D1124" s="3"/>
      <c r="F1124" s="3"/>
      <c r="G1124" s="3"/>
      <c r="H1124" s="3"/>
      <c r="J1124" s="3"/>
      <c r="K1124" s="3"/>
      <c r="L1124" s="4"/>
      <c r="M1124" s="3"/>
      <c r="O1124" s="58"/>
      <c r="Q1124" s="64"/>
      <c r="R1124" s="45"/>
      <c r="S1124" s="45"/>
      <c r="U1124" s="64"/>
      <c r="V1124" s="45"/>
      <c r="W1124" s="64"/>
      <c r="X1124" s="64"/>
      <c r="Y1124" s="45"/>
      <c r="Z1124" s="45"/>
      <c r="AA1124" s="105"/>
      <c r="AB1124" s="105"/>
      <c r="AC1124" s="105"/>
      <c r="AD1124" s="64"/>
      <c r="AH1124" s="64"/>
      <c r="AI1124" s="45"/>
      <c r="AJ1124" s="105"/>
      <c r="AK1124" s="105"/>
      <c r="AL1124" s="60"/>
      <c r="AM1124" s="60"/>
      <c r="AN1124" s="60"/>
      <c r="AO1124" s="60"/>
      <c r="AP1124" s="60"/>
      <c r="AQ1124" s="60"/>
      <c r="AR1124" s="60"/>
      <c r="AS1124" s="60"/>
      <c r="AT1124" s="45"/>
      <c r="AU1124" s="45"/>
      <c r="AW1124" s="45"/>
      <c r="AX1124" s="46">
        <f t="shared" si="52"/>
        <v>0</v>
      </c>
      <c r="AY1124" s="46">
        <f t="shared" si="53"/>
        <v>0</v>
      </c>
      <c r="AZ1124" s="46">
        <f t="shared" si="54"/>
        <v>0</v>
      </c>
    </row>
    <row r="1125" spans="3:52">
      <c r="C1125" s="102"/>
      <c r="D1125" s="3"/>
      <c r="F1125" s="3"/>
      <c r="G1125" s="3"/>
      <c r="H1125" s="3"/>
      <c r="J1125" s="3"/>
      <c r="K1125" s="3"/>
      <c r="L1125" s="4"/>
      <c r="M1125" s="3"/>
      <c r="O1125" s="58"/>
      <c r="Q1125" s="64"/>
      <c r="R1125" s="45"/>
      <c r="S1125" s="45"/>
      <c r="U1125" s="64"/>
      <c r="V1125" s="45"/>
      <c r="W1125" s="64"/>
      <c r="X1125" s="64"/>
      <c r="Y1125" s="45"/>
      <c r="Z1125" s="45"/>
      <c r="AA1125" s="105"/>
      <c r="AB1125" s="105"/>
      <c r="AC1125" s="105"/>
      <c r="AD1125" s="64"/>
      <c r="AH1125" s="64"/>
      <c r="AI1125" s="45"/>
      <c r="AJ1125" s="105"/>
      <c r="AK1125" s="105"/>
      <c r="AL1125" s="60"/>
      <c r="AM1125" s="60"/>
      <c r="AN1125" s="60"/>
      <c r="AO1125" s="60"/>
      <c r="AP1125" s="60"/>
      <c r="AQ1125" s="60"/>
      <c r="AR1125" s="60"/>
      <c r="AS1125" s="60"/>
      <c r="AT1125" s="45"/>
      <c r="AU1125" s="45"/>
      <c r="AW1125" s="45"/>
      <c r="AX1125" s="46">
        <f t="shared" si="52"/>
        <v>0</v>
      </c>
      <c r="AY1125" s="46">
        <f t="shared" si="53"/>
        <v>0</v>
      </c>
      <c r="AZ1125" s="46">
        <f t="shared" si="54"/>
        <v>0</v>
      </c>
    </row>
    <row r="1126" spans="3:52">
      <c r="C1126" s="102"/>
      <c r="D1126" s="3"/>
      <c r="F1126" s="3"/>
      <c r="G1126" s="3"/>
      <c r="H1126" s="3"/>
      <c r="J1126" s="3"/>
      <c r="K1126" s="3"/>
      <c r="L1126" s="4"/>
      <c r="M1126" s="3"/>
      <c r="O1126" s="58"/>
      <c r="Q1126" s="64"/>
      <c r="R1126" s="45"/>
      <c r="S1126" s="45"/>
      <c r="U1126" s="64"/>
      <c r="V1126" s="45"/>
      <c r="W1126" s="64"/>
      <c r="X1126" s="64"/>
      <c r="Y1126" s="45"/>
      <c r="Z1126" s="45"/>
      <c r="AA1126" s="105"/>
      <c r="AB1126" s="105"/>
      <c r="AC1126" s="105"/>
      <c r="AD1126" s="64"/>
      <c r="AH1126" s="64"/>
      <c r="AI1126" s="45"/>
      <c r="AJ1126" s="105"/>
      <c r="AK1126" s="105"/>
      <c r="AL1126" s="60"/>
      <c r="AM1126" s="60"/>
      <c r="AN1126" s="60"/>
      <c r="AO1126" s="60"/>
      <c r="AP1126" s="60"/>
      <c r="AQ1126" s="60"/>
      <c r="AR1126" s="60"/>
      <c r="AS1126" s="60"/>
      <c r="AT1126" s="45"/>
      <c r="AU1126" s="45"/>
      <c r="AW1126" s="45"/>
      <c r="AX1126" s="46">
        <f t="shared" si="52"/>
        <v>0</v>
      </c>
      <c r="AY1126" s="46">
        <f t="shared" si="53"/>
        <v>0</v>
      </c>
      <c r="AZ1126" s="46">
        <f t="shared" si="54"/>
        <v>0</v>
      </c>
    </row>
    <row r="1127" spans="3:52">
      <c r="C1127" s="102"/>
      <c r="D1127" s="3"/>
      <c r="F1127" s="3"/>
      <c r="G1127" s="3"/>
      <c r="H1127" s="3"/>
      <c r="J1127" s="3"/>
      <c r="K1127" s="3"/>
      <c r="L1127" s="4"/>
      <c r="M1127" s="3"/>
      <c r="O1127" s="58"/>
      <c r="Q1127" s="64"/>
      <c r="R1127" s="45"/>
      <c r="S1127" s="45"/>
      <c r="U1127" s="64"/>
      <c r="V1127" s="45"/>
      <c r="W1127" s="64"/>
      <c r="X1127" s="64"/>
      <c r="Y1127" s="45"/>
      <c r="Z1127" s="45"/>
      <c r="AA1127" s="105"/>
      <c r="AB1127" s="105"/>
      <c r="AC1127" s="105"/>
      <c r="AD1127" s="64"/>
      <c r="AH1127" s="64"/>
      <c r="AI1127" s="45"/>
      <c r="AJ1127" s="105"/>
      <c r="AK1127" s="105"/>
      <c r="AL1127" s="60"/>
      <c r="AM1127" s="60"/>
      <c r="AN1127" s="60"/>
      <c r="AO1127" s="60"/>
      <c r="AP1127" s="60"/>
      <c r="AQ1127" s="60"/>
      <c r="AR1127" s="60"/>
      <c r="AS1127" s="60"/>
      <c r="AT1127" s="45"/>
      <c r="AU1127" s="45"/>
      <c r="AW1127" s="45"/>
      <c r="AX1127" s="46">
        <f t="shared" si="52"/>
        <v>0</v>
      </c>
      <c r="AY1127" s="46">
        <f t="shared" si="53"/>
        <v>0</v>
      </c>
      <c r="AZ1127" s="46">
        <f t="shared" si="54"/>
        <v>0</v>
      </c>
    </row>
    <row r="1128" spans="3:52">
      <c r="C1128" s="102"/>
      <c r="D1128" s="3"/>
      <c r="F1128" s="3"/>
      <c r="G1128" s="3"/>
      <c r="H1128" s="3"/>
      <c r="J1128" s="3"/>
      <c r="K1128" s="3"/>
      <c r="L1128" s="4"/>
      <c r="M1128" s="3"/>
      <c r="O1128" s="58"/>
      <c r="Q1128" s="64"/>
      <c r="R1128" s="45"/>
      <c r="S1128" s="45"/>
      <c r="U1128" s="64"/>
      <c r="V1128" s="45"/>
      <c r="W1128" s="64"/>
      <c r="X1128" s="64"/>
      <c r="Y1128" s="45"/>
      <c r="Z1128" s="45"/>
      <c r="AA1128" s="105"/>
      <c r="AB1128" s="105"/>
      <c r="AC1128" s="105"/>
      <c r="AD1128" s="64"/>
      <c r="AH1128" s="64"/>
      <c r="AI1128" s="45"/>
      <c r="AJ1128" s="105"/>
      <c r="AK1128" s="105"/>
      <c r="AL1128" s="60"/>
      <c r="AM1128" s="60"/>
      <c r="AN1128" s="60"/>
      <c r="AO1128" s="60"/>
      <c r="AP1128" s="60"/>
      <c r="AQ1128" s="60"/>
      <c r="AR1128" s="60"/>
      <c r="AS1128" s="60"/>
      <c r="AT1128" s="45"/>
      <c r="AU1128" s="45"/>
      <c r="AW1128" s="45"/>
      <c r="AX1128" s="46">
        <f t="shared" si="52"/>
        <v>0</v>
      </c>
      <c r="AY1128" s="46">
        <f t="shared" si="53"/>
        <v>0</v>
      </c>
      <c r="AZ1128" s="46">
        <f t="shared" si="54"/>
        <v>0</v>
      </c>
    </row>
    <row r="1129" spans="3:52">
      <c r="C1129" s="102"/>
      <c r="D1129" s="3"/>
      <c r="F1129" s="3"/>
      <c r="G1129" s="3"/>
      <c r="H1129" s="3"/>
      <c r="J1129" s="3"/>
      <c r="K1129" s="3"/>
      <c r="L1129" s="4"/>
      <c r="M1129" s="3"/>
      <c r="O1129" s="58"/>
      <c r="Q1129" s="64"/>
      <c r="R1129" s="45"/>
      <c r="S1129" s="45"/>
      <c r="U1129" s="64"/>
      <c r="V1129" s="45"/>
      <c r="W1129" s="64"/>
      <c r="X1129" s="64"/>
      <c r="Y1129" s="45"/>
      <c r="Z1129" s="45"/>
      <c r="AA1129" s="105"/>
      <c r="AB1129" s="105"/>
      <c r="AC1129" s="105"/>
      <c r="AD1129" s="64"/>
      <c r="AH1129" s="64"/>
      <c r="AI1129" s="45"/>
      <c r="AJ1129" s="105"/>
      <c r="AK1129" s="105"/>
      <c r="AL1129" s="60"/>
      <c r="AM1129" s="60"/>
      <c r="AN1129" s="60"/>
      <c r="AO1129" s="60"/>
      <c r="AP1129" s="60"/>
      <c r="AQ1129" s="60"/>
      <c r="AR1129" s="60"/>
      <c r="AS1129" s="60"/>
      <c r="AT1129" s="45"/>
      <c r="AU1129" s="45"/>
      <c r="AW1129" s="45"/>
      <c r="AX1129" s="46">
        <f t="shared" si="52"/>
        <v>0</v>
      </c>
      <c r="AY1129" s="46">
        <f t="shared" si="53"/>
        <v>0</v>
      </c>
      <c r="AZ1129" s="46">
        <f t="shared" si="54"/>
        <v>0</v>
      </c>
    </row>
    <row r="1130" spans="3:52">
      <c r="C1130" s="102"/>
      <c r="D1130" s="3"/>
      <c r="F1130" s="3"/>
      <c r="G1130" s="3"/>
      <c r="H1130" s="3"/>
      <c r="J1130" s="3"/>
      <c r="K1130" s="3"/>
      <c r="L1130" s="4"/>
      <c r="M1130" s="3"/>
      <c r="O1130" s="58"/>
      <c r="Q1130" s="64"/>
      <c r="R1130" s="45"/>
      <c r="S1130" s="45"/>
      <c r="U1130" s="64"/>
      <c r="V1130" s="45"/>
      <c r="W1130" s="64"/>
      <c r="X1130" s="64"/>
      <c r="Y1130" s="45"/>
      <c r="Z1130" s="45"/>
      <c r="AA1130" s="105"/>
      <c r="AB1130" s="105"/>
      <c r="AC1130" s="105"/>
      <c r="AD1130" s="64"/>
      <c r="AH1130" s="64"/>
      <c r="AI1130" s="45"/>
      <c r="AJ1130" s="105"/>
      <c r="AK1130" s="105"/>
      <c r="AL1130" s="60"/>
      <c r="AM1130" s="60"/>
      <c r="AN1130" s="60"/>
      <c r="AO1130" s="60"/>
      <c r="AP1130" s="60"/>
      <c r="AQ1130" s="60"/>
      <c r="AR1130" s="60"/>
      <c r="AS1130" s="60"/>
      <c r="AT1130" s="45"/>
      <c r="AU1130" s="45"/>
      <c r="AW1130" s="45"/>
      <c r="AX1130" s="46">
        <f t="shared" si="52"/>
        <v>0</v>
      </c>
      <c r="AY1130" s="46">
        <f t="shared" si="53"/>
        <v>0</v>
      </c>
      <c r="AZ1130" s="46">
        <f t="shared" si="54"/>
        <v>0</v>
      </c>
    </row>
    <row r="1131" spans="3:52">
      <c r="C1131" s="102"/>
      <c r="D1131" s="3"/>
      <c r="F1131" s="3"/>
      <c r="G1131" s="3"/>
      <c r="H1131" s="3"/>
      <c r="J1131" s="3"/>
      <c r="K1131" s="3"/>
      <c r="L1131" s="4"/>
      <c r="M1131" s="3"/>
      <c r="O1131" s="58"/>
      <c r="Q1131" s="64"/>
      <c r="R1131" s="45"/>
      <c r="S1131" s="45"/>
      <c r="U1131" s="64"/>
      <c r="V1131" s="45"/>
      <c r="W1131" s="64"/>
      <c r="X1131" s="64"/>
      <c r="Y1131" s="45"/>
      <c r="Z1131" s="45"/>
      <c r="AA1131" s="105"/>
      <c r="AB1131" s="105"/>
      <c r="AC1131" s="105"/>
      <c r="AD1131" s="64"/>
      <c r="AH1131" s="64"/>
      <c r="AI1131" s="45"/>
      <c r="AJ1131" s="105"/>
      <c r="AK1131" s="105"/>
      <c r="AL1131" s="60"/>
      <c r="AM1131" s="60"/>
      <c r="AN1131" s="60"/>
      <c r="AO1131" s="60"/>
      <c r="AP1131" s="60"/>
      <c r="AQ1131" s="60"/>
      <c r="AR1131" s="60"/>
      <c r="AS1131" s="60"/>
      <c r="AT1131" s="45"/>
      <c r="AU1131" s="45"/>
      <c r="AW1131" s="45"/>
      <c r="AX1131" s="46">
        <f t="shared" si="52"/>
        <v>0</v>
      </c>
      <c r="AY1131" s="46">
        <f t="shared" si="53"/>
        <v>0</v>
      </c>
      <c r="AZ1131" s="46">
        <f t="shared" si="54"/>
        <v>0</v>
      </c>
    </row>
    <row r="1132" spans="3:52">
      <c r="C1132" s="102"/>
      <c r="D1132" s="3"/>
      <c r="F1132" s="3"/>
      <c r="G1132" s="3"/>
      <c r="H1132" s="3"/>
      <c r="J1132" s="3"/>
      <c r="K1132" s="3"/>
      <c r="L1132" s="4"/>
      <c r="M1132" s="3"/>
      <c r="O1132" s="58"/>
      <c r="Q1132" s="64"/>
      <c r="R1132" s="45"/>
      <c r="S1132" s="45"/>
      <c r="U1132" s="64"/>
      <c r="V1132" s="45"/>
      <c r="W1132" s="64"/>
      <c r="X1132" s="64"/>
      <c r="Y1132" s="45"/>
      <c r="Z1132" s="45"/>
      <c r="AA1132" s="105"/>
      <c r="AB1132" s="105"/>
      <c r="AC1132" s="105"/>
      <c r="AD1132" s="64"/>
      <c r="AH1132" s="64"/>
      <c r="AI1132" s="45"/>
      <c r="AJ1132" s="105"/>
      <c r="AK1132" s="105"/>
      <c r="AL1132" s="60"/>
      <c r="AM1132" s="60"/>
      <c r="AN1132" s="60"/>
      <c r="AO1132" s="60"/>
      <c r="AP1132" s="60"/>
      <c r="AQ1132" s="60"/>
      <c r="AR1132" s="60"/>
      <c r="AS1132" s="60"/>
      <c r="AT1132" s="45"/>
      <c r="AU1132" s="45"/>
      <c r="AW1132" s="45"/>
      <c r="AX1132" s="46">
        <f t="shared" si="52"/>
        <v>0</v>
      </c>
      <c r="AY1132" s="46">
        <f t="shared" si="53"/>
        <v>0</v>
      </c>
      <c r="AZ1132" s="46">
        <f t="shared" si="54"/>
        <v>0</v>
      </c>
    </row>
    <row r="1133" spans="3:52">
      <c r="C1133" s="102"/>
      <c r="D1133" s="3"/>
      <c r="F1133" s="3"/>
      <c r="G1133" s="3"/>
      <c r="H1133" s="3"/>
      <c r="J1133" s="3"/>
      <c r="K1133" s="3"/>
      <c r="L1133" s="4"/>
      <c r="M1133" s="3"/>
      <c r="O1133" s="58"/>
      <c r="Q1133" s="64"/>
      <c r="R1133" s="45"/>
      <c r="S1133" s="45"/>
      <c r="U1133" s="64"/>
      <c r="V1133" s="45"/>
      <c r="W1133" s="64"/>
      <c r="X1133" s="64"/>
      <c r="Y1133" s="45"/>
      <c r="Z1133" s="45"/>
      <c r="AA1133" s="105"/>
      <c r="AB1133" s="105"/>
      <c r="AC1133" s="105"/>
      <c r="AD1133" s="64"/>
      <c r="AH1133" s="64"/>
      <c r="AI1133" s="45"/>
      <c r="AJ1133" s="105"/>
      <c r="AK1133" s="105"/>
      <c r="AL1133" s="60"/>
      <c r="AM1133" s="60"/>
      <c r="AN1133" s="60"/>
      <c r="AO1133" s="60"/>
      <c r="AP1133" s="60"/>
      <c r="AQ1133" s="60"/>
      <c r="AR1133" s="60"/>
      <c r="AS1133" s="60"/>
      <c r="AT1133" s="45"/>
      <c r="AU1133" s="45"/>
      <c r="AW1133" s="45"/>
      <c r="AX1133" s="46">
        <f t="shared" si="52"/>
        <v>0</v>
      </c>
      <c r="AY1133" s="46">
        <f t="shared" si="53"/>
        <v>0</v>
      </c>
      <c r="AZ1133" s="46">
        <f t="shared" si="54"/>
        <v>0</v>
      </c>
    </row>
    <row r="1134" spans="3:52">
      <c r="C1134" s="102"/>
      <c r="D1134" s="3"/>
      <c r="F1134" s="3"/>
      <c r="G1134" s="3"/>
      <c r="H1134" s="3"/>
      <c r="J1134" s="3"/>
      <c r="K1134" s="3"/>
      <c r="L1134" s="4"/>
      <c r="M1134" s="3"/>
      <c r="O1134" s="58"/>
      <c r="Q1134" s="64"/>
      <c r="R1134" s="45"/>
      <c r="S1134" s="45"/>
      <c r="U1134" s="64"/>
      <c r="V1134" s="45"/>
      <c r="W1134" s="64"/>
      <c r="X1134" s="64"/>
      <c r="Y1134" s="45"/>
      <c r="Z1134" s="45"/>
      <c r="AA1134" s="105"/>
      <c r="AB1134" s="105"/>
      <c r="AC1134" s="105"/>
      <c r="AD1134" s="64"/>
      <c r="AH1134" s="64"/>
      <c r="AI1134" s="45"/>
      <c r="AJ1134" s="105"/>
      <c r="AK1134" s="105"/>
      <c r="AL1134" s="60"/>
      <c r="AM1134" s="60"/>
      <c r="AN1134" s="60"/>
      <c r="AO1134" s="60"/>
      <c r="AP1134" s="60"/>
      <c r="AQ1134" s="60"/>
      <c r="AR1134" s="60"/>
      <c r="AS1134" s="60"/>
      <c r="AT1134" s="45"/>
      <c r="AU1134" s="45"/>
      <c r="AW1134" s="45"/>
      <c r="AX1134" s="46">
        <f t="shared" si="52"/>
        <v>0</v>
      </c>
      <c r="AY1134" s="46">
        <f t="shared" si="53"/>
        <v>0</v>
      </c>
      <c r="AZ1134" s="46">
        <f t="shared" si="54"/>
        <v>0</v>
      </c>
    </row>
    <row r="1135" spans="3:52">
      <c r="C1135" s="102"/>
      <c r="D1135" s="3"/>
      <c r="F1135" s="3"/>
      <c r="G1135" s="3"/>
      <c r="H1135" s="3"/>
      <c r="J1135" s="3"/>
      <c r="K1135" s="3"/>
      <c r="L1135" s="4"/>
      <c r="M1135" s="3"/>
      <c r="O1135" s="58"/>
      <c r="Q1135" s="64"/>
      <c r="R1135" s="45"/>
      <c r="S1135" s="45"/>
      <c r="U1135" s="64"/>
      <c r="V1135" s="45"/>
      <c r="W1135" s="64"/>
      <c r="X1135" s="64"/>
      <c r="Y1135" s="45"/>
      <c r="Z1135" s="45"/>
      <c r="AA1135" s="105"/>
      <c r="AB1135" s="105"/>
      <c r="AC1135" s="105"/>
      <c r="AD1135" s="64"/>
      <c r="AH1135" s="64"/>
      <c r="AI1135" s="45"/>
      <c r="AJ1135" s="105"/>
      <c r="AK1135" s="105"/>
      <c r="AL1135" s="60"/>
      <c r="AM1135" s="60"/>
      <c r="AN1135" s="60"/>
      <c r="AO1135" s="60"/>
      <c r="AP1135" s="60"/>
      <c r="AQ1135" s="60"/>
      <c r="AR1135" s="60"/>
      <c r="AS1135" s="60"/>
      <c r="AT1135" s="45"/>
      <c r="AU1135" s="45"/>
      <c r="AW1135" s="45"/>
      <c r="AX1135" s="46">
        <f t="shared" si="52"/>
        <v>0</v>
      </c>
      <c r="AY1135" s="46">
        <f t="shared" si="53"/>
        <v>0</v>
      </c>
      <c r="AZ1135" s="46">
        <f t="shared" si="54"/>
        <v>0</v>
      </c>
    </row>
    <row r="1136" spans="3:52">
      <c r="C1136" s="102"/>
      <c r="D1136" s="3"/>
      <c r="F1136" s="3"/>
      <c r="G1136" s="3"/>
      <c r="H1136" s="3"/>
      <c r="J1136" s="3"/>
      <c r="K1136" s="3"/>
      <c r="L1136" s="4"/>
      <c r="M1136" s="3"/>
      <c r="O1136" s="58"/>
      <c r="Q1136" s="64"/>
      <c r="R1136" s="45"/>
      <c r="S1136" s="45"/>
      <c r="U1136" s="64"/>
      <c r="V1136" s="45"/>
      <c r="W1136" s="64"/>
      <c r="X1136" s="64"/>
      <c r="Y1136" s="45"/>
      <c r="Z1136" s="45"/>
      <c r="AA1136" s="105"/>
      <c r="AB1136" s="105"/>
      <c r="AC1136" s="105"/>
      <c r="AD1136" s="64"/>
      <c r="AH1136" s="64"/>
      <c r="AI1136" s="45"/>
      <c r="AJ1136" s="105"/>
      <c r="AK1136" s="105"/>
      <c r="AL1136" s="60"/>
      <c r="AM1136" s="60"/>
      <c r="AN1136" s="60"/>
      <c r="AO1136" s="60"/>
      <c r="AP1136" s="60"/>
      <c r="AQ1136" s="60"/>
      <c r="AR1136" s="60"/>
      <c r="AS1136" s="60"/>
      <c r="AT1136" s="45"/>
      <c r="AU1136" s="45"/>
      <c r="AW1136" s="45"/>
      <c r="AX1136" s="46">
        <f t="shared" si="52"/>
        <v>0</v>
      </c>
      <c r="AY1136" s="46">
        <f t="shared" si="53"/>
        <v>0</v>
      </c>
      <c r="AZ1136" s="46">
        <f t="shared" si="54"/>
        <v>0</v>
      </c>
    </row>
    <row r="1137" spans="3:52">
      <c r="C1137" s="102"/>
      <c r="D1137" s="3"/>
      <c r="F1137" s="3"/>
      <c r="G1137" s="3"/>
      <c r="H1137" s="3"/>
      <c r="J1137" s="3"/>
      <c r="K1137" s="3"/>
      <c r="L1137" s="4"/>
      <c r="M1137" s="3"/>
      <c r="O1137" s="58"/>
      <c r="Q1137" s="64"/>
      <c r="R1137" s="45"/>
      <c r="S1137" s="45"/>
      <c r="U1137" s="64"/>
      <c r="V1137" s="45"/>
      <c r="W1137" s="64"/>
      <c r="X1137" s="64"/>
      <c r="Y1137" s="45"/>
      <c r="Z1137" s="45"/>
      <c r="AA1137" s="105"/>
      <c r="AB1137" s="105"/>
      <c r="AC1137" s="105"/>
      <c r="AD1137" s="64"/>
      <c r="AH1137" s="64"/>
      <c r="AI1137" s="45"/>
      <c r="AJ1137" s="105"/>
      <c r="AK1137" s="105"/>
      <c r="AL1137" s="60"/>
      <c r="AM1137" s="60"/>
      <c r="AN1137" s="60"/>
      <c r="AO1137" s="60"/>
      <c r="AP1137" s="60"/>
      <c r="AQ1137" s="60"/>
      <c r="AR1137" s="60"/>
      <c r="AS1137" s="60"/>
      <c r="AT1137" s="45"/>
      <c r="AU1137" s="45"/>
      <c r="AW1137" s="45"/>
      <c r="AX1137" s="46">
        <f t="shared" si="52"/>
        <v>0</v>
      </c>
      <c r="AY1137" s="46">
        <f t="shared" si="53"/>
        <v>0</v>
      </c>
      <c r="AZ1137" s="46">
        <f t="shared" si="54"/>
        <v>0</v>
      </c>
    </row>
    <row r="1138" spans="3:52">
      <c r="C1138" s="102"/>
      <c r="D1138" s="3"/>
      <c r="F1138" s="3"/>
      <c r="G1138" s="3"/>
      <c r="H1138" s="3"/>
      <c r="J1138" s="3"/>
      <c r="K1138" s="3"/>
      <c r="L1138" s="4"/>
      <c r="M1138" s="3"/>
      <c r="O1138" s="58"/>
      <c r="Q1138" s="64"/>
      <c r="R1138" s="45"/>
      <c r="S1138" s="45"/>
      <c r="U1138" s="64"/>
      <c r="V1138" s="45"/>
      <c r="W1138" s="64"/>
      <c r="X1138" s="64"/>
      <c r="Y1138" s="45"/>
      <c r="Z1138" s="45"/>
      <c r="AA1138" s="105"/>
      <c r="AB1138" s="105"/>
      <c r="AC1138" s="105"/>
      <c r="AD1138" s="64"/>
      <c r="AH1138" s="64"/>
      <c r="AI1138" s="45"/>
      <c r="AJ1138" s="105"/>
      <c r="AK1138" s="105"/>
      <c r="AL1138" s="60"/>
      <c r="AM1138" s="60"/>
      <c r="AN1138" s="60"/>
      <c r="AO1138" s="60"/>
      <c r="AP1138" s="60"/>
      <c r="AQ1138" s="60"/>
      <c r="AR1138" s="60"/>
      <c r="AS1138" s="60"/>
      <c r="AT1138" s="45"/>
      <c r="AU1138" s="45"/>
      <c r="AW1138" s="45"/>
      <c r="AX1138" s="46">
        <f t="shared" si="52"/>
        <v>0</v>
      </c>
      <c r="AY1138" s="46">
        <f t="shared" si="53"/>
        <v>0</v>
      </c>
      <c r="AZ1138" s="46">
        <f t="shared" si="54"/>
        <v>0</v>
      </c>
    </row>
    <row r="1139" spans="3:52">
      <c r="C1139" s="102"/>
      <c r="D1139" s="3"/>
      <c r="F1139" s="3"/>
      <c r="G1139" s="3"/>
      <c r="H1139" s="3"/>
      <c r="J1139" s="3"/>
      <c r="K1139" s="3"/>
      <c r="L1139" s="4"/>
      <c r="M1139" s="3"/>
      <c r="O1139" s="58"/>
      <c r="Q1139" s="64"/>
      <c r="R1139" s="45"/>
      <c r="S1139" s="45"/>
      <c r="U1139" s="64"/>
      <c r="V1139" s="45"/>
      <c r="W1139" s="64"/>
      <c r="X1139" s="64"/>
      <c r="Y1139" s="45"/>
      <c r="Z1139" s="45"/>
      <c r="AA1139" s="105"/>
      <c r="AB1139" s="105"/>
      <c r="AC1139" s="105"/>
      <c r="AD1139" s="64"/>
      <c r="AH1139" s="64"/>
      <c r="AI1139" s="45"/>
      <c r="AJ1139" s="105"/>
      <c r="AK1139" s="105"/>
      <c r="AL1139" s="60"/>
      <c r="AM1139" s="60"/>
      <c r="AN1139" s="60"/>
      <c r="AO1139" s="60"/>
      <c r="AP1139" s="60"/>
      <c r="AQ1139" s="60"/>
      <c r="AR1139" s="60"/>
      <c r="AS1139" s="60"/>
      <c r="AT1139" s="45"/>
      <c r="AU1139" s="45"/>
      <c r="AW1139" s="45"/>
      <c r="AX1139" s="46">
        <f t="shared" si="52"/>
        <v>0</v>
      </c>
      <c r="AY1139" s="46">
        <f t="shared" si="53"/>
        <v>0</v>
      </c>
      <c r="AZ1139" s="46">
        <f t="shared" si="54"/>
        <v>0</v>
      </c>
    </row>
    <row r="1140" spans="3:52">
      <c r="C1140" s="102"/>
      <c r="D1140" s="3"/>
      <c r="F1140" s="3"/>
      <c r="G1140" s="3"/>
      <c r="H1140" s="3"/>
      <c r="J1140" s="3"/>
      <c r="K1140" s="3"/>
      <c r="L1140" s="4"/>
      <c r="M1140" s="3"/>
      <c r="O1140" s="58"/>
      <c r="Q1140" s="64"/>
      <c r="R1140" s="45"/>
      <c r="S1140" s="45"/>
      <c r="U1140" s="64"/>
      <c r="V1140" s="45"/>
      <c r="W1140" s="64"/>
      <c r="X1140" s="64"/>
      <c r="Y1140" s="45"/>
      <c r="Z1140" s="45"/>
      <c r="AA1140" s="105"/>
      <c r="AB1140" s="105"/>
      <c r="AC1140" s="105"/>
      <c r="AD1140" s="64"/>
      <c r="AH1140" s="64"/>
      <c r="AI1140" s="45"/>
      <c r="AJ1140" s="105"/>
      <c r="AK1140" s="105"/>
      <c r="AL1140" s="60"/>
      <c r="AM1140" s="60"/>
      <c r="AN1140" s="60"/>
      <c r="AO1140" s="60"/>
      <c r="AP1140" s="60"/>
      <c r="AQ1140" s="60"/>
      <c r="AR1140" s="60"/>
      <c r="AS1140" s="60"/>
      <c r="AT1140" s="45"/>
      <c r="AU1140" s="45"/>
      <c r="AW1140" s="45"/>
      <c r="AX1140" s="46">
        <f t="shared" si="52"/>
        <v>0</v>
      </c>
      <c r="AY1140" s="46">
        <f t="shared" si="53"/>
        <v>0</v>
      </c>
      <c r="AZ1140" s="46">
        <f t="shared" si="54"/>
        <v>0</v>
      </c>
    </row>
    <row r="1141" spans="3:52">
      <c r="C1141" s="102"/>
      <c r="D1141" s="3"/>
      <c r="F1141" s="3"/>
      <c r="G1141" s="3"/>
      <c r="H1141" s="3"/>
      <c r="J1141" s="3"/>
      <c r="K1141" s="3"/>
      <c r="L1141" s="4"/>
      <c r="M1141" s="3"/>
      <c r="O1141" s="58"/>
      <c r="Q1141" s="64"/>
      <c r="R1141" s="45"/>
      <c r="S1141" s="45"/>
      <c r="U1141" s="64"/>
      <c r="V1141" s="45"/>
      <c r="W1141" s="64"/>
      <c r="X1141" s="64"/>
      <c r="Y1141" s="45"/>
      <c r="Z1141" s="45"/>
      <c r="AA1141" s="105"/>
      <c r="AB1141" s="105"/>
      <c r="AC1141" s="105"/>
      <c r="AD1141" s="64"/>
      <c r="AH1141" s="64"/>
      <c r="AI1141" s="45"/>
      <c r="AJ1141" s="105"/>
      <c r="AK1141" s="105"/>
      <c r="AL1141" s="60"/>
      <c r="AM1141" s="60"/>
      <c r="AN1141" s="60"/>
      <c r="AO1141" s="60"/>
      <c r="AP1141" s="60"/>
      <c r="AQ1141" s="60"/>
      <c r="AR1141" s="60"/>
      <c r="AS1141" s="60"/>
      <c r="AT1141" s="45"/>
      <c r="AU1141" s="45"/>
      <c r="AW1141" s="45"/>
      <c r="AX1141" s="46">
        <f t="shared" si="52"/>
        <v>0</v>
      </c>
      <c r="AY1141" s="46">
        <f t="shared" si="53"/>
        <v>0</v>
      </c>
      <c r="AZ1141" s="46">
        <f t="shared" si="54"/>
        <v>0</v>
      </c>
    </row>
    <row r="1142" spans="3:52">
      <c r="C1142" s="102"/>
      <c r="D1142" s="3"/>
      <c r="F1142" s="3"/>
      <c r="G1142" s="3"/>
      <c r="H1142" s="3"/>
      <c r="J1142" s="3"/>
      <c r="K1142" s="3"/>
      <c r="L1142" s="4"/>
      <c r="M1142" s="3"/>
      <c r="O1142" s="58"/>
      <c r="Q1142" s="64"/>
      <c r="R1142" s="45"/>
      <c r="S1142" s="45"/>
      <c r="U1142" s="64"/>
      <c r="V1142" s="45"/>
      <c r="W1142" s="64"/>
      <c r="X1142" s="64"/>
      <c r="Y1142" s="45"/>
      <c r="Z1142" s="45"/>
      <c r="AA1142" s="105"/>
      <c r="AB1142" s="105"/>
      <c r="AC1142" s="105"/>
      <c r="AD1142" s="64"/>
      <c r="AH1142" s="64"/>
      <c r="AI1142" s="45"/>
      <c r="AJ1142" s="105"/>
      <c r="AK1142" s="105"/>
      <c r="AL1142" s="60"/>
      <c r="AM1142" s="60"/>
      <c r="AN1142" s="60"/>
      <c r="AO1142" s="60"/>
      <c r="AP1142" s="60"/>
      <c r="AQ1142" s="60"/>
      <c r="AR1142" s="60"/>
      <c r="AS1142" s="60"/>
      <c r="AT1142" s="45"/>
      <c r="AU1142" s="45"/>
      <c r="AW1142" s="45"/>
      <c r="AX1142" s="46">
        <f t="shared" si="52"/>
        <v>0</v>
      </c>
      <c r="AY1142" s="46">
        <f t="shared" si="53"/>
        <v>0</v>
      </c>
      <c r="AZ1142" s="46">
        <f t="shared" si="54"/>
        <v>0</v>
      </c>
    </row>
    <row r="1143" spans="3:52">
      <c r="C1143" s="102"/>
      <c r="D1143" s="3"/>
      <c r="F1143" s="3"/>
      <c r="G1143" s="3"/>
      <c r="H1143" s="3"/>
      <c r="J1143" s="3"/>
      <c r="K1143" s="3"/>
      <c r="L1143" s="4"/>
      <c r="M1143" s="3"/>
      <c r="O1143" s="58"/>
      <c r="Q1143" s="64"/>
      <c r="R1143" s="45"/>
      <c r="S1143" s="45"/>
      <c r="U1143" s="64"/>
      <c r="V1143" s="45"/>
      <c r="W1143" s="64"/>
      <c r="X1143" s="64"/>
      <c r="Y1143" s="45"/>
      <c r="Z1143" s="45"/>
      <c r="AA1143" s="105"/>
      <c r="AB1143" s="105"/>
      <c r="AC1143" s="105"/>
      <c r="AD1143" s="64"/>
      <c r="AH1143" s="64"/>
      <c r="AI1143" s="45"/>
      <c r="AJ1143" s="105"/>
      <c r="AK1143" s="105"/>
      <c r="AL1143" s="60"/>
      <c r="AM1143" s="60"/>
      <c r="AN1143" s="60"/>
      <c r="AO1143" s="60"/>
      <c r="AP1143" s="60"/>
      <c r="AQ1143" s="60"/>
      <c r="AR1143" s="60"/>
      <c r="AS1143" s="60"/>
      <c r="AT1143" s="45"/>
      <c r="AU1143" s="45"/>
      <c r="AW1143" s="45"/>
      <c r="AX1143" s="46">
        <f t="shared" si="52"/>
        <v>0</v>
      </c>
      <c r="AY1143" s="46">
        <f t="shared" si="53"/>
        <v>0</v>
      </c>
      <c r="AZ1143" s="46">
        <f t="shared" si="54"/>
        <v>0</v>
      </c>
    </row>
    <row r="1144" spans="3:52">
      <c r="C1144" s="102"/>
      <c r="D1144" s="3"/>
      <c r="F1144" s="3"/>
      <c r="G1144" s="3"/>
      <c r="H1144" s="3"/>
      <c r="J1144" s="3"/>
      <c r="K1144" s="3"/>
      <c r="L1144" s="4"/>
      <c r="M1144" s="3"/>
      <c r="O1144" s="58"/>
      <c r="Q1144" s="64"/>
      <c r="R1144" s="45"/>
      <c r="S1144" s="45"/>
      <c r="U1144" s="64"/>
      <c r="V1144" s="45"/>
      <c r="W1144" s="64"/>
      <c r="X1144" s="64"/>
      <c r="Y1144" s="45"/>
      <c r="Z1144" s="45"/>
      <c r="AA1144" s="105"/>
      <c r="AB1144" s="105"/>
      <c r="AC1144" s="105"/>
      <c r="AD1144" s="64"/>
      <c r="AH1144" s="64"/>
      <c r="AI1144" s="45"/>
      <c r="AJ1144" s="105"/>
      <c r="AK1144" s="105"/>
      <c r="AL1144" s="60"/>
      <c r="AM1144" s="60"/>
      <c r="AN1144" s="60"/>
      <c r="AO1144" s="60"/>
      <c r="AP1144" s="60"/>
      <c r="AQ1144" s="60"/>
      <c r="AR1144" s="60"/>
      <c r="AS1144" s="60"/>
      <c r="AT1144" s="45"/>
      <c r="AU1144" s="45"/>
      <c r="AW1144" s="45"/>
      <c r="AX1144" s="46">
        <f t="shared" si="52"/>
        <v>0</v>
      </c>
      <c r="AY1144" s="46">
        <f t="shared" si="53"/>
        <v>0</v>
      </c>
      <c r="AZ1144" s="46">
        <f t="shared" si="54"/>
        <v>0</v>
      </c>
    </row>
    <row r="1145" spans="3:52">
      <c r="C1145" s="102"/>
      <c r="D1145" s="3"/>
      <c r="F1145" s="3"/>
      <c r="G1145" s="3"/>
      <c r="H1145" s="3"/>
      <c r="J1145" s="3"/>
      <c r="K1145" s="3"/>
      <c r="L1145" s="4"/>
      <c r="M1145" s="3"/>
      <c r="O1145" s="58"/>
      <c r="Q1145" s="64"/>
      <c r="R1145" s="45"/>
      <c r="S1145" s="45"/>
      <c r="U1145" s="64"/>
      <c r="V1145" s="45"/>
      <c r="W1145" s="64"/>
      <c r="X1145" s="64"/>
      <c r="Y1145" s="45"/>
      <c r="Z1145" s="45"/>
      <c r="AA1145" s="105"/>
      <c r="AB1145" s="105"/>
      <c r="AC1145" s="105"/>
      <c r="AD1145" s="64"/>
      <c r="AH1145" s="64"/>
      <c r="AI1145" s="45"/>
      <c r="AJ1145" s="105"/>
      <c r="AK1145" s="105"/>
      <c r="AL1145" s="60"/>
      <c r="AM1145" s="60"/>
      <c r="AN1145" s="60"/>
      <c r="AO1145" s="60"/>
      <c r="AP1145" s="60"/>
      <c r="AQ1145" s="60"/>
      <c r="AR1145" s="60"/>
      <c r="AS1145" s="60"/>
      <c r="AT1145" s="45"/>
      <c r="AU1145" s="45"/>
      <c r="AW1145" s="45"/>
      <c r="AX1145" s="46">
        <f t="shared" si="52"/>
        <v>0</v>
      </c>
      <c r="AY1145" s="46">
        <f t="shared" si="53"/>
        <v>0</v>
      </c>
      <c r="AZ1145" s="46">
        <f t="shared" si="54"/>
        <v>0</v>
      </c>
    </row>
    <row r="1146" spans="3:52">
      <c r="C1146" s="102"/>
      <c r="D1146" s="3"/>
      <c r="F1146" s="3"/>
      <c r="G1146" s="3"/>
      <c r="H1146" s="3"/>
      <c r="J1146" s="3"/>
      <c r="K1146" s="3"/>
      <c r="L1146" s="4"/>
      <c r="M1146" s="3"/>
      <c r="O1146" s="58"/>
      <c r="Q1146" s="64"/>
      <c r="R1146" s="45"/>
      <c r="S1146" s="45"/>
      <c r="U1146" s="64"/>
      <c r="V1146" s="45"/>
      <c r="W1146" s="64"/>
      <c r="X1146" s="64"/>
      <c r="Y1146" s="45"/>
      <c r="Z1146" s="45"/>
      <c r="AA1146" s="105"/>
      <c r="AB1146" s="105"/>
      <c r="AC1146" s="105"/>
      <c r="AD1146" s="64"/>
      <c r="AH1146" s="64"/>
      <c r="AI1146" s="45"/>
      <c r="AJ1146" s="105"/>
      <c r="AK1146" s="105"/>
      <c r="AL1146" s="60"/>
      <c r="AM1146" s="60"/>
      <c r="AN1146" s="60"/>
      <c r="AO1146" s="60"/>
      <c r="AP1146" s="60"/>
      <c r="AQ1146" s="60"/>
      <c r="AR1146" s="60"/>
      <c r="AS1146" s="60"/>
      <c r="AT1146" s="45"/>
      <c r="AU1146" s="45"/>
      <c r="AW1146" s="45"/>
      <c r="AX1146" s="46">
        <f t="shared" si="52"/>
        <v>0</v>
      </c>
      <c r="AY1146" s="46">
        <f t="shared" si="53"/>
        <v>0</v>
      </c>
      <c r="AZ1146" s="46">
        <f t="shared" si="54"/>
        <v>0</v>
      </c>
    </row>
    <row r="1147" spans="3:52">
      <c r="C1147" s="102"/>
      <c r="D1147" s="3"/>
      <c r="F1147" s="3"/>
      <c r="G1147" s="3"/>
      <c r="H1147" s="3"/>
      <c r="J1147" s="3"/>
      <c r="K1147" s="3"/>
      <c r="L1147" s="4"/>
      <c r="M1147" s="3"/>
      <c r="O1147" s="58"/>
      <c r="Q1147" s="64"/>
      <c r="R1147" s="45"/>
      <c r="S1147" s="45"/>
      <c r="U1147" s="64"/>
      <c r="V1147" s="45"/>
      <c r="W1147" s="64"/>
      <c r="X1147" s="64"/>
      <c r="Y1147" s="45"/>
      <c r="Z1147" s="45"/>
      <c r="AA1147" s="105"/>
      <c r="AB1147" s="105"/>
      <c r="AC1147" s="105"/>
      <c r="AD1147" s="64"/>
      <c r="AH1147" s="64"/>
      <c r="AI1147" s="45"/>
      <c r="AJ1147" s="105"/>
      <c r="AK1147" s="105"/>
      <c r="AL1147" s="60"/>
      <c r="AM1147" s="60"/>
      <c r="AN1147" s="60"/>
      <c r="AO1147" s="60"/>
      <c r="AP1147" s="60"/>
      <c r="AQ1147" s="60"/>
      <c r="AR1147" s="60"/>
      <c r="AS1147" s="60"/>
      <c r="AT1147" s="45"/>
      <c r="AU1147" s="45"/>
      <c r="AW1147" s="45"/>
      <c r="AX1147" s="46">
        <f t="shared" si="52"/>
        <v>0</v>
      </c>
      <c r="AY1147" s="46">
        <f t="shared" si="53"/>
        <v>0</v>
      </c>
      <c r="AZ1147" s="46">
        <f t="shared" si="54"/>
        <v>0</v>
      </c>
    </row>
    <row r="1148" spans="3:52">
      <c r="C1148" s="102"/>
      <c r="D1148" s="3"/>
      <c r="F1148" s="3"/>
      <c r="G1148" s="3"/>
      <c r="H1148" s="3"/>
      <c r="J1148" s="3"/>
      <c r="K1148" s="3"/>
      <c r="L1148" s="4"/>
      <c r="M1148" s="3"/>
      <c r="O1148" s="58"/>
      <c r="Q1148" s="64"/>
      <c r="R1148" s="45"/>
      <c r="S1148" s="45"/>
      <c r="U1148" s="64"/>
      <c r="V1148" s="45"/>
      <c r="W1148" s="64"/>
      <c r="X1148" s="64"/>
      <c r="Y1148" s="45"/>
      <c r="Z1148" s="45"/>
      <c r="AA1148" s="105"/>
      <c r="AB1148" s="105"/>
      <c r="AC1148" s="105"/>
      <c r="AD1148" s="64"/>
      <c r="AH1148" s="64"/>
      <c r="AI1148" s="45"/>
      <c r="AJ1148" s="105"/>
      <c r="AK1148" s="105"/>
      <c r="AL1148" s="60"/>
      <c r="AM1148" s="60"/>
      <c r="AN1148" s="60"/>
      <c r="AO1148" s="60"/>
      <c r="AP1148" s="60"/>
      <c r="AQ1148" s="60"/>
      <c r="AR1148" s="60"/>
      <c r="AS1148" s="60"/>
      <c r="AT1148" s="45"/>
      <c r="AU1148" s="45"/>
      <c r="AW1148" s="45"/>
      <c r="AX1148" s="46">
        <f t="shared" si="52"/>
        <v>0</v>
      </c>
      <c r="AY1148" s="46">
        <f t="shared" si="53"/>
        <v>0</v>
      </c>
      <c r="AZ1148" s="46">
        <f t="shared" si="54"/>
        <v>0</v>
      </c>
    </row>
    <row r="1149" spans="3:52">
      <c r="C1149" s="102"/>
      <c r="D1149" s="3"/>
      <c r="F1149" s="3"/>
      <c r="G1149" s="3"/>
      <c r="H1149" s="3"/>
      <c r="J1149" s="3"/>
      <c r="K1149" s="3"/>
      <c r="L1149" s="4"/>
      <c r="M1149" s="3"/>
      <c r="O1149" s="58"/>
      <c r="Q1149" s="64"/>
      <c r="R1149" s="45"/>
      <c r="S1149" s="45"/>
      <c r="U1149" s="64"/>
      <c r="V1149" s="45"/>
      <c r="W1149" s="64"/>
      <c r="X1149" s="64"/>
      <c r="Y1149" s="45"/>
      <c r="Z1149" s="45"/>
      <c r="AA1149" s="105"/>
      <c r="AB1149" s="105"/>
      <c r="AC1149" s="105"/>
      <c r="AD1149" s="64"/>
      <c r="AH1149" s="64"/>
      <c r="AI1149" s="45"/>
      <c r="AJ1149" s="105"/>
      <c r="AK1149" s="105"/>
      <c r="AL1149" s="60"/>
      <c r="AM1149" s="60"/>
      <c r="AN1149" s="60"/>
      <c r="AO1149" s="60"/>
      <c r="AP1149" s="60"/>
      <c r="AQ1149" s="60"/>
      <c r="AR1149" s="60"/>
      <c r="AS1149" s="60"/>
      <c r="AT1149" s="45"/>
      <c r="AU1149" s="45"/>
      <c r="AW1149" s="45"/>
      <c r="AX1149" s="46">
        <f t="shared" si="52"/>
        <v>0</v>
      </c>
      <c r="AY1149" s="46">
        <f t="shared" si="53"/>
        <v>0</v>
      </c>
      <c r="AZ1149" s="46">
        <f t="shared" si="54"/>
        <v>0</v>
      </c>
    </row>
    <row r="1150" spans="3:52">
      <c r="C1150" s="102"/>
      <c r="D1150" s="3"/>
      <c r="F1150" s="3"/>
      <c r="G1150" s="3"/>
      <c r="H1150" s="3"/>
      <c r="J1150" s="3"/>
      <c r="K1150" s="3"/>
      <c r="L1150" s="4"/>
      <c r="M1150" s="3"/>
      <c r="O1150" s="58"/>
      <c r="Q1150" s="64"/>
      <c r="R1150" s="45"/>
      <c r="S1150" s="45"/>
      <c r="U1150" s="64"/>
      <c r="V1150" s="45"/>
      <c r="W1150" s="64"/>
      <c r="X1150" s="64"/>
      <c r="Y1150" s="45"/>
      <c r="Z1150" s="45"/>
      <c r="AA1150" s="105"/>
      <c r="AB1150" s="105"/>
      <c r="AC1150" s="105"/>
      <c r="AD1150" s="64"/>
      <c r="AH1150" s="64"/>
      <c r="AI1150" s="45"/>
      <c r="AJ1150" s="105"/>
      <c r="AK1150" s="105"/>
      <c r="AL1150" s="60"/>
      <c r="AM1150" s="60"/>
      <c r="AN1150" s="60"/>
      <c r="AO1150" s="60"/>
      <c r="AP1150" s="60"/>
      <c r="AQ1150" s="60"/>
      <c r="AR1150" s="60"/>
      <c r="AS1150" s="60"/>
      <c r="AT1150" s="45"/>
      <c r="AU1150" s="45"/>
      <c r="AW1150" s="45"/>
      <c r="AX1150" s="46">
        <f t="shared" si="52"/>
        <v>0</v>
      </c>
      <c r="AY1150" s="46">
        <f t="shared" si="53"/>
        <v>0</v>
      </c>
      <c r="AZ1150" s="46">
        <f t="shared" si="54"/>
        <v>0</v>
      </c>
    </row>
    <row r="1151" spans="3:52">
      <c r="C1151" s="102"/>
      <c r="D1151" s="3"/>
      <c r="F1151" s="3"/>
      <c r="G1151" s="3"/>
      <c r="H1151" s="3"/>
      <c r="J1151" s="3"/>
      <c r="K1151" s="3"/>
      <c r="L1151" s="4"/>
      <c r="M1151" s="3"/>
      <c r="O1151" s="58"/>
      <c r="Q1151" s="64"/>
      <c r="R1151" s="45"/>
      <c r="S1151" s="45"/>
      <c r="U1151" s="64"/>
      <c r="V1151" s="45"/>
      <c r="W1151" s="64"/>
      <c r="X1151" s="64"/>
      <c r="Y1151" s="45"/>
      <c r="Z1151" s="45"/>
      <c r="AA1151" s="105"/>
      <c r="AB1151" s="105"/>
      <c r="AC1151" s="105"/>
      <c r="AD1151" s="64"/>
      <c r="AH1151" s="64"/>
      <c r="AI1151" s="45"/>
      <c r="AJ1151" s="105"/>
      <c r="AK1151" s="105"/>
      <c r="AL1151" s="60"/>
      <c r="AM1151" s="60"/>
      <c r="AN1151" s="60"/>
      <c r="AO1151" s="60"/>
      <c r="AP1151" s="60"/>
      <c r="AQ1151" s="60"/>
      <c r="AR1151" s="60"/>
      <c r="AS1151" s="60"/>
      <c r="AT1151" s="45"/>
      <c r="AU1151" s="45"/>
      <c r="AW1151" s="45"/>
      <c r="AX1151" s="46">
        <f t="shared" si="52"/>
        <v>0</v>
      </c>
      <c r="AY1151" s="46">
        <f t="shared" si="53"/>
        <v>0</v>
      </c>
      <c r="AZ1151" s="46">
        <f t="shared" si="54"/>
        <v>0</v>
      </c>
    </row>
    <row r="1152" spans="3:52">
      <c r="C1152" s="102"/>
      <c r="D1152" s="3"/>
      <c r="F1152" s="3"/>
      <c r="G1152" s="3"/>
      <c r="H1152" s="3"/>
      <c r="J1152" s="3"/>
      <c r="K1152" s="3"/>
      <c r="L1152" s="4"/>
      <c r="M1152" s="3"/>
      <c r="O1152" s="58"/>
      <c r="Q1152" s="64"/>
      <c r="R1152" s="45"/>
      <c r="S1152" s="45"/>
      <c r="U1152" s="64"/>
      <c r="V1152" s="45"/>
      <c r="W1152" s="64"/>
      <c r="X1152" s="64"/>
      <c r="Y1152" s="45"/>
      <c r="Z1152" s="45"/>
      <c r="AA1152" s="105"/>
      <c r="AB1152" s="105"/>
      <c r="AC1152" s="105"/>
      <c r="AD1152" s="64"/>
      <c r="AH1152" s="64"/>
      <c r="AI1152" s="45"/>
      <c r="AJ1152" s="105"/>
      <c r="AK1152" s="105"/>
      <c r="AL1152" s="60"/>
      <c r="AM1152" s="60"/>
      <c r="AN1152" s="60"/>
      <c r="AO1152" s="60"/>
      <c r="AP1152" s="60"/>
      <c r="AQ1152" s="60"/>
      <c r="AR1152" s="60"/>
      <c r="AS1152" s="60"/>
      <c r="AT1152" s="45"/>
      <c r="AU1152" s="45"/>
      <c r="AW1152" s="45"/>
      <c r="AX1152" s="46">
        <f t="shared" si="52"/>
        <v>0</v>
      </c>
      <c r="AY1152" s="46">
        <f t="shared" si="53"/>
        <v>0</v>
      </c>
      <c r="AZ1152" s="46">
        <f t="shared" si="54"/>
        <v>0</v>
      </c>
    </row>
    <row r="1153" spans="3:52">
      <c r="C1153" s="102"/>
      <c r="D1153" s="3"/>
      <c r="F1153" s="3"/>
      <c r="G1153" s="3"/>
      <c r="H1153" s="3"/>
      <c r="J1153" s="3"/>
      <c r="K1153" s="3"/>
      <c r="L1153" s="4"/>
      <c r="M1153" s="3"/>
      <c r="O1153" s="58"/>
      <c r="Q1153" s="64"/>
      <c r="R1153" s="45"/>
      <c r="S1153" s="45"/>
      <c r="U1153" s="64"/>
      <c r="V1153" s="45"/>
      <c r="W1153" s="64"/>
      <c r="X1153" s="64"/>
      <c r="Y1153" s="45"/>
      <c r="Z1153" s="45"/>
      <c r="AA1153" s="105"/>
      <c r="AB1153" s="105"/>
      <c r="AC1153" s="105"/>
      <c r="AD1153" s="64"/>
      <c r="AH1153" s="64"/>
      <c r="AI1153" s="45"/>
      <c r="AJ1153" s="105"/>
      <c r="AK1153" s="105"/>
      <c r="AL1153" s="60"/>
      <c r="AM1153" s="60"/>
      <c r="AN1153" s="60"/>
      <c r="AO1153" s="60"/>
      <c r="AP1153" s="60"/>
      <c r="AQ1153" s="60"/>
      <c r="AR1153" s="60"/>
      <c r="AS1153" s="60"/>
      <c r="AT1153" s="45"/>
      <c r="AU1153" s="45"/>
      <c r="AW1153" s="45"/>
      <c r="AX1153" s="46">
        <f t="shared" si="52"/>
        <v>0</v>
      </c>
      <c r="AY1153" s="46">
        <f t="shared" si="53"/>
        <v>0</v>
      </c>
      <c r="AZ1153" s="46">
        <f t="shared" si="54"/>
        <v>0</v>
      </c>
    </row>
    <row r="1154" spans="3:52">
      <c r="C1154" s="102"/>
      <c r="D1154" s="3"/>
      <c r="F1154" s="3"/>
      <c r="G1154" s="3"/>
      <c r="H1154" s="3"/>
      <c r="J1154" s="3"/>
      <c r="K1154" s="3"/>
      <c r="L1154" s="4"/>
      <c r="M1154" s="3"/>
      <c r="O1154" s="58"/>
      <c r="Q1154" s="64"/>
      <c r="R1154" s="45"/>
      <c r="S1154" s="45"/>
      <c r="U1154" s="64"/>
      <c r="V1154" s="45"/>
      <c r="W1154" s="64"/>
      <c r="X1154" s="64"/>
      <c r="Y1154" s="45"/>
      <c r="Z1154" s="45"/>
      <c r="AA1154" s="105"/>
      <c r="AB1154" s="105"/>
      <c r="AC1154" s="105"/>
      <c r="AD1154" s="64"/>
      <c r="AH1154" s="64"/>
      <c r="AI1154" s="45"/>
      <c r="AJ1154" s="105"/>
      <c r="AK1154" s="105"/>
      <c r="AL1154" s="60"/>
      <c r="AM1154" s="60"/>
      <c r="AN1154" s="60"/>
      <c r="AO1154" s="60"/>
      <c r="AP1154" s="60"/>
      <c r="AQ1154" s="60"/>
      <c r="AR1154" s="60"/>
      <c r="AS1154" s="60"/>
      <c r="AT1154" s="45"/>
      <c r="AU1154" s="45"/>
      <c r="AW1154" s="45"/>
      <c r="AX1154" s="46">
        <f t="shared" si="52"/>
        <v>0</v>
      </c>
      <c r="AY1154" s="46">
        <f t="shared" si="53"/>
        <v>0</v>
      </c>
      <c r="AZ1154" s="46">
        <f t="shared" si="54"/>
        <v>0</v>
      </c>
    </row>
    <row r="1155" spans="3:52">
      <c r="C1155" s="102"/>
      <c r="D1155" s="3"/>
      <c r="F1155" s="3"/>
      <c r="G1155" s="3"/>
      <c r="H1155" s="3"/>
      <c r="J1155" s="3"/>
      <c r="K1155" s="3"/>
      <c r="L1155" s="4"/>
      <c r="M1155" s="3"/>
      <c r="O1155" s="58"/>
      <c r="Q1155" s="64"/>
      <c r="R1155" s="45"/>
      <c r="S1155" s="45"/>
      <c r="U1155" s="64"/>
      <c r="V1155" s="45"/>
      <c r="W1155" s="64"/>
      <c r="X1155" s="64"/>
      <c r="Y1155" s="45"/>
      <c r="Z1155" s="45"/>
      <c r="AA1155" s="105"/>
      <c r="AB1155" s="105"/>
      <c r="AC1155" s="105"/>
      <c r="AD1155" s="64"/>
      <c r="AH1155" s="64"/>
      <c r="AI1155" s="45"/>
      <c r="AJ1155" s="105"/>
      <c r="AK1155" s="105"/>
      <c r="AL1155" s="60"/>
      <c r="AM1155" s="60"/>
      <c r="AN1155" s="60"/>
      <c r="AO1155" s="60"/>
      <c r="AP1155" s="60"/>
      <c r="AQ1155" s="60"/>
      <c r="AR1155" s="60"/>
      <c r="AS1155" s="60"/>
      <c r="AT1155" s="45"/>
      <c r="AU1155" s="45"/>
      <c r="AW1155" s="45"/>
      <c r="AX1155" s="46">
        <f t="shared" si="52"/>
        <v>0</v>
      </c>
      <c r="AY1155" s="46">
        <f t="shared" si="53"/>
        <v>0</v>
      </c>
      <c r="AZ1155" s="46">
        <f t="shared" si="54"/>
        <v>0</v>
      </c>
    </row>
    <row r="1156" spans="3:52">
      <c r="C1156" s="102"/>
      <c r="D1156" s="3"/>
      <c r="F1156" s="3"/>
      <c r="G1156" s="3"/>
      <c r="H1156" s="3"/>
      <c r="J1156" s="3"/>
      <c r="K1156" s="3"/>
      <c r="L1156" s="4"/>
      <c r="M1156" s="3"/>
      <c r="O1156" s="58"/>
      <c r="Q1156" s="64"/>
      <c r="R1156" s="45"/>
      <c r="S1156" s="45"/>
      <c r="U1156" s="64"/>
      <c r="V1156" s="45"/>
      <c r="W1156" s="64"/>
      <c r="X1156" s="64"/>
      <c r="Y1156" s="45"/>
      <c r="Z1156" s="45"/>
      <c r="AA1156" s="105"/>
      <c r="AB1156" s="105"/>
      <c r="AC1156" s="105"/>
      <c r="AD1156" s="64"/>
      <c r="AH1156" s="64"/>
      <c r="AI1156" s="45"/>
      <c r="AJ1156" s="105"/>
      <c r="AK1156" s="105"/>
      <c r="AL1156" s="60"/>
      <c r="AM1156" s="60"/>
      <c r="AN1156" s="60"/>
      <c r="AO1156" s="60"/>
      <c r="AP1156" s="60"/>
      <c r="AQ1156" s="60"/>
      <c r="AR1156" s="60"/>
      <c r="AS1156" s="60"/>
      <c r="AT1156" s="45"/>
      <c r="AU1156" s="45"/>
      <c r="AW1156" s="45"/>
      <c r="AX1156" s="46">
        <f t="shared" si="52"/>
        <v>0</v>
      </c>
      <c r="AY1156" s="46">
        <f t="shared" si="53"/>
        <v>0</v>
      </c>
      <c r="AZ1156" s="46">
        <f t="shared" si="54"/>
        <v>0</v>
      </c>
    </row>
    <row r="1157" spans="3:52">
      <c r="C1157" s="102"/>
      <c r="D1157" s="3"/>
      <c r="F1157" s="3"/>
      <c r="G1157" s="3"/>
      <c r="H1157" s="3"/>
      <c r="J1157" s="3"/>
      <c r="K1157" s="3"/>
      <c r="L1157" s="4"/>
      <c r="M1157" s="3"/>
      <c r="O1157" s="58"/>
      <c r="Q1157" s="64"/>
      <c r="R1157" s="45"/>
      <c r="S1157" s="45"/>
      <c r="U1157" s="64"/>
      <c r="V1157" s="45"/>
      <c r="W1157" s="64"/>
      <c r="X1157" s="64"/>
      <c r="Y1157" s="45"/>
      <c r="Z1157" s="45"/>
      <c r="AA1157" s="105"/>
      <c r="AB1157" s="105"/>
      <c r="AC1157" s="105"/>
      <c r="AD1157" s="64"/>
      <c r="AH1157" s="64"/>
      <c r="AI1157" s="45"/>
      <c r="AJ1157" s="105"/>
      <c r="AK1157" s="105"/>
      <c r="AL1157" s="60"/>
      <c r="AM1157" s="60"/>
      <c r="AN1157" s="60"/>
      <c r="AO1157" s="60"/>
      <c r="AP1157" s="60"/>
      <c r="AQ1157" s="60"/>
      <c r="AR1157" s="60"/>
      <c r="AS1157" s="60"/>
      <c r="AT1157" s="45"/>
      <c r="AU1157" s="45"/>
      <c r="AW1157" s="45"/>
      <c r="AX1157" s="46">
        <f t="shared" si="52"/>
        <v>0</v>
      </c>
      <c r="AY1157" s="46">
        <f t="shared" si="53"/>
        <v>0</v>
      </c>
      <c r="AZ1157" s="46">
        <f t="shared" si="54"/>
        <v>0</v>
      </c>
    </row>
    <row r="1158" spans="3:52">
      <c r="C1158" s="102"/>
      <c r="D1158" s="3"/>
      <c r="F1158" s="3"/>
      <c r="G1158" s="3"/>
      <c r="H1158" s="3"/>
      <c r="J1158" s="3"/>
      <c r="K1158" s="3"/>
      <c r="L1158" s="4"/>
      <c r="M1158" s="3"/>
      <c r="O1158" s="58"/>
      <c r="Q1158" s="64"/>
      <c r="R1158" s="45"/>
      <c r="S1158" s="45"/>
      <c r="U1158" s="64"/>
      <c r="V1158" s="45"/>
      <c r="W1158" s="64"/>
      <c r="X1158" s="64"/>
      <c r="Y1158" s="45"/>
      <c r="Z1158" s="45"/>
      <c r="AA1158" s="105"/>
      <c r="AB1158" s="105"/>
      <c r="AC1158" s="105"/>
      <c r="AD1158" s="64"/>
      <c r="AH1158" s="64"/>
      <c r="AI1158" s="45"/>
      <c r="AJ1158" s="105"/>
      <c r="AK1158" s="105"/>
      <c r="AL1158" s="60"/>
      <c r="AM1158" s="60"/>
      <c r="AN1158" s="60"/>
      <c r="AO1158" s="60"/>
      <c r="AP1158" s="60"/>
      <c r="AQ1158" s="60"/>
      <c r="AR1158" s="60"/>
      <c r="AS1158" s="60"/>
      <c r="AT1158" s="45"/>
      <c r="AU1158" s="45"/>
      <c r="AW1158" s="45"/>
      <c r="AX1158" s="46">
        <f t="shared" si="52"/>
        <v>0</v>
      </c>
      <c r="AY1158" s="46">
        <f t="shared" si="53"/>
        <v>0</v>
      </c>
      <c r="AZ1158" s="46">
        <f t="shared" si="54"/>
        <v>0</v>
      </c>
    </row>
    <row r="1159" spans="3:52">
      <c r="C1159" s="102"/>
      <c r="D1159" s="3"/>
      <c r="F1159" s="3"/>
      <c r="G1159" s="3"/>
      <c r="H1159" s="3"/>
      <c r="J1159" s="3"/>
      <c r="K1159" s="3"/>
      <c r="L1159" s="4"/>
      <c r="M1159" s="3"/>
      <c r="O1159" s="58"/>
      <c r="Q1159" s="64"/>
      <c r="R1159" s="45"/>
      <c r="S1159" s="45"/>
      <c r="U1159" s="64"/>
      <c r="V1159" s="45"/>
      <c r="W1159" s="64"/>
      <c r="X1159" s="64"/>
      <c r="Y1159" s="45"/>
      <c r="Z1159" s="45"/>
      <c r="AA1159" s="105"/>
      <c r="AB1159" s="105"/>
      <c r="AC1159" s="105"/>
      <c r="AD1159" s="64"/>
      <c r="AH1159" s="64"/>
      <c r="AI1159" s="45"/>
      <c r="AJ1159" s="105"/>
      <c r="AK1159" s="105"/>
      <c r="AL1159" s="60"/>
      <c r="AM1159" s="60"/>
      <c r="AN1159" s="60"/>
      <c r="AO1159" s="60"/>
      <c r="AP1159" s="60"/>
      <c r="AQ1159" s="60"/>
      <c r="AR1159" s="60"/>
      <c r="AS1159" s="60"/>
      <c r="AT1159" s="45"/>
      <c r="AU1159" s="45"/>
      <c r="AW1159" s="45"/>
      <c r="AX1159" s="46">
        <f t="shared" si="52"/>
        <v>0</v>
      </c>
      <c r="AY1159" s="46">
        <f t="shared" si="53"/>
        <v>0</v>
      </c>
      <c r="AZ1159" s="46">
        <f t="shared" si="54"/>
        <v>0</v>
      </c>
    </row>
    <row r="1160" spans="3:52">
      <c r="C1160" s="102"/>
      <c r="D1160" s="3"/>
      <c r="F1160" s="3"/>
      <c r="G1160" s="3"/>
      <c r="H1160" s="3"/>
      <c r="J1160" s="3"/>
      <c r="K1160" s="3"/>
      <c r="L1160" s="4"/>
      <c r="M1160" s="3"/>
      <c r="O1160" s="58"/>
      <c r="Q1160" s="64"/>
      <c r="R1160" s="45"/>
      <c r="S1160" s="45"/>
      <c r="U1160" s="64"/>
      <c r="V1160" s="45"/>
      <c r="W1160" s="64"/>
      <c r="X1160" s="64"/>
      <c r="Y1160" s="45"/>
      <c r="Z1160" s="45"/>
      <c r="AA1160" s="105"/>
      <c r="AB1160" s="105"/>
      <c r="AC1160" s="105"/>
      <c r="AD1160" s="64"/>
      <c r="AH1160" s="64"/>
      <c r="AI1160" s="45"/>
      <c r="AJ1160" s="105"/>
      <c r="AK1160" s="105"/>
      <c r="AL1160" s="60"/>
      <c r="AM1160" s="60"/>
      <c r="AN1160" s="60"/>
      <c r="AO1160" s="60"/>
      <c r="AP1160" s="60"/>
      <c r="AQ1160" s="60"/>
      <c r="AR1160" s="60"/>
      <c r="AS1160" s="60"/>
      <c r="AT1160" s="45"/>
      <c r="AU1160" s="45"/>
      <c r="AW1160" s="45"/>
      <c r="AX1160" s="46">
        <f t="shared" si="52"/>
        <v>0</v>
      </c>
      <c r="AY1160" s="46">
        <f t="shared" si="53"/>
        <v>0</v>
      </c>
      <c r="AZ1160" s="46">
        <f t="shared" si="54"/>
        <v>0</v>
      </c>
    </row>
    <row r="1161" spans="3:52">
      <c r="C1161" s="102"/>
      <c r="D1161" s="3"/>
      <c r="F1161" s="3"/>
      <c r="G1161" s="3"/>
      <c r="H1161" s="3"/>
      <c r="J1161" s="3"/>
      <c r="K1161" s="3"/>
      <c r="L1161" s="4"/>
      <c r="M1161" s="3"/>
      <c r="O1161" s="58"/>
      <c r="Q1161" s="64"/>
      <c r="R1161" s="45"/>
      <c r="S1161" s="45"/>
      <c r="U1161" s="64"/>
      <c r="V1161" s="45"/>
      <c r="W1161" s="64"/>
      <c r="X1161" s="64"/>
      <c r="Y1161" s="45"/>
      <c r="Z1161" s="45"/>
      <c r="AA1161" s="105"/>
      <c r="AB1161" s="105"/>
      <c r="AC1161" s="105"/>
      <c r="AD1161" s="64"/>
      <c r="AH1161" s="64"/>
      <c r="AI1161" s="45"/>
      <c r="AJ1161" s="105"/>
      <c r="AK1161" s="105"/>
      <c r="AL1161" s="60"/>
      <c r="AM1161" s="60"/>
      <c r="AN1161" s="60"/>
      <c r="AO1161" s="60"/>
      <c r="AP1161" s="60"/>
      <c r="AQ1161" s="60"/>
      <c r="AR1161" s="60"/>
      <c r="AS1161" s="60"/>
      <c r="AT1161" s="45"/>
      <c r="AU1161" s="45"/>
      <c r="AW1161" s="45"/>
      <c r="AX1161" s="46">
        <f t="shared" si="52"/>
        <v>0</v>
      </c>
      <c r="AY1161" s="46">
        <f t="shared" si="53"/>
        <v>0</v>
      </c>
      <c r="AZ1161" s="46">
        <f t="shared" si="54"/>
        <v>0</v>
      </c>
    </row>
    <row r="1162" spans="3:52">
      <c r="C1162" s="102"/>
      <c r="D1162" s="3"/>
      <c r="F1162" s="3"/>
      <c r="G1162" s="3"/>
      <c r="H1162" s="3"/>
      <c r="J1162" s="3"/>
      <c r="K1162" s="3"/>
      <c r="L1162" s="4"/>
      <c r="M1162" s="3"/>
      <c r="O1162" s="58"/>
      <c r="Q1162" s="64"/>
      <c r="R1162" s="45"/>
      <c r="S1162" s="45"/>
      <c r="U1162" s="64"/>
      <c r="V1162" s="45"/>
      <c r="W1162" s="64"/>
      <c r="X1162" s="64"/>
      <c r="Y1162" s="45"/>
      <c r="Z1162" s="45"/>
      <c r="AA1162" s="105"/>
      <c r="AB1162" s="105"/>
      <c r="AC1162" s="105"/>
      <c r="AD1162" s="64"/>
      <c r="AH1162" s="64"/>
      <c r="AI1162" s="45"/>
      <c r="AJ1162" s="105"/>
      <c r="AK1162" s="105"/>
      <c r="AL1162" s="60"/>
      <c r="AM1162" s="60"/>
      <c r="AN1162" s="60"/>
      <c r="AO1162" s="60"/>
      <c r="AP1162" s="60"/>
      <c r="AQ1162" s="60"/>
      <c r="AR1162" s="60"/>
      <c r="AS1162" s="60"/>
      <c r="AT1162" s="45"/>
      <c r="AU1162" s="45"/>
      <c r="AW1162" s="45"/>
      <c r="AX1162" s="46">
        <f t="shared" si="52"/>
        <v>0</v>
      </c>
      <c r="AY1162" s="46">
        <f t="shared" si="53"/>
        <v>0</v>
      </c>
      <c r="AZ1162" s="46">
        <f t="shared" si="54"/>
        <v>0</v>
      </c>
    </row>
    <row r="1163" spans="3:52">
      <c r="C1163" s="102"/>
      <c r="D1163" s="3"/>
      <c r="F1163" s="3"/>
      <c r="G1163" s="3"/>
      <c r="H1163" s="3"/>
      <c r="J1163" s="3"/>
      <c r="K1163" s="3"/>
      <c r="L1163" s="4"/>
      <c r="M1163" s="3"/>
      <c r="O1163" s="58"/>
      <c r="Q1163" s="64"/>
      <c r="R1163" s="45"/>
      <c r="S1163" s="45"/>
      <c r="U1163" s="64"/>
      <c r="V1163" s="45"/>
      <c r="W1163" s="64"/>
      <c r="X1163" s="64"/>
      <c r="Y1163" s="45"/>
      <c r="Z1163" s="45"/>
      <c r="AA1163" s="105"/>
      <c r="AB1163" s="105"/>
      <c r="AC1163" s="105"/>
      <c r="AD1163" s="64"/>
      <c r="AH1163" s="64"/>
      <c r="AI1163" s="45"/>
      <c r="AJ1163" s="105"/>
      <c r="AK1163" s="105"/>
      <c r="AL1163" s="60"/>
      <c r="AM1163" s="60"/>
      <c r="AN1163" s="60"/>
      <c r="AO1163" s="60"/>
      <c r="AP1163" s="60"/>
      <c r="AQ1163" s="60"/>
      <c r="AR1163" s="60"/>
      <c r="AS1163" s="60"/>
      <c r="AT1163" s="45"/>
      <c r="AU1163" s="45"/>
      <c r="AW1163" s="45"/>
      <c r="AX1163" s="46">
        <f t="shared" ref="AX1163:AX1226" si="55">IFERROR(SUM(Q1163:AS1163)-SUM(AT1163:AU1163)+AV1163,"-")</f>
        <v>0</v>
      </c>
      <c r="AY1163" s="46">
        <f t="shared" ref="AY1163:AY1226" si="56">IFERROR(SUM(Q1163:AS1163)-SUM(AT1163:AT1163),"-")</f>
        <v>0</v>
      </c>
      <c r="AZ1163" s="46">
        <f t="shared" ref="AZ1163:AZ1226" si="57">SUM(Q1163:AS1163)</f>
        <v>0</v>
      </c>
    </row>
    <row r="1164" spans="3:52">
      <c r="C1164" s="102"/>
      <c r="D1164" s="3"/>
      <c r="F1164" s="3"/>
      <c r="G1164" s="3"/>
      <c r="H1164" s="3"/>
      <c r="J1164" s="3"/>
      <c r="K1164" s="3"/>
      <c r="L1164" s="4"/>
      <c r="M1164" s="3"/>
      <c r="O1164" s="58"/>
      <c r="Q1164" s="64"/>
      <c r="R1164" s="45"/>
      <c r="S1164" s="45"/>
      <c r="U1164" s="64"/>
      <c r="V1164" s="45"/>
      <c r="W1164" s="64"/>
      <c r="X1164" s="64"/>
      <c r="Y1164" s="45"/>
      <c r="Z1164" s="45"/>
      <c r="AA1164" s="105"/>
      <c r="AB1164" s="105"/>
      <c r="AC1164" s="105"/>
      <c r="AD1164" s="64"/>
      <c r="AH1164" s="64"/>
      <c r="AI1164" s="45"/>
      <c r="AJ1164" s="105"/>
      <c r="AK1164" s="105"/>
      <c r="AL1164" s="60"/>
      <c r="AM1164" s="60"/>
      <c r="AN1164" s="60"/>
      <c r="AO1164" s="60"/>
      <c r="AP1164" s="60"/>
      <c r="AQ1164" s="60"/>
      <c r="AR1164" s="60"/>
      <c r="AS1164" s="60"/>
      <c r="AT1164" s="45"/>
      <c r="AU1164" s="45"/>
      <c r="AW1164" s="45"/>
      <c r="AX1164" s="46">
        <f t="shared" si="55"/>
        <v>0</v>
      </c>
      <c r="AY1164" s="46">
        <f t="shared" si="56"/>
        <v>0</v>
      </c>
      <c r="AZ1164" s="46">
        <f t="shared" si="57"/>
        <v>0</v>
      </c>
    </row>
    <row r="1165" spans="3:52">
      <c r="C1165" s="102"/>
      <c r="D1165" s="3"/>
      <c r="F1165" s="3"/>
      <c r="G1165" s="3"/>
      <c r="H1165" s="3"/>
      <c r="J1165" s="3"/>
      <c r="K1165" s="3"/>
      <c r="L1165" s="4"/>
      <c r="M1165" s="3"/>
      <c r="O1165" s="58"/>
      <c r="Q1165" s="64"/>
      <c r="R1165" s="45"/>
      <c r="S1165" s="45"/>
      <c r="U1165" s="64"/>
      <c r="V1165" s="45"/>
      <c r="W1165" s="64"/>
      <c r="X1165" s="64"/>
      <c r="Y1165" s="45"/>
      <c r="Z1165" s="45"/>
      <c r="AA1165" s="105"/>
      <c r="AB1165" s="105"/>
      <c r="AC1165" s="105"/>
      <c r="AD1165" s="64"/>
      <c r="AH1165" s="64"/>
      <c r="AI1165" s="45"/>
      <c r="AJ1165" s="105"/>
      <c r="AK1165" s="105"/>
      <c r="AL1165" s="60"/>
      <c r="AM1165" s="60"/>
      <c r="AN1165" s="60"/>
      <c r="AO1165" s="60"/>
      <c r="AP1165" s="60"/>
      <c r="AQ1165" s="60"/>
      <c r="AR1165" s="60"/>
      <c r="AS1165" s="60"/>
      <c r="AT1165" s="45"/>
      <c r="AU1165" s="45"/>
      <c r="AW1165" s="45"/>
      <c r="AX1165" s="46">
        <f t="shared" si="55"/>
        <v>0</v>
      </c>
      <c r="AY1165" s="46">
        <f t="shared" si="56"/>
        <v>0</v>
      </c>
      <c r="AZ1165" s="46">
        <f t="shared" si="57"/>
        <v>0</v>
      </c>
    </row>
    <row r="1166" spans="3:52">
      <c r="C1166" s="102"/>
      <c r="D1166" s="3"/>
      <c r="F1166" s="3"/>
      <c r="G1166" s="3"/>
      <c r="H1166" s="3"/>
      <c r="J1166" s="3"/>
      <c r="K1166" s="3"/>
      <c r="L1166" s="4"/>
      <c r="M1166" s="3"/>
      <c r="O1166" s="58"/>
      <c r="Q1166" s="64"/>
      <c r="R1166" s="45"/>
      <c r="S1166" s="45"/>
      <c r="U1166" s="64"/>
      <c r="V1166" s="45"/>
      <c r="W1166" s="64"/>
      <c r="X1166" s="64"/>
      <c r="Y1166" s="45"/>
      <c r="Z1166" s="45"/>
      <c r="AA1166" s="105"/>
      <c r="AB1166" s="105"/>
      <c r="AC1166" s="105"/>
      <c r="AD1166" s="64"/>
      <c r="AH1166" s="64"/>
      <c r="AI1166" s="45"/>
      <c r="AJ1166" s="105"/>
      <c r="AK1166" s="105"/>
      <c r="AL1166" s="60"/>
      <c r="AM1166" s="60"/>
      <c r="AN1166" s="60"/>
      <c r="AO1166" s="60"/>
      <c r="AP1166" s="60"/>
      <c r="AQ1166" s="60"/>
      <c r="AR1166" s="60"/>
      <c r="AS1166" s="60"/>
      <c r="AT1166" s="45"/>
      <c r="AU1166" s="45"/>
      <c r="AW1166" s="45"/>
      <c r="AX1166" s="46">
        <f t="shared" si="55"/>
        <v>0</v>
      </c>
      <c r="AY1166" s="46">
        <f t="shared" si="56"/>
        <v>0</v>
      </c>
      <c r="AZ1166" s="46">
        <f t="shared" si="57"/>
        <v>0</v>
      </c>
    </row>
    <row r="1167" spans="3:52">
      <c r="C1167" s="102"/>
      <c r="D1167" s="3"/>
      <c r="F1167" s="3"/>
      <c r="G1167" s="3"/>
      <c r="H1167" s="3"/>
      <c r="J1167" s="3"/>
      <c r="K1167" s="3"/>
      <c r="L1167" s="4"/>
      <c r="M1167" s="3"/>
      <c r="O1167" s="58"/>
      <c r="Q1167" s="64"/>
      <c r="R1167" s="45"/>
      <c r="S1167" s="45"/>
      <c r="U1167" s="64"/>
      <c r="V1167" s="45"/>
      <c r="W1167" s="64"/>
      <c r="X1167" s="64"/>
      <c r="Y1167" s="45"/>
      <c r="Z1167" s="45"/>
      <c r="AA1167" s="105"/>
      <c r="AB1167" s="105"/>
      <c r="AC1167" s="105"/>
      <c r="AD1167" s="64"/>
      <c r="AH1167" s="64"/>
      <c r="AI1167" s="45"/>
      <c r="AJ1167" s="105"/>
      <c r="AK1167" s="105"/>
      <c r="AL1167" s="60"/>
      <c r="AM1167" s="60"/>
      <c r="AN1167" s="60"/>
      <c r="AO1167" s="60"/>
      <c r="AP1167" s="60"/>
      <c r="AQ1167" s="60"/>
      <c r="AR1167" s="60"/>
      <c r="AS1167" s="60"/>
      <c r="AT1167" s="45"/>
      <c r="AU1167" s="45"/>
      <c r="AW1167" s="45"/>
      <c r="AX1167" s="46">
        <f t="shared" si="55"/>
        <v>0</v>
      </c>
      <c r="AY1167" s="46">
        <f t="shared" si="56"/>
        <v>0</v>
      </c>
      <c r="AZ1167" s="46">
        <f t="shared" si="57"/>
        <v>0</v>
      </c>
    </row>
    <row r="1168" spans="3:52">
      <c r="C1168" s="102"/>
      <c r="D1168" s="3"/>
      <c r="F1168" s="3"/>
      <c r="G1168" s="3"/>
      <c r="H1168" s="3"/>
      <c r="J1168" s="3"/>
      <c r="K1168" s="3"/>
      <c r="L1168" s="4"/>
      <c r="M1168" s="3"/>
      <c r="O1168" s="58"/>
      <c r="Q1168" s="64"/>
      <c r="R1168" s="45"/>
      <c r="S1168" s="45"/>
      <c r="U1168" s="64"/>
      <c r="V1168" s="45"/>
      <c r="W1168" s="64"/>
      <c r="X1168" s="64"/>
      <c r="Y1168" s="45"/>
      <c r="Z1168" s="45"/>
      <c r="AA1168" s="105"/>
      <c r="AB1168" s="105"/>
      <c r="AC1168" s="105"/>
      <c r="AD1168" s="64"/>
      <c r="AH1168" s="64"/>
      <c r="AI1168" s="45"/>
      <c r="AJ1168" s="105"/>
      <c r="AK1168" s="105"/>
      <c r="AL1168" s="60"/>
      <c r="AM1168" s="60"/>
      <c r="AN1168" s="60"/>
      <c r="AO1168" s="60"/>
      <c r="AP1168" s="60"/>
      <c r="AQ1168" s="60"/>
      <c r="AR1168" s="60"/>
      <c r="AS1168" s="60"/>
      <c r="AT1168" s="45"/>
      <c r="AU1168" s="45"/>
      <c r="AW1168" s="45"/>
      <c r="AX1168" s="46">
        <f t="shared" si="55"/>
        <v>0</v>
      </c>
      <c r="AY1168" s="46">
        <f t="shared" si="56"/>
        <v>0</v>
      </c>
      <c r="AZ1168" s="46">
        <f t="shared" si="57"/>
        <v>0</v>
      </c>
    </row>
    <row r="1169" spans="3:52">
      <c r="C1169" s="102"/>
      <c r="D1169" s="3"/>
      <c r="F1169" s="3"/>
      <c r="G1169" s="3"/>
      <c r="H1169" s="3"/>
      <c r="J1169" s="3"/>
      <c r="K1169" s="3"/>
      <c r="L1169" s="4"/>
      <c r="M1169" s="3"/>
      <c r="O1169" s="58"/>
      <c r="Q1169" s="64"/>
      <c r="R1169" s="45"/>
      <c r="S1169" s="45"/>
      <c r="U1169" s="64"/>
      <c r="V1169" s="45"/>
      <c r="W1169" s="64"/>
      <c r="X1169" s="64"/>
      <c r="Y1169" s="45"/>
      <c r="Z1169" s="45"/>
      <c r="AA1169" s="105"/>
      <c r="AB1169" s="105"/>
      <c r="AC1169" s="105"/>
      <c r="AD1169" s="64"/>
      <c r="AH1169" s="64"/>
      <c r="AI1169" s="45"/>
      <c r="AJ1169" s="105"/>
      <c r="AK1169" s="105"/>
      <c r="AL1169" s="60"/>
      <c r="AM1169" s="60"/>
      <c r="AN1169" s="60"/>
      <c r="AO1169" s="60"/>
      <c r="AP1169" s="60"/>
      <c r="AQ1169" s="60"/>
      <c r="AR1169" s="60"/>
      <c r="AS1169" s="60"/>
      <c r="AT1169" s="45"/>
      <c r="AU1169" s="45"/>
      <c r="AW1169" s="45"/>
      <c r="AX1169" s="46">
        <f t="shared" si="55"/>
        <v>0</v>
      </c>
      <c r="AY1169" s="46">
        <f t="shared" si="56"/>
        <v>0</v>
      </c>
      <c r="AZ1169" s="46">
        <f t="shared" si="57"/>
        <v>0</v>
      </c>
    </row>
    <row r="1170" spans="3:52">
      <c r="C1170" s="102"/>
      <c r="D1170" s="3"/>
      <c r="F1170" s="3"/>
      <c r="G1170" s="3"/>
      <c r="H1170" s="3"/>
      <c r="J1170" s="3"/>
      <c r="K1170" s="3"/>
      <c r="L1170" s="4"/>
      <c r="M1170" s="3"/>
      <c r="O1170" s="58"/>
      <c r="Q1170" s="64"/>
      <c r="R1170" s="45"/>
      <c r="S1170" s="45"/>
      <c r="U1170" s="64"/>
      <c r="V1170" s="45"/>
      <c r="W1170" s="64"/>
      <c r="X1170" s="64"/>
      <c r="Y1170" s="45"/>
      <c r="Z1170" s="45"/>
      <c r="AA1170" s="105"/>
      <c r="AB1170" s="105"/>
      <c r="AC1170" s="105"/>
      <c r="AD1170" s="64"/>
      <c r="AH1170" s="64"/>
      <c r="AI1170" s="45"/>
      <c r="AJ1170" s="105"/>
      <c r="AK1170" s="105"/>
      <c r="AL1170" s="60"/>
      <c r="AM1170" s="60"/>
      <c r="AN1170" s="60"/>
      <c r="AO1170" s="60"/>
      <c r="AP1170" s="60"/>
      <c r="AQ1170" s="60"/>
      <c r="AR1170" s="60"/>
      <c r="AS1170" s="60"/>
      <c r="AT1170" s="45"/>
      <c r="AU1170" s="45"/>
      <c r="AW1170" s="45"/>
      <c r="AX1170" s="46">
        <f t="shared" si="55"/>
        <v>0</v>
      </c>
      <c r="AY1170" s="46">
        <f t="shared" si="56"/>
        <v>0</v>
      </c>
      <c r="AZ1170" s="46">
        <f t="shared" si="57"/>
        <v>0</v>
      </c>
    </row>
    <row r="1171" spans="3:52">
      <c r="C1171" s="102"/>
      <c r="D1171" s="3"/>
      <c r="F1171" s="3"/>
      <c r="G1171" s="3"/>
      <c r="H1171" s="3"/>
      <c r="J1171" s="3"/>
      <c r="K1171" s="3"/>
      <c r="L1171" s="4"/>
      <c r="M1171" s="3"/>
      <c r="O1171" s="58"/>
      <c r="Q1171" s="64"/>
      <c r="R1171" s="45"/>
      <c r="S1171" s="45"/>
      <c r="U1171" s="64"/>
      <c r="V1171" s="45"/>
      <c r="W1171" s="64"/>
      <c r="X1171" s="64"/>
      <c r="Y1171" s="45"/>
      <c r="Z1171" s="45"/>
      <c r="AA1171" s="105"/>
      <c r="AB1171" s="105"/>
      <c r="AC1171" s="105"/>
      <c r="AD1171" s="64"/>
      <c r="AH1171" s="64"/>
      <c r="AI1171" s="45"/>
      <c r="AJ1171" s="105"/>
      <c r="AK1171" s="105"/>
      <c r="AL1171" s="60"/>
      <c r="AM1171" s="60"/>
      <c r="AN1171" s="60"/>
      <c r="AO1171" s="60"/>
      <c r="AP1171" s="60"/>
      <c r="AQ1171" s="60"/>
      <c r="AR1171" s="60"/>
      <c r="AS1171" s="60"/>
      <c r="AT1171" s="45"/>
      <c r="AU1171" s="45"/>
      <c r="AW1171" s="45"/>
      <c r="AX1171" s="46">
        <f t="shared" si="55"/>
        <v>0</v>
      </c>
      <c r="AY1171" s="46">
        <f t="shared" si="56"/>
        <v>0</v>
      </c>
      <c r="AZ1171" s="46">
        <f t="shared" si="57"/>
        <v>0</v>
      </c>
    </row>
    <row r="1172" spans="3:52">
      <c r="C1172" s="102"/>
      <c r="D1172" s="3"/>
      <c r="F1172" s="3"/>
      <c r="G1172" s="3"/>
      <c r="H1172" s="3"/>
      <c r="J1172" s="3"/>
      <c r="K1172" s="3"/>
      <c r="L1172" s="4"/>
      <c r="M1172" s="3"/>
      <c r="O1172" s="58"/>
      <c r="Q1172" s="64"/>
      <c r="R1172" s="45"/>
      <c r="S1172" s="45"/>
      <c r="U1172" s="64"/>
      <c r="V1172" s="45"/>
      <c r="W1172" s="64"/>
      <c r="X1172" s="64"/>
      <c r="Y1172" s="45"/>
      <c r="Z1172" s="45"/>
      <c r="AA1172" s="105"/>
      <c r="AB1172" s="105"/>
      <c r="AC1172" s="105"/>
      <c r="AD1172" s="64"/>
      <c r="AH1172" s="64"/>
      <c r="AI1172" s="45"/>
      <c r="AJ1172" s="105"/>
      <c r="AK1172" s="105"/>
      <c r="AL1172" s="60"/>
      <c r="AM1172" s="60"/>
      <c r="AN1172" s="60"/>
      <c r="AO1172" s="60"/>
      <c r="AP1172" s="60"/>
      <c r="AQ1172" s="60"/>
      <c r="AR1172" s="60"/>
      <c r="AS1172" s="60"/>
      <c r="AT1172" s="45"/>
      <c r="AU1172" s="45"/>
      <c r="AW1172" s="45"/>
      <c r="AX1172" s="46">
        <f t="shared" si="55"/>
        <v>0</v>
      </c>
      <c r="AY1172" s="46">
        <f t="shared" si="56"/>
        <v>0</v>
      </c>
      <c r="AZ1172" s="46">
        <f t="shared" si="57"/>
        <v>0</v>
      </c>
    </row>
    <row r="1173" spans="3:52">
      <c r="C1173" s="102"/>
      <c r="D1173" s="3"/>
      <c r="F1173" s="3"/>
      <c r="G1173" s="3"/>
      <c r="H1173" s="3"/>
      <c r="J1173" s="3"/>
      <c r="K1173" s="3"/>
      <c r="L1173" s="4"/>
      <c r="M1173" s="3"/>
      <c r="O1173" s="58"/>
      <c r="Q1173" s="64"/>
      <c r="R1173" s="45"/>
      <c r="S1173" s="45"/>
      <c r="U1173" s="64"/>
      <c r="V1173" s="45"/>
      <c r="W1173" s="64"/>
      <c r="X1173" s="64"/>
      <c r="Y1173" s="45"/>
      <c r="Z1173" s="45"/>
      <c r="AA1173" s="105"/>
      <c r="AB1173" s="105"/>
      <c r="AC1173" s="105"/>
      <c r="AD1173" s="64"/>
      <c r="AH1173" s="64"/>
      <c r="AI1173" s="45"/>
      <c r="AJ1173" s="105"/>
      <c r="AK1173" s="105"/>
      <c r="AL1173" s="60"/>
      <c r="AM1173" s="60"/>
      <c r="AN1173" s="60"/>
      <c r="AO1173" s="60"/>
      <c r="AP1173" s="60"/>
      <c r="AQ1173" s="60"/>
      <c r="AR1173" s="60"/>
      <c r="AS1173" s="60"/>
      <c r="AT1173" s="45"/>
      <c r="AU1173" s="45"/>
      <c r="AW1173" s="45"/>
      <c r="AX1173" s="46">
        <f t="shared" si="55"/>
        <v>0</v>
      </c>
      <c r="AY1173" s="46">
        <f t="shared" si="56"/>
        <v>0</v>
      </c>
      <c r="AZ1173" s="46">
        <f t="shared" si="57"/>
        <v>0</v>
      </c>
    </row>
    <row r="1174" spans="3:52">
      <c r="C1174" s="102"/>
      <c r="D1174" s="3"/>
      <c r="F1174" s="3"/>
      <c r="G1174" s="3"/>
      <c r="H1174" s="3"/>
      <c r="J1174" s="3"/>
      <c r="K1174" s="3"/>
      <c r="L1174" s="4"/>
      <c r="M1174" s="3"/>
      <c r="O1174" s="58"/>
      <c r="Q1174" s="64"/>
      <c r="R1174" s="45"/>
      <c r="S1174" s="45"/>
      <c r="U1174" s="64"/>
      <c r="V1174" s="45"/>
      <c r="W1174" s="64"/>
      <c r="X1174" s="64"/>
      <c r="Y1174" s="45"/>
      <c r="Z1174" s="45"/>
      <c r="AA1174" s="105"/>
      <c r="AB1174" s="105"/>
      <c r="AC1174" s="105"/>
      <c r="AD1174" s="64"/>
      <c r="AH1174" s="64"/>
      <c r="AI1174" s="45"/>
      <c r="AJ1174" s="105"/>
      <c r="AK1174" s="105"/>
      <c r="AL1174" s="60"/>
      <c r="AM1174" s="60"/>
      <c r="AN1174" s="60"/>
      <c r="AO1174" s="60"/>
      <c r="AP1174" s="60"/>
      <c r="AQ1174" s="60"/>
      <c r="AR1174" s="60"/>
      <c r="AS1174" s="60"/>
      <c r="AT1174" s="45"/>
      <c r="AU1174" s="45"/>
      <c r="AW1174" s="45"/>
      <c r="AX1174" s="46">
        <f t="shared" si="55"/>
        <v>0</v>
      </c>
      <c r="AY1174" s="46">
        <f t="shared" si="56"/>
        <v>0</v>
      </c>
      <c r="AZ1174" s="46">
        <f t="shared" si="57"/>
        <v>0</v>
      </c>
    </row>
    <row r="1175" spans="3:52">
      <c r="C1175" s="102"/>
      <c r="D1175" s="3"/>
      <c r="F1175" s="3"/>
      <c r="G1175" s="3"/>
      <c r="H1175" s="3"/>
      <c r="J1175" s="3"/>
      <c r="K1175" s="3"/>
      <c r="L1175" s="4"/>
      <c r="M1175" s="3"/>
      <c r="O1175" s="58"/>
      <c r="Q1175" s="64"/>
      <c r="R1175" s="45"/>
      <c r="S1175" s="45"/>
      <c r="U1175" s="64"/>
      <c r="V1175" s="45"/>
      <c r="W1175" s="64"/>
      <c r="X1175" s="64"/>
      <c r="Y1175" s="45"/>
      <c r="Z1175" s="45"/>
      <c r="AA1175" s="105"/>
      <c r="AB1175" s="105"/>
      <c r="AC1175" s="105"/>
      <c r="AD1175" s="64"/>
      <c r="AH1175" s="64"/>
      <c r="AI1175" s="45"/>
      <c r="AJ1175" s="105"/>
      <c r="AK1175" s="105"/>
      <c r="AL1175" s="60"/>
      <c r="AM1175" s="60"/>
      <c r="AN1175" s="60"/>
      <c r="AO1175" s="60"/>
      <c r="AP1175" s="60"/>
      <c r="AQ1175" s="60"/>
      <c r="AR1175" s="60"/>
      <c r="AS1175" s="60"/>
      <c r="AT1175" s="45"/>
      <c r="AU1175" s="45"/>
      <c r="AW1175" s="45"/>
      <c r="AX1175" s="46">
        <f t="shared" si="55"/>
        <v>0</v>
      </c>
      <c r="AY1175" s="46">
        <f t="shared" si="56"/>
        <v>0</v>
      </c>
      <c r="AZ1175" s="46">
        <f t="shared" si="57"/>
        <v>0</v>
      </c>
    </row>
    <row r="1176" spans="3:52">
      <c r="C1176" s="102"/>
      <c r="D1176" s="3"/>
      <c r="F1176" s="3"/>
      <c r="G1176" s="3"/>
      <c r="H1176" s="3"/>
      <c r="J1176" s="3"/>
      <c r="K1176" s="3"/>
      <c r="L1176" s="4"/>
      <c r="M1176" s="3"/>
      <c r="O1176" s="58"/>
      <c r="Q1176" s="64"/>
      <c r="R1176" s="45"/>
      <c r="S1176" s="45"/>
      <c r="U1176" s="64"/>
      <c r="V1176" s="45"/>
      <c r="W1176" s="64"/>
      <c r="X1176" s="64"/>
      <c r="Y1176" s="45"/>
      <c r="Z1176" s="45"/>
      <c r="AA1176" s="105"/>
      <c r="AB1176" s="105"/>
      <c r="AC1176" s="105"/>
      <c r="AD1176" s="64"/>
      <c r="AH1176" s="64"/>
      <c r="AI1176" s="45"/>
      <c r="AJ1176" s="105"/>
      <c r="AK1176" s="105"/>
      <c r="AL1176" s="60"/>
      <c r="AM1176" s="60"/>
      <c r="AN1176" s="60"/>
      <c r="AO1176" s="60"/>
      <c r="AP1176" s="60"/>
      <c r="AQ1176" s="60"/>
      <c r="AR1176" s="60"/>
      <c r="AS1176" s="60"/>
      <c r="AT1176" s="45"/>
      <c r="AU1176" s="45"/>
      <c r="AW1176" s="45"/>
      <c r="AX1176" s="46">
        <f t="shared" si="55"/>
        <v>0</v>
      </c>
      <c r="AY1176" s="46">
        <f t="shared" si="56"/>
        <v>0</v>
      </c>
      <c r="AZ1176" s="46">
        <f t="shared" si="57"/>
        <v>0</v>
      </c>
    </row>
    <row r="1177" spans="3:52">
      <c r="C1177" s="102"/>
      <c r="D1177" s="3"/>
      <c r="F1177" s="3"/>
      <c r="G1177" s="3"/>
      <c r="H1177" s="3"/>
      <c r="J1177" s="3"/>
      <c r="K1177" s="3"/>
      <c r="L1177" s="4"/>
      <c r="M1177" s="3"/>
      <c r="O1177" s="58"/>
      <c r="Q1177" s="64"/>
      <c r="R1177" s="45"/>
      <c r="S1177" s="45"/>
      <c r="U1177" s="64"/>
      <c r="V1177" s="45"/>
      <c r="W1177" s="64"/>
      <c r="X1177" s="64"/>
      <c r="Y1177" s="45"/>
      <c r="Z1177" s="45"/>
      <c r="AA1177" s="105"/>
      <c r="AB1177" s="105"/>
      <c r="AC1177" s="105"/>
      <c r="AD1177" s="64"/>
      <c r="AH1177" s="64"/>
      <c r="AI1177" s="45"/>
      <c r="AJ1177" s="105"/>
      <c r="AK1177" s="105"/>
      <c r="AL1177" s="60"/>
      <c r="AM1177" s="60"/>
      <c r="AN1177" s="60"/>
      <c r="AO1177" s="60"/>
      <c r="AP1177" s="60"/>
      <c r="AQ1177" s="60"/>
      <c r="AR1177" s="60"/>
      <c r="AS1177" s="60"/>
      <c r="AT1177" s="45"/>
      <c r="AU1177" s="45"/>
      <c r="AW1177" s="45"/>
      <c r="AX1177" s="46">
        <f t="shared" si="55"/>
        <v>0</v>
      </c>
      <c r="AY1177" s="46">
        <f t="shared" si="56"/>
        <v>0</v>
      </c>
      <c r="AZ1177" s="46">
        <f t="shared" si="57"/>
        <v>0</v>
      </c>
    </row>
    <row r="1178" spans="3:52">
      <c r="C1178" s="102"/>
      <c r="D1178" s="3"/>
      <c r="F1178" s="3"/>
      <c r="G1178" s="3"/>
      <c r="H1178" s="3"/>
      <c r="J1178" s="3"/>
      <c r="K1178" s="3"/>
      <c r="L1178" s="4"/>
      <c r="M1178" s="3"/>
      <c r="O1178" s="58"/>
      <c r="Q1178" s="64"/>
      <c r="R1178" s="45"/>
      <c r="S1178" s="45"/>
      <c r="U1178" s="64"/>
      <c r="V1178" s="45"/>
      <c r="W1178" s="64"/>
      <c r="X1178" s="64"/>
      <c r="Y1178" s="45"/>
      <c r="Z1178" s="45"/>
      <c r="AA1178" s="105"/>
      <c r="AB1178" s="105"/>
      <c r="AC1178" s="105"/>
      <c r="AD1178" s="64"/>
      <c r="AH1178" s="64"/>
      <c r="AI1178" s="45"/>
      <c r="AJ1178" s="105"/>
      <c r="AK1178" s="105"/>
      <c r="AL1178" s="60"/>
      <c r="AM1178" s="60"/>
      <c r="AN1178" s="60"/>
      <c r="AO1178" s="60"/>
      <c r="AP1178" s="60"/>
      <c r="AQ1178" s="60"/>
      <c r="AR1178" s="60"/>
      <c r="AS1178" s="60"/>
      <c r="AT1178" s="45"/>
      <c r="AU1178" s="45"/>
      <c r="AW1178" s="45"/>
      <c r="AX1178" s="46">
        <f t="shared" si="55"/>
        <v>0</v>
      </c>
      <c r="AY1178" s="46">
        <f t="shared" si="56"/>
        <v>0</v>
      </c>
      <c r="AZ1178" s="46">
        <f t="shared" si="57"/>
        <v>0</v>
      </c>
    </row>
    <row r="1179" spans="3:52">
      <c r="C1179" s="102"/>
      <c r="D1179" s="3"/>
      <c r="F1179" s="3"/>
      <c r="G1179" s="3"/>
      <c r="H1179" s="3"/>
      <c r="J1179" s="3"/>
      <c r="K1179" s="3"/>
      <c r="L1179" s="4"/>
      <c r="M1179" s="3"/>
      <c r="O1179" s="58"/>
      <c r="Q1179" s="64"/>
      <c r="R1179" s="45"/>
      <c r="S1179" s="45"/>
      <c r="U1179" s="64"/>
      <c r="V1179" s="45"/>
      <c r="W1179" s="64"/>
      <c r="X1179" s="64"/>
      <c r="Y1179" s="45"/>
      <c r="Z1179" s="45"/>
      <c r="AA1179" s="105"/>
      <c r="AB1179" s="105"/>
      <c r="AC1179" s="105"/>
      <c r="AD1179" s="64"/>
      <c r="AH1179" s="64"/>
      <c r="AI1179" s="45"/>
      <c r="AJ1179" s="105"/>
      <c r="AK1179" s="105"/>
      <c r="AL1179" s="60"/>
      <c r="AM1179" s="60"/>
      <c r="AN1179" s="60"/>
      <c r="AO1179" s="60"/>
      <c r="AP1179" s="60"/>
      <c r="AQ1179" s="60"/>
      <c r="AR1179" s="60"/>
      <c r="AS1179" s="60"/>
      <c r="AT1179" s="45"/>
      <c r="AU1179" s="45"/>
      <c r="AW1179" s="45"/>
      <c r="AX1179" s="46">
        <f t="shared" si="55"/>
        <v>0</v>
      </c>
      <c r="AY1179" s="46">
        <f t="shared" si="56"/>
        <v>0</v>
      </c>
      <c r="AZ1179" s="46">
        <f t="shared" si="57"/>
        <v>0</v>
      </c>
    </row>
    <row r="1180" spans="3:52">
      <c r="C1180" s="102"/>
      <c r="D1180" s="3"/>
      <c r="F1180" s="3"/>
      <c r="G1180" s="3"/>
      <c r="H1180" s="3"/>
      <c r="J1180" s="3"/>
      <c r="K1180" s="3"/>
      <c r="L1180" s="4"/>
      <c r="M1180" s="3"/>
      <c r="O1180" s="58"/>
      <c r="Q1180" s="64"/>
      <c r="R1180" s="45"/>
      <c r="S1180" s="45"/>
      <c r="U1180" s="64"/>
      <c r="V1180" s="45"/>
      <c r="W1180" s="64"/>
      <c r="X1180" s="64"/>
      <c r="Y1180" s="45"/>
      <c r="Z1180" s="45"/>
      <c r="AA1180" s="105"/>
      <c r="AB1180" s="105"/>
      <c r="AC1180" s="105"/>
      <c r="AD1180" s="64"/>
      <c r="AH1180" s="64"/>
      <c r="AI1180" s="45"/>
      <c r="AJ1180" s="105"/>
      <c r="AK1180" s="105"/>
      <c r="AL1180" s="60"/>
      <c r="AM1180" s="60"/>
      <c r="AN1180" s="60"/>
      <c r="AO1180" s="60"/>
      <c r="AP1180" s="60"/>
      <c r="AQ1180" s="60"/>
      <c r="AR1180" s="60"/>
      <c r="AS1180" s="60"/>
      <c r="AT1180" s="45"/>
      <c r="AU1180" s="45"/>
      <c r="AW1180" s="45"/>
      <c r="AX1180" s="46">
        <f t="shared" si="55"/>
        <v>0</v>
      </c>
      <c r="AY1180" s="46">
        <f t="shared" si="56"/>
        <v>0</v>
      </c>
      <c r="AZ1180" s="46">
        <f t="shared" si="57"/>
        <v>0</v>
      </c>
    </row>
    <row r="1181" spans="3:52">
      <c r="C1181" s="102"/>
      <c r="D1181" s="3"/>
      <c r="F1181" s="3"/>
      <c r="G1181" s="3"/>
      <c r="H1181" s="3"/>
      <c r="J1181" s="3"/>
      <c r="K1181" s="3"/>
      <c r="L1181" s="4"/>
      <c r="M1181" s="3"/>
      <c r="O1181" s="58"/>
      <c r="Q1181" s="64"/>
      <c r="R1181" s="45"/>
      <c r="S1181" s="45"/>
      <c r="U1181" s="64"/>
      <c r="V1181" s="45"/>
      <c r="W1181" s="64"/>
      <c r="X1181" s="64"/>
      <c r="Y1181" s="45"/>
      <c r="Z1181" s="45"/>
      <c r="AA1181" s="105"/>
      <c r="AB1181" s="105"/>
      <c r="AC1181" s="105"/>
      <c r="AD1181" s="64"/>
      <c r="AH1181" s="64"/>
      <c r="AI1181" s="45"/>
      <c r="AJ1181" s="105"/>
      <c r="AK1181" s="105"/>
      <c r="AL1181" s="60"/>
      <c r="AM1181" s="60"/>
      <c r="AN1181" s="60"/>
      <c r="AO1181" s="60"/>
      <c r="AP1181" s="60"/>
      <c r="AQ1181" s="60"/>
      <c r="AR1181" s="60"/>
      <c r="AS1181" s="60"/>
      <c r="AT1181" s="45"/>
      <c r="AU1181" s="45"/>
      <c r="AW1181" s="45"/>
      <c r="AX1181" s="46">
        <f t="shared" si="55"/>
        <v>0</v>
      </c>
      <c r="AY1181" s="46">
        <f t="shared" si="56"/>
        <v>0</v>
      </c>
      <c r="AZ1181" s="46">
        <f t="shared" si="57"/>
        <v>0</v>
      </c>
    </row>
    <row r="1182" spans="3:52">
      <c r="C1182" s="102"/>
      <c r="D1182" s="3"/>
      <c r="F1182" s="3"/>
      <c r="G1182" s="3"/>
      <c r="H1182" s="3"/>
      <c r="J1182" s="3"/>
      <c r="K1182" s="3"/>
      <c r="L1182" s="4"/>
      <c r="M1182" s="3"/>
      <c r="O1182" s="58"/>
      <c r="Q1182" s="64"/>
      <c r="R1182" s="45"/>
      <c r="S1182" s="45"/>
      <c r="U1182" s="64"/>
      <c r="V1182" s="45"/>
      <c r="W1182" s="64"/>
      <c r="X1182" s="64"/>
      <c r="Y1182" s="45"/>
      <c r="Z1182" s="45"/>
      <c r="AA1182" s="105"/>
      <c r="AB1182" s="105"/>
      <c r="AC1182" s="105"/>
      <c r="AD1182" s="64"/>
      <c r="AH1182" s="64"/>
      <c r="AI1182" s="45"/>
      <c r="AJ1182" s="105"/>
      <c r="AK1182" s="105"/>
      <c r="AL1182" s="60"/>
      <c r="AM1182" s="60"/>
      <c r="AN1182" s="60"/>
      <c r="AO1182" s="60"/>
      <c r="AP1182" s="60"/>
      <c r="AQ1182" s="60"/>
      <c r="AR1182" s="60"/>
      <c r="AS1182" s="60"/>
      <c r="AT1182" s="45"/>
      <c r="AU1182" s="45"/>
      <c r="AW1182" s="45"/>
      <c r="AX1182" s="46">
        <f t="shared" si="55"/>
        <v>0</v>
      </c>
      <c r="AY1182" s="46">
        <f t="shared" si="56"/>
        <v>0</v>
      </c>
      <c r="AZ1182" s="46">
        <f t="shared" si="57"/>
        <v>0</v>
      </c>
    </row>
    <row r="1183" spans="3:52">
      <c r="C1183" s="102"/>
      <c r="D1183" s="3"/>
      <c r="F1183" s="3"/>
      <c r="G1183" s="3"/>
      <c r="H1183" s="3"/>
      <c r="J1183" s="3"/>
      <c r="K1183" s="3"/>
      <c r="L1183" s="4"/>
      <c r="M1183" s="3"/>
      <c r="O1183" s="58"/>
      <c r="Q1183" s="64"/>
      <c r="R1183" s="45"/>
      <c r="S1183" s="45"/>
      <c r="U1183" s="64"/>
      <c r="V1183" s="45"/>
      <c r="W1183" s="64"/>
      <c r="X1183" s="64"/>
      <c r="Y1183" s="45"/>
      <c r="Z1183" s="45"/>
      <c r="AA1183" s="105"/>
      <c r="AB1183" s="105"/>
      <c r="AC1183" s="105"/>
      <c r="AD1183" s="64"/>
      <c r="AH1183" s="64"/>
      <c r="AI1183" s="45"/>
      <c r="AJ1183" s="105"/>
      <c r="AK1183" s="105"/>
      <c r="AL1183" s="60"/>
      <c r="AM1183" s="60"/>
      <c r="AN1183" s="60"/>
      <c r="AO1183" s="60"/>
      <c r="AP1183" s="60"/>
      <c r="AQ1183" s="60"/>
      <c r="AR1183" s="60"/>
      <c r="AS1183" s="60"/>
      <c r="AT1183" s="45"/>
      <c r="AU1183" s="45"/>
      <c r="AW1183" s="45"/>
      <c r="AX1183" s="46">
        <f t="shared" si="55"/>
        <v>0</v>
      </c>
      <c r="AY1183" s="46">
        <f t="shared" si="56"/>
        <v>0</v>
      </c>
      <c r="AZ1183" s="46">
        <f t="shared" si="57"/>
        <v>0</v>
      </c>
    </row>
    <row r="1184" spans="3:52">
      <c r="C1184" s="102"/>
      <c r="D1184" s="3"/>
      <c r="F1184" s="3"/>
      <c r="G1184" s="3"/>
      <c r="H1184" s="3"/>
      <c r="J1184" s="3"/>
      <c r="K1184" s="3"/>
      <c r="L1184" s="4"/>
      <c r="M1184" s="3"/>
      <c r="O1184" s="58"/>
      <c r="Q1184" s="64"/>
      <c r="R1184" s="45"/>
      <c r="S1184" s="45"/>
      <c r="U1184" s="64"/>
      <c r="V1184" s="45"/>
      <c r="W1184" s="64"/>
      <c r="X1184" s="64"/>
      <c r="Y1184" s="45"/>
      <c r="Z1184" s="45"/>
      <c r="AA1184" s="105"/>
      <c r="AB1184" s="105"/>
      <c r="AC1184" s="105"/>
      <c r="AD1184" s="64"/>
      <c r="AH1184" s="64"/>
      <c r="AI1184" s="45"/>
      <c r="AJ1184" s="105"/>
      <c r="AK1184" s="105"/>
      <c r="AL1184" s="60"/>
      <c r="AM1184" s="60"/>
      <c r="AN1184" s="60"/>
      <c r="AO1184" s="60"/>
      <c r="AP1184" s="60"/>
      <c r="AQ1184" s="60"/>
      <c r="AR1184" s="60"/>
      <c r="AS1184" s="60"/>
      <c r="AT1184" s="45"/>
      <c r="AU1184" s="45"/>
      <c r="AW1184" s="45"/>
      <c r="AX1184" s="46">
        <f t="shared" si="55"/>
        <v>0</v>
      </c>
      <c r="AY1184" s="46">
        <f t="shared" si="56"/>
        <v>0</v>
      </c>
      <c r="AZ1184" s="46">
        <f t="shared" si="57"/>
        <v>0</v>
      </c>
    </row>
    <row r="1185" spans="3:52">
      <c r="C1185" s="102"/>
      <c r="D1185" s="3"/>
      <c r="F1185" s="3"/>
      <c r="G1185" s="3"/>
      <c r="H1185" s="3"/>
      <c r="J1185" s="3"/>
      <c r="K1185" s="3"/>
      <c r="L1185" s="4"/>
      <c r="M1185" s="3"/>
      <c r="O1185" s="58"/>
      <c r="Q1185" s="64"/>
      <c r="R1185" s="45"/>
      <c r="S1185" s="45"/>
      <c r="U1185" s="64"/>
      <c r="V1185" s="45"/>
      <c r="W1185" s="64"/>
      <c r="X1185" s="64"/>
      <c r="Y1185" s="45"/>
      <c r="Z1185" s="45"/>
      <c r="AA1185" s="105"/>
      <c r="AB1185" s="105"/>
      <c r="AC1185" s="105"/>
      <c r="AD1185" s="64"/>
      <c r="AH1185" s="64"/>
      <c r="AI1185" s="45"/>
      <c r="AJ1185" s="105"/>
      <c r="AK1185" s="105"/>
      <c r="AL1185" s="60"/>
      <c r="AM1185" s="60"/>
      <c r="AN1185" s="60"/>
      <c r="AO1185" s="60"/>
      <c r="AP1185" s="60"/>
      <c r="AQ1185" s="60"/>
      <c r="AR1185" s="60"/>
      <c r="AS1185" s="60"/>
      <c r="AT1185" s="45"/>
      <c r="AU1185" s="45"/>
      <c r="AW1185" s="45"/>
      <c r="AX1185" s="46">
        <f t="shared" si="55"/>
        <v>0</v>
      </c>
      <c r="AY1185" s="46">
        <f t="shared" si="56"/>
        <v>0</v>
      </c>
      <c r="AZ1185" s="46">
        <f t="shared" si="57"/>
        <v>0</v>
      </c>
    </row>
    <row r="1186" spans="3:52">
      <c r="C1186" s="102"/>
      <c r="D1186" s="3"/>
      <c r="F1186" s="3"/>
      <c r="G1186" s="3"/>
      <c r="H1186" s="3"/>
      <c r="J1186" s="3"/>
      <c r="K1186" s="3"/>
      <c r="L1186" s="4"/>
      <c r="M1186" s="3"/>
      <c r="O1186" s="58"/>
      <c r="Q1186" s="64"/>
      <c r="R1186" s="45"/>
      <c r="S1186" s="45"/>
      <c r="U1186" s="64"/>
      <c r="V1186" s="45"/>
      <c r="W1186" s="64"/>
      <c r="X1186" s="64"/>
      <c r="Y1186" s="45"/>
      <c r="Z1186" s="45"/>
      <c r="AA1186" s="105"/>
      <c r="AB1186" s="105"/>
      <c r="AC1186" s="105"/>
      <c r="AD1186" s="64"/>
      <c r="AH1186" s="64"/>
      <c r="AI1186" s="45"/>
      <c r="AJ1186" s="105"/>
      <c r="AK1186" s="105"/>
      <c r="AL1186" s="60"/>
      <c r="AM1186" s="60"/>
      <c r="AN1186" s="60"/>
      <c r="AO1186" s="60"/>
      <c r="AP1186" s="60"/>
      <c r="AQ1186" s="60"/>
      <c r="AR1186" s="60"/>
      <c r="AS1186" s="60"/>
      <c r="AT1186" s="45"/>
      <c r="AU1186" s="45"/>
      <c r="AW1186" s="45"/>
      <c r="AX1186" s="46">
        <f t="shared" si="55"/>
        <v>0</v>
      </c>
      <c r="AY1186" s="46">
        <f t="shared" si="56"/>
        <v>0</v>
      </c>
      <c r="AZ1186" s="46">
        <f t="shared" si="57"/>
        <v>0</v>
      </c>
    </row>
    <row r="1187" spans="3:52">
      <c r="C1187" s="102"/>
      <c r="D1187" s="3"/>
      <c r="F1187" s="3"/>
      <c r="G1187" s="3"/>
      <c r="H1187" s="3"/>
      <c r="J1187" s="3"/>
      <c r="K1187" s="3"/>
      <c r="L1187" s="4"/>
      <c r="M1187" s="3"/>
      <c r="O1187" s="58"/>
      <c r="Q1187" s="64"/>
      <c r="R1187" s="45"/>
      <c r="S1187" s="45"/>
      <c r="U1187" s="64"/>
      <c r="V1187" s="45"/>
      <c r="W1187" s="64"/>
      <c r="X1187" s="64"/>
      <c r="Y1187" s="45"/>
      <c r="Z1187" s="45"/>
      <c r="AA1187" s="105"/>
      <c r="AB1187" s="105"/>
      <c r="AC1187" s="105"/>
      <c r="AD1187" s="64"/>
      <c r="AH1187" s="64"/>
      <c r="AI1187" s="45"/>
      <c r="AJ1187" s="105"/>
      <c r="AK1187" s="105"/>
      <c r="AL1187" s="60"/>
      <c r="AM1187" s="60"/>
      <c r="AN1187" s="60"/>
      <c r="AO1187" s="60"/>
      <c r="AP1187" s="60"/>
      <c r="AQ1187" s="60"/>
      <c r="AR1187" s="60"/>
      <c r="AS1187" s="60"/>
      <c r="AT1187" s="45"/>
      <c r="AU1187" s="45"/>
      <c r="AW1187" s="45"/>
      <c r="AX1187" s="46">
        <f t="shared" si="55"/>
        <v>0</v>
      </c>
      <c r="AY1187" s="46">
        <f t="shared" si="56"/>
        <v>0</v>
      </c>
      <c r="AZ1187" s="46">
        <f t="shared" si="57"/>
        <v>0</v>
      </c>
    </row>
    <row r="1188" spans="3:52">
      <c r="C1188" s="102"/>
      <c r="D1188" s="3"/>
      <c r="F1188" s="3"/>
      <c r="G1188" s="3"/>
      <c r="H1188" s="3"/>
      <c r="J1188" s="3"/>
      <c r="K1188" s="3"/>
      <c r="L1188" s="4"/>
      <c r="M1188" s="3"/>
      <c r="O1188" s="58"/>
      <c r="Q1188" s="64"/>
      <c r="R1188" s="45"/>
      <c r="S1188" s="45"/>
      <c r="U1188" s="64"/>
      <c r="V1188" s="45"/>
      <c r="W1188" s="64"/>
      <c r="X1188" s="64"/>
      <c r="Y1188" s="45"/>
      <c r="Z1188" s="45"/>
      <c r="AA1188" s="105"/>
      <c r="AB1188" s="105"/>
      <c r="AC1188" s="105"/>
      <c r="AD1188" s="64"/>
      <c r="AH1188" s="64"/>
      <c r="AI1188" s="45"/>
      <c r="AJ1188" s="105"/>
      <c r="AK1188" s="105"/>
      <c r="AL1188" s="60"/>
      <c r="AM1188" s="60"/>
      <c r="AN1188" s="60"/>
      <c r="AO1188" s="60"/>
      <c r="AP1188" s="60"/>
      <c r="AQ1188" s="60"/>
      <c r="AR1188" s="60"/>
      <c r="AS1188" s="60"/>
      <c r="AT1188" s="45"/>
      <c r="AU1188" s="45"/>
      <c r="AW1188" s="45"/>
      <c r="AX1188" s="46">
        <f t="shared" si="55"/>
        <v>0</v>
      </c>
      <c r="AY1188" s="46">
        <f t="shared" si="56"/>
        <v>0</v>
      </c>
      <c r="AZ1188" s="46">
        <f t="shared" si="57"/>
        <v>0</v>
      </c>
    </row>
    <row r="1189" spans="3:52">
      <c r="C1189" s="102"/>
      <c r="D1189" s="3"/>
      <c r="F1189" s="3"/>
      <c r="G1189" s="3"/>
      <c r="H1189" s="3"/>
      <c r="J1189" s="3"/>
      <c r="K1189" s="3"/>
      <c r="L1189" s="4"/>
      <c r="M1189" s="3"/>
      <c r="O1189" s="58"/>
      <c r="Q1189" s="64"/>
      <c r="R1189" s="45"/>
      <c r="S1189" s="45"/>
      <c r="U1189" s="64"/>
      <c r="V1189" s="45"/>
      <c r="W1189" s="64"/>
      <c r="X1189" s="64"/>
      <c r="Y1189" s="45"/>
      <c r="Z1189" s="45"/>
      <c r="AA1189" s="105"/>
      <c r="AB1189" s="105"/>
      <c r="AC1189" s="105"/>
      <c r="AD1189" s="64"/>
      <c r="AH1189" s="64"/>
      <c r="AI1189" s="45"/>
      <c r="AJ1189" s="105"/>
      <c r="AK1189" s="105"/>
      <c r="AL1189" s="60"/>
      <c r="AM1189" s="60"/>
      <c r="AN1189" s="60"/>
      <c r="AO1189" s="60"/>
      <c r="AP1189" s="60"/>
      <c r="AQ1189" s="60"/>
      <c r="AR1189" s="60"/>
      <c r="AS1189" s="60"/>
      <c r="AT1189" s="45"/>
      <c r="AU1189" s="45"/>
      <c r="AW1189" s="45"/>
      <c r="AX1189" s="46">
        <f t="shared" si="55"/>
        <v>0</v>
      </c>
      <c r="AY1189" s="46">
        <f t="shared" si="56"/>
        <v>0</v>
      </c>
      <c r="AZ1189" s="46">
        <f t="shared" si="57"/>
        <v>0</v>
      </c>
    </row>
    <row r="1190" spans="3:52">
      <c r="C1190" s="102"/>
      <c r="D1190" s="3"/>
      <c r="F1190" s="3"/>
      <c r="G1190" s="3"/>
      <c r="H1190" s="3"/>
      <c r="J1190" s="3"/>
      <c r="K1190" s="3"/>
      <c r="L1190" s="4"/>
      <c r="M1190" s="3"/>
      <c r="O1190" s="58"/>
      <c r="Q1190" s="64"/>
      <c r="R1190" s="45"/>
      <c r="S1190" s="45"/>
      <c r="U1190" s="64"/>
      <c r="V1190" s="45"/>
      <c r="W1190" s="64"/>
      <c r="X1190" s="64"/>
      <c r="Y1190" s="45"/>
      <c r="Z1190" s="45"/>
      <c r="AA1190" s="105"/>
      <c r="AB1190" s="105"/>
      <c r="AC1190" s="105"/>
      <c r="AD1190" s="64"/>
      <c r="AH1190" s="64"/>
      <c r="AI1190" s="45"/>
      <c r="AJ1190" s="105"/>
      <c r="AK1190" s="105"/>
      <c r="AL1190" s="60"/>
      <c r="AM1190" s="60"/>
      <c r="AN1190" s="60"/>
      <c r="AO1190" s="60"/>
      <c r="AP1190" s="60"/>
      <c r="AQ1190" s="60"/>
      <c r="AR1190" s="60"/>
      <c r="AS1190" s="60"/>
      <c r="AT1190" s="45"/>
      <c r="AU1190" s="45"/>
      <c r="AW1190" s="45"/>
      <c r="AX1190" s="46">
        <f t="shared" si="55"/>
        <v>0</v>
      </c>
      <c r="AY1190" s="46">
        <f t="shared" si="56"/>
        <v>0</v>
      </c>
      <c r="AZ1190" s="46">
        <f t="shared" si="57"/>
        <v>0</v>
      </c>
    </row>
    <row r="1191" spans="3:52">
      <c r="C1191" s="102"/>
      <c r="D1191" s="3"/>
      <c r="F1191" s="3"/>
      <c r="G1191" s="3"/>
      <c r="H1191" s="3"/>
      <c r="J1191" s="3"/>
      <c r="K1191" s="3"/>
      <c r="L1191" s="4"/>
      <c r="M1191" s="3"/>
      <c r="O1191" s="58"/>
      <c r="Q1191" s="64"/>
      <c r="R1191" s="45"/>
      <c r="S1191" s="45"/>
      <c r="U1191" s="64"/>
      <c r="V1191" s="45"/>
      <c r="W1191" s="64"/>
      <c r="X1191" s="64"/>
      <c r="Y1191" s="45"/>
      <c r="Z1191" s="45"/>
      <c r="AA1191" s="105"/>
      <c r="AB1191" s="105"/>
      <c r="AC1191" s="105"/>
      <c r="AD1191" s="64"/>
      <c r="AH1191" s="64"/>
      <c r="AI1191" s="45"/>
      <c r="AJ1191" s="105"/>
      <c r="AK1191" s="105"/>
      <c r="AL1191" s="60"/>
      <c r="AM1191" s="60"/>
      <c r="AN1191" s="60"/>
      <c r="AO1191" s="60"/>
      <c r="AP1191" s="60"/>
      <c r="AQ1191" s="60"/>
      <c r="AR1191" s="60"/>
      <c r="AS1191" s="60"/>
      <c r="AT1191" s="45"/>
      <c r="AU1191" s="45"/>
      <c r="AW1191" s="45"/>
      <c r="AX1191" s="46">
        <f t="shared" si="55"/>
        <v>0</v>
      </c>
      <c r="AY1191" s="46">
        <f t="shared" si="56"/>
        <v>0</v>
      </c>
      <c r="AZ1191" s="46">
        <f t="shared" si="57"/>
        <v>0</v>
      </c>
    </row>
    <row r="1192" spans="3:52">
      <c r="C1192" s="102"/>
      <c r="D1192" s="3"/>
      <c r="F1192" s="3"/>
      <c r="G1192" s="3"/>
      <c r="H1192" s="3"/>
      <c r="J1192" s="3"/>
      <c r="K1192" s="3"/>
      <c r="L1192" s="4"/>
      <c r="M1192" s="3"/>
      <c r="O1192" s="58"/>
      <c r="Q1192" s="64"/>
      <c r="R1192" s="45"/>
      <c r="S1192" s="45"/>
      <c r="U1192" s="64"/>
      <c r="V1192" s="45"/>
      <c r="W1192" s="64"/>
      <c r="X1192" s="64"/>
      <c r="Y1192" s="45"/>
      <c r="Z1192" s="45"/>
      <c r="AA1192" s="105"/>
      <c r="AB1192" s="105"/>
      <c r="AC1192" s="105"/>
      <c r="AD1192" s="64"/>
      <c r="AH1192" s="64"/>
      <c r="AI1192" s="45"/>
      <c r="AJ1192" s="105"/>
      <c r="AK1192" s="105"/>
      <c r="AL1192" s="60"/>
      <c r="AM1192" s="60"/>
      <c r="AN1192" s="60"/>
      <c r="AO1192" s="60"/>
      <c r="AP1192" s="60"/>
      <c r="AQ1192" s="60"/>
      <c r="AR1192" s="60"/>
      <c r="AS1192" s="60"/>
      <c r="AT1192" s="45"/>
      <c r="AU1192" s="45"/>
      <c r="AW1192" s="45"/>
      <c r="AX1192" s="46">
        <f t="shared" si="55"/>
        <v>0</v>
      </c>
      <c r="AY1192" s="46">
        <f t="shared" si="56"/>
        <v>0</v>
      </c>
      <c r="AZ1192" s="46">
        <f t="shared" si="57"/>
        <v>0</v>
      </c>
    </row>
    <row r="1193" spans="3:52">
      <c r="C1193" s="102"/>
      <c r="D1193" s="3"/>
      <c r="F1193" s="3"/>
      <c r="G1193" s="3"/>
      <c r="H1193" s="3"/>
      <c r="J1193" s="3"/>
      <c r="K1193" s="3"/>
      <c r="L1193" s="4"/>
      <c r="M1193" s="3"/>
      <c r="O1193" s="58"/>
      <c r="Q1193" s="64"/>
      <c r="R1193" s="45"/>
      <c r="S1193" s="45"/>
      <c r="U1193" s="64"/>
      <c r="V1193" s="45"/>
      <c r="W1193" s="64"/>
      <c r="X1193" s="64"/>
      <c r="Y1193" s="45"/>
      <c r="Z1193" s="45"/>
      <c r="AA1193" s="105"/>
      <c r="AB1193" s="105"/>
      <c r="AC1193" s="105"/>
      <c r="AD1193" s="64"/>
      <c r="AH1193" s="64"/>
      <c r="AI1193" s="45"/>
      <c r="AJ1193" s="105"/>
      <c r="AK1193" s="105"/>
      <c r="AL1193" s="60"/>
      <c r="AM1193" s="60"/>
      <c r="AN1193" s="60"/>
      <c r="AO1193" s="60"/>
      <c r="AP1193" s="60"/>
      <c r="AQ1193" s="60"/>
      <c r="AR1193" s="60"/>
      <c r="AS1193" s="60"/>
      <c r="AT1193" s="45"/>
      <c r="AU1193" s="45"/>
      <c r="AW1193" s="45"/>
      <c r="AX1193" s="46">
        <f t="shared" si="55"/>
        <v>0</v>
      </c>
      <c r="AY1193" s="46">
        <f t="shared" si="56"/>
        <v>0</v>
      </c>
      <c r="AZ1193" s="46">
        <f t="shared" si="57"/>
        <v>0</v>
      </c>
    </row>
    <row r="1194" spans="3:52">
      <c r="C1194" s="102"/>
      <c r="D1194" s="3"/>
      <c r="F1194" s="3"/>
      <c r="G1194" s="3"/>
      <c r="H1194" s="3"/>
      <c r="J1194" s="3"/>
      <c r="K1194" s="3"/>
      <c r="L1194" s="4"/>
      <c r="M1194" s="3"/>
      <c r="O1194" s="58"/>
      <c r="Q1194" s="64"/>
      <c r="R1194" s="45"/>
      <c r="S1194" s="45"/>
      <c r="U1194" s="64"/>
      <c r="V1194" s="45"/>
      <c r="W1194" s="64"/>
      <c r="X1194" s="64"/>
      <c r="Y1194" s="45"/>
      <c r="Z1194" s="45"/>
      <c r="AA1194" s="105"/>
      <c r="AB1194" s="105"/>
      <c r="AC1194" s="105"/>
      <c r="AD1194" s="64"/>
      <c r="AH1194" s="64"/>
      <c r="AI1194" s="45"/>
      <c r="AJ1194" s="105"/>
      <c r="AK1194" s="105"/>
      <c r="AL1194" s="60"/>
      <c r="AM1194" s="60"/>
      <c r="AN1194" s="60"/>
      <c r="AO1194" s="60"/>
      <c r="AP1194" s="60"/>
      <c r="AQ1194" s="60"/>
      <c r="AR1194" s="60"/>
      <c r="AS1194" s="60"/>
      <c r="AT1194" s="45"/>
      <c r="AU1194" s="45"/>
      <c r="AW1194" s="45"/>
      <c r="AX1194" s="46">
        <f t="shared" si="55"/>
        <v>0</v>
      </c>
      <c r="AY1194" s="46">
        <f t="shared" si="56"/>
        <v>0</v>
      </c>
      <c r="AZ1194" s="46">
        <f t="shared" si="57"/>
        <v>0</v>
      </c>
    </row>
    <row r="1195" spans="3:52">
      <c r="C1195" s="102"/>
      <c r="D1195" s="3"/>
      <c r="F1195" s="3"/>
      <c r="G1195" s="3"/>
      <c r="H1195" s="3"/>
      <c r="J1195" s="3"/>
      <c r="K1195" s="3"/>
      <c r="L1195" s="4"/>
      <c r="M1195" s="3"/>
      <c r="O1195" s="58"/>
      <c r="Q1195" s="64"/>
      <c r="R1195" s="45"/>
      <c r="S1195" s="45"/>
      <c r="U1195" s="64"/>
      <c r="V1195" s="45"/>
      <c r="W1195" s="64"/>
      <c r="X1195" s="64"/>
      <c r="Y1195" s="45"/>
      <c r="Z1195" s="45"/>
      <c r="AA1195" s="105"/>
      <c r="AB1195" s="105"/>
      <c r="AC1195" s="105"/>
      <c r="AD1195" s="64"/>
      <c r="AH1195" s="64"/>
      <c r="AI1195" s="45"/>
      <c r="AJ1195" s="105"/>
      <c r="AK1195" s="105"/>
      <c r="AL1195" s="60"/>
      <c r="AM1195" s="60"/>
      <c r="AN1195" s="60"/>
      <c r="AO1195" s="60"/>
      <c r="AP1195" s="60"/>
      <c r="AQ1195" s="60"/>
      <c r="AR1195" s="60"/>
      <c r="AS1195" s="60"/>
      <c r="AT1195" s="45"/>
      <c r="AU1195" s="45"/>
      <c r="AW1195" s="45"/>
      <c r="AX1195" s="46">
        <f t="shared" si="55"/>
        <v>0</v>
      </c>
      <c r="AY1195" s="46">
        <f t="shared" si="56"/>
        <v>0</v>
      </c>
      <c r="AZ1195" s="46">
        <f t="shared" si="57"/>
        <v>0</v>
      </c>
    </row>
    <row r="1196" spans="3:52">
      <c r="C1196" s="102"/>
      <c r="D1196" s="3"/>
      <c r="F1196" s="3"/>
      <c r="G1196" s="3"/>
      <c r="H1196" s="3"/>
      <c r="J1196" s="3"/>
      <c r="K1196" s="3"/>
      <c r="L1196" s="4"/>
      <c r="M1196" s="3"/>
      <c r="O1196" s="58"/>
      <c r="Q1196" s="64"/>
      <c r="R1196" s="45"/>
      <c r="S1196" s="45"/>
      <c r="U1196" s="64"/>
      <c r="V1196" s="45"/>
      <c r="W1196" s="64"/>
      <c r="X1196" s="64"/>
      <c r="Y1196" s="45"/>
      <c r="Z1196" s="45"/>
      <c r="AA1196" s="105"/>
      <c r="AB1196" s="105"/>
      <c r="AC1196" s="105"/>
      <c r="AD1196" s="64"/>
      <c r="AH1196" s="64"/>
      <c r="AI1196" s="45"/>
      <c r="AJ1196" s="105"/>
      <c r="AK1196" s="105"/>
      <c r="AL1196" s="60"/>
      <c r="AM1196" s="60"/>
      <c r="AN1196" s="60"/>
      <c r="AO1196" s="60"/>
      <c r="AP1196" s="60"/>
      <c r="AQ1196" s="60"/>
      <c r="AR1196" s="60"/>
      <c r="AS1196" s="60"/>
      <c r="AT1196" s="45"/>
      <c r="AU1196" s="45"/>
      <c r="AW1196" s="45"/>
      <c r="AX1196" s="46">
        <f t="shared" si="55"/>
        <v>0</v>
      </c>
      <c r="AY1196" s="46">
        <f t="shared" si="56"/>
        <v>0</v>
      </c>
      <c r="AZ1196" s="46">
        <f t="shared" si="57"/>
        <v>0</v>
      </c>
    </row>
    <row r="1197" spans="3:52">
      <c r="C1197" s="102"/>
      <c r="D1197" s="3"/>
      <c r="F1197" s="3"/>
      <c r="G1197" s="3"/>
      <c r="H1197" s="3"/>
      <c r="J1197" s="3"/>
      <c r="K1197" s="3"/>
      <c r="L1197" s="4"/>
      <c r="M1197" s="3"/>
      <c r="O1197" s="58"/>
      <c r="Q1197" s="64"/>
      <c r="R1197" s="45"/>
      <c r="S1197" s="45"/>
      <c r="U1197" s="64"/>
      <c r="V1197" s="45"/>
      <c r="W1197" s="64"/>
      <c r="X1197" s="64"/>
      <c r="Y1197" s="45"/>
      <c r="Z1197" s="45"/>
      <c r="AA1197" s="105"/>
      <c r="AB1197" s="105"/>
      <c r="AC1197" s="105"/>
      <c r="AD1197" s="64"/>
      <c r="AH1197" s="64"/>
      <c r="AI1197" s="45"/>
      <c r="AJ1197" s="105"/>
      <c r="AK1197" s="105"/>
      <c r="AL1197" s="60"/>
      <c r="AM1197" s="60"/>
      <c r="AN1197" s="60"/>
      <c r="AO1197" s="60"/>
      <c r="AP1197" s="60"/>
      <c r="AQ1197" s="60"/>
      <c r="AR1197" s="60"/>
      <c r="AS1197" s="60"/>
      <c r="AT1197" s="45"/>
      <c r="AU1197" s="45"/>
      <c r="AW1197" s="45"/>
      <c r="AX1197" s="46">
        <f t="shared" si="55"/>
        <v>0</v>
      </c>
      <c r="AY1197" s="46">
        <f t="shared" si="56"/>
        <v>0</v>
      </c>
      <c r="AZ1197" s="46">
        <f t="shared" si="57"/>
        <v>0</v>
      </c>
    </row>
    <row r="1198" spans="3:52">
      <c r="C1198" s="102"/>
      <c r="D1198" s="3"/>
      <c r="F1198" s="3"/>
      <c r="G1198" s="3"/>
      <c r="H1198" s="3"/>
      <c r="J1198" s="3"/>
      <c r="K1198" s="3"/>
      <c r="L1198" s="4"/>
      <c r="M1198" s="3"/>
      <c r="O1198" s="58"/>
      <c r="Q1198" s="64"/>
      <c r="R1198" s="45"/>
      <c r="S1198" s="45"/>
      <c r="U1198" s="64"/>
      <c r="V1198" s="45"/>
      <c r="W1198" s="64"/>
      <c r="X1198" s="64"/>
      <c r="Y1198" s="45"/>
      <c r="Z1198" s="45"/>
      <c r="AA1198" s="105"/>
      <c r="AB1198" s="105"/>
      <c r="AC1198" s="105"/>
      <c r="AD1198" s="64"/>
      <c r="AH1198" s="64"/>
      <c r="AI1198" s="45"/>
      <c r="AJ1198" s="105"/>
      <c r="AK1198" s="105"/>
      <c r="AL1198" s="60"/>
      <c r="AM1198" s="60"/>
      <c r="AN1198" s="60"/>
      <c r="AO1198" s="60"/>
      <c r="AP1198" s="60"/>
      <c r="AQ1198" s="60"/>
      <c r="AR1198" s="60"/>
      <c r="AS1198" s="60"/>
      <c r="AT1198" s="45"/>
      <c r="AU1198" s="45"/>
      <c r="AW1198" s="45"/>
      <c r="AX1198" s="46">
        <f t="shared" si="55"/>
        <v>0</v>
      </c>
      <c r="AY1198" s="46">
        <f t="shared" si="56"/>
        <v>0</v>
      </c>
      <c r="AZ1198" s="46">
        <f t="shared" si="57"/>
        <v>0</v>
      </c>
    </row>
    <row r="1199" spans="3:52">
      <c r="C1199" s="102"/>
      <c r="D1199" s="3"/>
      <c r="F1199" s="3"/>
      <c r="G1199" s="3"/>
      <c r="H1199" s="3"/>
      <c r="J1199" s="3"/>
      <c r="K1199" s="3"/>
      <c r="L1199" s="4"/>
      <c r="M1199" s="3"/>
      <c r="O1199" s="58"/>
      <c r="Q1199" s="64"/>
      <c r="R1199" s="45"/>
      <c r="S1199" s="45"/>
      <c r="U1199" s="64"/>
      <c r="V1199" s="45"/>
      <c r="W1199" s="64"/>
      <c r="X1199" s="64"/>
      <c r="Y1199" s="45"/>
      <c r="Z1199" s="45"/>
      <c r="AA1199" s="105"/>
      <c r="AB1199" s="105"/>
      <c r="AC1199" s="105"/>
      <c r="AD1199" s="64"/>
      <c r="AH1199" s="64"/>
      <c r="AI1199" s="45"/>
      <c r="AJ1199" s="105"/>
      <c r="AK1199" s="105"/>
      <c r="AL1199" s="60"/>
      <c r="AM1199" s="60"/>
      <c r="AN1199" s="60"/>
      <c r="AO1199" s="60"/>
      <c r="AP1199" s="60"/>
      <c r="AQ1199" s="60"/>
      <c r="AR1199" s="60"/>
      <c r="AS1199" s="60"/>
      <c r="AT1199" s="45"/>
      <c r="AU1199" s="45"/>
      <c r="AW1199" s="45"/>
      <c r="AX1199" s="46">
        <f t="shared" si="55"/>
        <v>0</v>
      </c>
      <c r="AY1199" s="46">
        <f t="shared" si="56"/>
        <v>0</v>
      </c>
      <c r="AZ1199" s="46">
        <f t="shared" si="57"/>
        <v>0</v>
      </c>
    </row>
    <row r="1200" spans="3:52">
      <c r="C1200" s="102"/>
      <c r="D1200" s="3"/>
      <c r="F1200" s="3"/>
      <c r="G1200" s="3"/>
      <c r="H1200" s="3"/>
      <c r="J1200" s="3"/>
      <c r="K1200" s="3"/>
      <c r="L1200" s="4"/>
      <c r="M1200" s="3"/>
      <c r="O1200" s="58"/>
      <c r="Q1200" s="64"/>
      <c r="R1200" s="45"/>
      <c r="S1200" s="45"/>
      <c r="U1200" s="64"/>
      <c r="V1200" s="45"/>
      <c r="W1200" s="64"/>
      <c r="X1200" s="64"/>
      <c r="Y1200" s="45"/>
      <c r="Z1200" s="45"/>
      <c r="AA1200" s="105"/>
      <c r="AB1200" s="105"/>
      <c r="AC1200" s="105"/>
      <c r="AD1200" s="64"/>
      <c r="AH1200" s="64"/>
      <c r="AI1200" s="45"/>
      <c r="AJ1200" s="105"/>
      <c r="AK1200" s="105"/>
      <c r="AL1200" s="60"/>
      <c r="AM1200" s="60"/>
      <c r="AN1200" s="60"/>
      <c r="AO1200" s="60"/>
      <c r="AP1200" s="60"/>
      <c r="AQ1200" s="60"/>
      <c r="AR1200" s="60"/>
      <c r="AS1200" s="60"/>
      <c r="AT1200" s="45"/>
      <c r="AU1200" s="45"/>
      <c r="AW1200" s="45"/>
      <c r="AX1200" s="46">
        <f t="shared" si="55"/>
        <v>0</v>
      </c>
      <c r="AY1200" s="46">
        <f t="shared" si="56"/>
        <v>0</v>
      </c>
      <c r="AZ1200" s="46">
        <f t="shared" si="57"/>
        <v>0</v>
      </c>
    </row>
    <row r="1201" spans="3:52">
      <c r="C1201" s="102"/>
      <c r="D1201" s="3"/>
      <c r="F1201" s="3"/>
      <c r="G1201" s="3"/>
      <c r="H1201" s="3"/>
      <c r="J1201" s="3"/>
      <c r="K1201" s="3"/>
      <c r="L1201" s="4"/>
      <c r="M1201" s="3"/>
      <c r="O1201" s="58"/>
      <c r="Q1201" s="64"/>
      <c r="R1201" s="45"/>
      <c r="S1201" s="45"/>
      <c r="U1201" s="64"/>
      <c r="V1201" s="45"/>
      <c r="W1201" s="64"/>
      <c r="X1201" s="64"/>
      <c r="Y1201" s="45"/>
      <c r="Z1201" s="45"/>
      <c r="AA1201" s="105"/>
      <c r="AB1201" s="105"/>
      <c r="AC1201" s="105"/>
      <c r="AD1201" s="64"/>
      <c r="AH1201" s="64"/>
      <c r="AI1201" s="45"/>
      <c r="AJ1201" s="105"/>
      <c r="AK1201" s="105"/>
      <c r="AL1201" s="60"/>
      <c r="AM1201" s="60"/>
      <c r="AN1201" s="60"/>
      <c r="AO1201" s="60"/>
      <c r="AP1201" s="60"/>
      <c r="AQ1201" s="60"/>
      <c r="AR1201" s="60"/>
      <c r="AS1201" s="60"/>
      <c r="AT1201" s="45"/>
      <c r="AU1201" s="45"/>
      <c r="AW1201" s="45"/>
      <c r="AX1201" s="46">
        <f t="shared" si="55"/>
        <v>0</v>
      </c>
      <c r="AY1201" s="46">
        <f t="shared" si="56"/>
        <v>0</v>
      </c>
      <c r="AZ1201" s="46">
        <f t="shared" si="57"/>
        <v>0</v>
      </c>
    </row>
    <row r="1202" spans="3:52">
      <c r="C1202" s="102"/>
      <c r="D1202" s="3"/>
      <c r="F1202" s="3"/>
      <c r="G1202" s="3"/>
      <c r="H1202" s="3"/>
      <c r="J1202" s="3"/>
      <c r="K1202" s="3"/>
      <c r="L1202" s="4"/>
      <c r="M1202" s="3"/>
      <c r="O1202" s="58"/>
      <c r="Q1202" s="64"/>
      <c r="R1202" s="45"/>
      <c r="S1202" s="45"/>
      <c r="U1202" s="64"/>
      <c r="V1202" s="45"/>
      <c r="W1202" s="64"/>
      <c r="X1202" s="64"/>
      <c r="Y1202" s="45"/>
      <c r="Z1202" s="45"/>
      <c r="AA1202" s="105"/>
      <c r="AB1202" s="105"/>
      <c r="AC1202" s="105"/>
      <c r="AD1202" s="64"/>
      <c r="AH1202" s="64"/>
      <c r="AI1202" s="45"/>
      <c r="AJ1202" s="105"/>
      <c r="AK1202" s="105"/>
      <c r="AL1202" s="60"/>
      <c r="AM1202" s="60"/>
      <c r="AN1202" s="60"/>
      <c r="AO1202" s="60"/>
      <c r="AP1202" s="60"/>
      <c r="AQ1202" s="60"/>
      <c r="AR1202" s="60"/>
      <c r="AS1202" s="60"/>
      <c r="AT1202" s="45"/>
      <c r="AU1202" s="45"/>
      <c r="AW1202" s="45"/>
      <c r="AX1202" s="46">
        <f t="shared" si="55"/>
        <v>0</v>
      </c>
      <c r="AY1202" s="46">
        <f t="shared" si="56"/>
        <v>0</v>
      </c>
      <c r="AZ1202" s="46">
        <f t="shared" si="57"/>
        <v>0</v>
      </c>
    </row>
    <row r="1203" spans="3:52">
      <c r="C1203" s="102"/>
      <c r="D1203" s="3"/>
      <c r="F1203" s="3"/>
      <c r="G1203" s="3"/>
      <c r="H1203" s="3"/>
      <c r="J1203" s="3"/>
      <c r="K1203" s="3"/>
      <c r="L1203" s="4"/>
      <c r="M1203" s="3"/>
      <c r="O1203" s="58"/>
      <c r="Q1203" s="64"/>
      <c r="R1203" s="45"/>
      <c r="S1203" s="45"/>
      <c r="U1203" s="64"/>
      <c r="V1203" s="45"/>
      <c r="W1203" s="64"/>
      <c r="X1203" s="64"/>
      <c r="Y1203" s="45"/>
      <c r="Z1203" s="45"/>
      <c r="AA1203" s="105"/>
      <c r="AB1203" s="105"/>
      <c r="AC1203" s="105"/>
      <c r="AD1203" s="64"/>
      <c r="AH1203" s="64"/>
      <c r="AI1203" s="45"/>
      <c r="AJ1203" s="105"/>
      <c r="AK1203" s="105"/>
      <c r="AL1203" s="60"/>
      <c r="AM1203" s="60"/>
      <c r="AN1203" s="60"/>
      <c r="AO1203" s="60"/>
      <c r="AP1203" s="60"/>
      <c r="AQ1203" s="60"/>
      <c r="AR1203" s="60"/>
      <c r="AS1203" s="60"/>
      <c r="AT1203" s="45"/>
      <c r="AU1203" s="45"/>
      <c r="AW1203" s="45"/>
      <c r="AX1203" s="46">
        <f t="shared" si="55"/>
        <v>0</v>
      </c>
      <c r="AY1203" s="46">
        <f t="shared" si="56"/>
        <v>0</v>
      </c>
      <c r="AZ1203" s="46">
        <f t="shared" si="57"/>
        <v>0</v>
      </c>
    </row>
    <row r="1204" spans="3:52">
      <c r="C1204" s="102"/>
      <c r="D1204" s="3"/>
      <c r="F1204" s="3"/>
      <c r="G1204" s="3"/>
      <c r="H1204" s="3"/>
      <c r="J1204" s="3"/>
      <c r="K1204" s="3"/>
      <c r="L1204" s="4"/>
      <c r="M1204" s="3"/>
      <c r="O1204" s="58"/>
      <c r="Q1204" s="64"/>
      <c r="R1204" s="45"/>
      <c r="S1204" s="45"/>
      <c r="U1204" s="64"/>
      <c r="V1204" s="45"/>
      <c r="W1204" s="64"/>
      <c r="X1204" s="64"/>
      <c r="Y1204" s="45"/>
      <c r="Z1204" s="45"/>
      <c r="AA1204" s="105"/>
      <c r="AB1204" s="105"/>
      <c r="AC1204" s="105"/>
      <c r="AD1204" s="64"/>
      <c r="AH1204" s="64"/>
      <c r="AI1204" s="45"/>
      <c r="AJ1204" s="105"/>
      <c r="AK1204" s="105"/>
      <c r="AL1204" s="60"/>
      <c r="AM1204" s="60"/>
      <c r="AN1204" s="60"/>
      <c r="AO1204" s="60"/>
      <c r="AP1204" s="60"/>
      <c r="AQ1204" s="60"/>
      <c r="AR1204" s="60"/>
      <c r="AS1204" s="60"/>
      <c r="AT1204" s="45"/>
      <c r="AU1204" s="45"/>
      <c r="AW1204" s="45"/>
      <c r="AX1204" s="46">
        <f t="shared" si="55"/>
        <v>0</v>
      </c>
      <c r="AY1204" s="46">
        <f t="shared" si="56"/>
        <v>0</v>
      </c>
      <c r="AZ1204" s="46">
        <f t="shared" si="57"/>
        <v>0</v>
      </c>
    </row>
    <row r="1205" spans="3:52">
      <c r="C1205" s="102"/>
      <c r="D1205" s="3"/>
      <c r="F1205" s="3"/>
      <c r="G1205" s="3"/>
      <c r="H1205" s="3"/>
      <c r="J1205" s="3"/>
      <c r="K1205" s="3"/>
      <c r="L1205" s="4"/>
      <c r="M1205" s="3"/>
      <c r="O1205" s="58"/>
      <c r="Q1205" s="64"/>
      <c r="R1205" s="45"/>
      <c r="S1205" s="45"/>
      <c r="U1205" s="64"/>
      <c r="V1205" s="45"/>
      <c r="W1205" s="64"/>
      <c r="X1205" s="64"/>
      <c r="Y1205" s="45"/>
      <c r="Z1205" s="45"/>
      <c r="AA1205" s="105"/>
      <c r="AB1205" s="105"/>
      <c r="AC1205" s="105"/>
      <c r="AD1205" s="64"/>
      <c r="AH1205" s="64"/>
      <c r="AI1205" s="45"/>
      <c r="AJ1205" s="105"/>
      <c r="AK1205" s="105"/>
      <c r="AL1205" s="60"/>
      <c r="AM1205" s="60"/>
      <c r="AN1205" s="60"/>
      <c r="AO1205" s="60"/>
      <c r="AP1205" s="60"/>
      <c r="AQ1205" s="60"/>
      <c r="AR1205" s="60"/>
      <c r="AS1205" s="60"/>
      <c r="AT1205" s="45"/>
      <c r="AU1205" s="45"/>
      <c r="AW1205" s="45"/>
      <c r="AX1205" s="46">
        <f t="shared" si="55"/>
        <v>0</v>
      </c>
      <c r="AY1205" s="46">
        <f t="shared" si="56"/>
        <v>0</v>
      </c>
      <c r="AZ1205" s="46">
        <f t="shared" si="57"/>
        <v>0</v>
      </c>
    </row>
    <row r="1206" spans="3:52">
      <c r="C1206" s="102"/>
      <c r="D1206" s="3"/>
      <c r="F1206" s="3"/>
      <c r="G1206" s="3"/>
      <c r="H1206" s="3"/>
      <c r="J1206" s="3"/>
      <c r="K1206" s="3"/>
      <c r="L1206" s="4"/>
      <c r="M1206" s="3"/>
      <c r="O1206" s="58"/>
      <c r="Q1206" s="64"/>
      <c r="R1206" s="45"/>
      <c r="S1206" s="45"/>
      <c r="U1206" s="64"/>
      <c r="V1206" s="45"/>
      <c r="W1206" s="64"/>
      <c r="X1206" s="64"/>
      <c r="Y1206" s="45"/>
      <c r="Z1206" s="45"/>
      <c r="AA1206" s="105"/>
      <c r="AB1206" s="105"/>
      <c r="AC1206" s="105"/>
      <c r="AD1206" s="64"/>
      <c r="AH1206" s="64"/>
      <c r="AI1206" s="45"/>
      <c r="AJ1206" s="105"/>
      <c r="AK1206" s="105"/>
      <c r="AL1206" s="60"/>
      <c r="AM1206" s="60"/>
      <c r="AN1206" s="60"/>
      <c r="AO1206" s="60"/>
      <c r="AP1206" s="60"/>
      <c r="AQ1206" s="60"/>
      <c r="AR1206" s="60"/>
      <c r="AS1206" s="60"/>
      <c r="AT1206" s="45"/>
      <c r="AU1206" s="45"/>
      <c r="AW1206" s="45"/>
      <c r="AX1206" s="46">
        <f t="shared" si="55"/>
        <v>0</v>
      </c>
      <c r="AY1206" s="46">
        <f t="shared" si="56"/>
        <v>0</v>
      </c>
      <c r="AZ1206" s="46">
        <f t="shared" si="57"/>
        <v>0</v>
      </c>
    </row>
    <row r="1207" spans="3:52">
      <c r="C1207" s="102"/>
      <c r="D1207" s="3"/>
      <c r="F1207" s="3"/>
      <c r="G1207" s="3"/>
      <c r="H1207" s="3"/>
      <c r="J1207" s="3"/>
      <c r="K1207" s="3"/>
      <c r="L1207" s="4"/>
      <c r="M1207" s="3"/>
      <c r="O1207" s="58"/>
      <c r="Q1207" s="64"/>
      <c r="R1207" s="45"/>
      <c r="S1207" s="45"/>
      <c r="U1207" s="64"/>
      <c r="V1207" s="45"/>
      <c r="W1207" s="64"/>
      <c r="X1207" s="64"/>
      <c r="Y1207" s="45"/>
      <c r="Z1207" s="45"/>
      <c r="AA1207" s="105"/>
      <c r="AB1207" s="105"/>
      <c r="AC1207" s="105"/>
      <c r="AD1207" s="64"/>
      <c r="AH1207" s="64"/>
      <c r="AI1207" s="45"/>
      <c r="AJ1207" s="105"/>
      <c r="AK1207" s="105"/>
      <c r="AL1207" s="60"/>
      <c r="AM1207" s="60"/>
      <c r="AN1207" s="60"/>
      <c r="AO1207" s="60"/>
      <c r="AP1207" s="60"/>
      <c r="AQ1207" s="60"/>
      <c r="AR1207" s="60"/>
      <c r="AS1207" s="60"/>
      <c r="AT1207" s="45"/>
      <c r="AU1207" s="45"/>
      <c r="AW1207" s="45"/>
      <c r="AX1207" s="46">
        <f t="shared" si="55"/>
        <v>0</v>
      </c>
      <c r="AY1207" s="46">
        <f t="shared" si="56"/>
        <v>0</v>
      </c>
      <c r="AZ1207" s="46">
        <f t="shared" si="57"/>
        <v>0</v>
      </c>
    </row>
    <row r="1208" spans="3:52">
      <c r="C1208" s="102"/>
      <c r="D1208" s="3"/>
      <c r="F1208" s="3"/>
      <c r="G1208" s="3"/>
      <c r="H1208" s="3"/>
      <c r="J1208" s="3"/>
      <c r="K1208" s="3"/>
      <c r="L1208" s="4"/>
      <c r="M1208" s="3"/>
      <c r="O1208" s="58"/>
      <c r="Q1208" s="64"/>
      <c r="R1208" s="45"/>
      <c r="S1208" s="45"/>
      <c r="U1208" s="64"/>
      <c r="V1208" s="45"/>
      <c r="W1208" s="64"/>
      <c r="X1208" s="64"/>
      <c r="Y1208" s="45"/>
      <c r="Z1208" s="45"/>
      <c r="AA1208" s="105"/>
      <c r="AB1208" s="105"/>
      <c r="AC1208" s="105"/>
      <c r="AD1208" s="64"/>
      <c r="AH1208" s="64"/>
      <c r="AI1208" s="45"/>
      <c r="AJ1208" s="105"/>
      <c r="AK1208" s="105"/>
      <c r="AL1208" s="60"/>
      <c r="AM1208" s="60"/>
      <c r="AN1208" s="60"/>
      <c r="AO1208" s="60"/>
      <c r="AP1208" s="60"/>
      <c r="AQ1208" s="60"/>
      <c r="AR1208" s="60"/>
      <c r="AS1208" s="60"/>
      <c r="AT1208" s="45"/>
      <c r="AU1208" s="45"/>
      <c r="AW1208" s="45"/>
      <c r="AX1208" s="46">
        <f t="shared" si="55"/>
        <v>0</v>
      </c>
      <c r="AY1208" s="46">
        <f t="shared" si="56"/>
        <v>0</v>
      </c>
      <c r="AZ1208" s="46">
        <f t="shared" si="57"/>
        <v>0</v>
      </c>
    </row>
    <row r="1209" spans="3:52">
      <c r="C1209" s="102"/>
      <c r="D1209" s="3"/>
      <c r="F1209" s="3"/>
      <c r="G1209" s="3"/>
      <c r="H1209" s="3"/>
      <c r="J1209" s="3"/>
      <c r="K1209" s="3"/>
      <c r="L1209" s="4"/>
      <c r="M1209" s="3"/>
      <c r="O1209" s="58"/>
      <c r="Q1209" s="64"/>
      <c r="R1209" s="45"/>
      <c r="S1209" s="45"/>
      <c r="U1209" s="64"/>
      <c r="V1209" s="45"/>
      <c r="W1209" s="64"/>
      <c r="X1209" s="64"/>
      <c r="Y1209" s="45"/>
      <c r="Z1209" s="45"/>
      <c r="AA1209" s="105"/>
      <c r="AB1209" s="105"/>
      <c r="AC1209" s="105"/>
      <c r="AD1209" s="64"/>
      <c r="AH1209" s="64"/>
      <c r="AI1209" s="45"/>
      <c r="AJ1209" s="105"/>
      <c r="AK1209" s="105"/>
      <c r="AL1209" s="60"/>
      <c r="AM1209" s="60"/>
      <c r="AN1209" s="60"/>
      <c r="AO1209" s="60"/>
      <c r="AP1209" s="60"/>
      <c r="AQ1209" s="60"/>
      <c r="AR1209" s="60"/>
      <c r="AS1209" s="60"/>
      <c r="AT1209" s="45"/>
      <c r="AU1209" s="45"/>
      <c r="AW1209" s="45"/>
      <c r="AX1209" s="46">
        <f t="shared" si="55"/>
        <v>0</v>
      </c>
      <c r="AY1209" s="46">
        <f t="shared" si="56"/>
        <v>0</v>
      </c>
      <c r="AZ1209" s="46">
        <f t="shared" si="57"/>
        <v>0</v>
      </c>
    </row>
    <row r="1210" spans="3:52">
      <c r="C1210" s="102"/>
      <c r="D1210" s="3"/>
      <c r="F1210" s="3"/>
      <c r="G1210" s="3"/>
      <c r="H1210" s="3"/>
      <c r="J1210" s="3"/>
      <c r="K1210" s="3"/>
      <c r="L1210" s="4"/>
      <c r="M1210" s="3"/>
      <c r="O1210" s="58"/>
      <c r="Q1210" s="64"/>
      <c r="R1210" s="45"/>
      <c r="S1210" s="45"/>
      <c r="U1210" s="64"/>
      <c r="V1210" s="45"/>
      <c r="W1210" s="64"/>
      <c r="X1210" s="64"/>
      <c r="Y1210" s="45"/>
      <c r="Z1210" s="45"/>
      <c r="AA1210" s="105"/>
      <c r="AB1210" s="105"/>
      <c r="AC1210" s="105"/>
      <c r="AD1210" s="64"/>
      <c r="AH1210" s="64"/>
      <c r="AI1210" s="45"/>
      <c r="AJ1210" s="105"/>
      <c r="AK1210" s="105"/>
      <c r="AL1210" s="60"/>
      <c r="AM1210" s="60"/>
      <c r="AN1210" s="60"/>
      <c r="AO1210" s="60"/>
      <c r="AP1210" s="60"/>
      <c r="AQ1210" s="60"/>
      <c r="AR1210" s="60"/>
      <c r="AS1210" s="60"/>
      <c r="AT1210" s="45"/>
      <c r="AU1210" s="45"/>
      <c r="AW1210" s="45"/>
      <c r="AX1210" s="46">
        <f t="shared" si="55"/>
        <v>0</v>
      </c>
      <c r="AY1210" s="46">
        <f t="shared" si="56"/>
        <v>0</v>
      </c>
      <c r="AZ1210" s="46">
        <f t="shared" si="57"/>
        <v>0</v>
      </c>
    </row>
    <row r="1211" spans="3:52">
      <c r="C1211" s="102"/>
      <c r="D1211" s="3"/>
      <c r="F1211" s="3"/>
      <c r="G1211" s="3"/>
      <c r="H1211" s="3"/>
      <c r="J1211" s="3"/>
      <c r="K1211" s="3"/>
      <c r="L1211" s="4"/>
      <c r="M1211" s="3"/>
      <c r="O1211" s="58"/>
      <c r="Q1211" s="64"/>
      <c r="R1211" s="45"/>
      <c r="S1211" s="45"/>
      <c r="U1211" s="64"/>
      <c r="V1211" s="45"/>
      <c r="W1211" s="64"/>
      <c r="X1211" s="64"/>
      <c r="Y1211" s="45"/>
      <c r="Z1211" s="45"/>
      <c r="AA1211" s="105"/>
      <c r="AB1211" s="105"/>
      <c r="AC1211" s="105"/>
      <c r="AD1211" s="64"/>
      <c r="AH1211" s="64"/>
      <c r="AI1211" s="45"/>
      <c r="AJ1211" s="105"/>
      <c r="AK1211" s="105"/>
      <c r="AL1211" s="60"/>
      <c r="AM1211" s="60"/>
      <c r="AN1211" s="60"/>
      <c r="AO1211" s="60"/>
      <c r="AP1211" s="60"/>
      <c r="AQ1211" s="60"/>
      <c r="AR1211" s="60"/>
      <c r="AS1211" s="60"/>
      <c r="AT1211" s="45"/>
      <c r="AU1211" s="45"/>
      <c r="AW1211" s="45"/>
      <c r="AX1211" s="46">
        <f t="shared" si="55"/>
        <v>0</v>
      </c>
      <c r="AY1211" s="46">
        <f t="shared" si="56"/>
        <v>0</v>
      </c>
      <c r="AZ1211" s="46">
        <f t="shared" si="57"/>
        <v>0</v>
      </c>
    </row>
    <row r="1212" spans="3:52">
      <c r="C1212" s="102"/>
      <c r="D1212" s="3"/>
      <c r="F1212" s="3"/>
      <c r="G1212" s="3"/>
      <c r="H1212" s="3"/>
      <c r="J1212" s="3"/>
      <c r="K1212" s="3"/>
      <c r="L1212" s="4"/>
      <c r="M1212" s="3"/>
      <c r="O1212" s="58"/>
      <c r="Q1212" s="64"/>
      <c r="R1212" s="45"/>
      <c r="S1212" s="45"/>
      <c r="U1212" s="64"/>
      <c r="V1212" s="45"/>
      <c r="W1212" s="64"/>
      <c r="X1212" s="64"/>
      <c r="Y1212" s="45"/>
      <c r="Z1212" s="45"/>
      <c r="AA1212" s="105"/>
      <c r="AB1212" s="105"/>
      <c r="AC1212" s="105"/>
      <c r="AD1212" s="64"/>
      <c r="AH1212" s="64"/>
      <c r="AI1212" s="45"/>
      <c r="AJ1212" s="105"/>
      <c r="AK1212" s="105"/>
      <c r="AL1212" s="60"/>
      <c r="AM1212" s="60"/>
      <c r="AN1212" s="60"/>
      <c r="AO1212" s="60"/>
      <c r="AP1212" s="60"/>
      <c r="AQ1212" s="60"/>
      <c r="AR1212" s="60"/>
      <c r="AS1212" s="60"/>
      <c r="AT1212" s="45"/>
      <c r="AU1212" s="45"/>
      <c r="AW1212" s="45"/>
      <c r="AX1212" s="46">
        <f t="shared" si="55"/>
        <v>0</v>
      </c>
      <c r="AY1212" s="46">
        <f t="shared" si="56"/>
        <v>0</v>
      </c>
      <c r="AZ1212" s="46">
        <f t="shared" si="57"/>
        <v>0</v>
      </c>
    </row>
    <row r="1213" spans="3:52">
      <c r="C1213" s="102"/>
      <c r="D1213" s="3"/>
      <c r="F1213" s="3"/>
      <c r="G1213" s="3"/>
      <c r="H1213" s="3"/>
      <c r="J1213" s="3"/>
      <c r="K1213" s="3"/>
      <c r="L1213" s="4"/>
      <c r="M1213" s="3"/>
      <c r="O1213" s="58"/>
      <c r="Q1213" s="64"/>
      <c r="R1213" s="45"/>
      <c r="S1213" s="45"/>
      <c r="U1213" s="64"/>
      <c r="V1213" s="45"/>
      <c r="W1213" s="64"/>
      <c r="X1213" s="64"/>
      <c r="Y1213" s="45"/>
      <c r="Z1213" s="45"/>
      <c r="AA1213" s="105"/>
      <c r="AB1213" s="105"/>
      <c r="AC1213" s="105"/>
      <c r="AD1213" s="64"/>
      <c r="AH1213" s="64"/>
      <c r="AI1213" s="45"/>
      <c r="AJ1213" s="105"/>
      <c r="AK1213" s="105"/>
      <c r="AL1213" s="60"/>
      <c r="AM1213" s="60"/>
      <c r="AN1213" s="60"/>
      <c r="AO1213" s="60"/>
      <c r="AP1213" s="60"/>
      <c r="AQ1213" s="60"/>
      <c r="AR1213" s="60"/>
      <c r="AS1213" s="60"/>
      <c r="AT1213" s="45"/>
      <c r="AU1213" s="45"/>
      <c r="AW1213" s="45"/>
      <c r="AX1213" s="46">
        <f t="shared" si="55"/>
        <v>0</v>
      </c>
      <c r="AY1213" s="46">
        <f t="shared" si="56"/>
        <v>0</v>
      </c>
      <c r="AZ1213" s="46">
        <f t="shared" si="57"/>
        <v>0</v>
      </c>
    </row>
    <row r="1214" spans="3:52">
      <c r="C1214" s="102"/>
      <c r="D1214" s="3"/>
      <c r="F1214" s="3"/>
      <c r="G1214" s="3"/>
      <c r="H1214" s="3"/>
      <c r="J1214" s="3"/>
      <c r="K1214" s="3"/>
      <c r="L1214" s="4"/>
      <c r="M1214" s="3"/>
      <c r="O1214" s="58"/>
      <c r="Q1214" s="64"/>
      <c r="R1214" s="45"/>
      <c r="S1214" s="45"/>
      <c r="U1214" s="64"/>
      <c r="V1214" s="45"/>
      <c r="W1214" s="64"/>
      <c r="X1214" s="64"/>
      <c r="Y1214" s="45"/>
      <c r="Z1214" s="45"/>
      <c r="AA1214" s="105"/>
      <c r="AB1214" s="105"/>
      <c r="AC1214" s="105"/>
      <c r="AD1214" s="64"/>
      <c r="AH1214" s="64"/>
      <c r="AI1214" s="45"/>
      <c r="AJ1214" s="105"/>
      <c r="AK1214" s="105"/>
      <c r="AL1214" s="60"/>
      <c r="AM1214" s="60"/>
      <c r="AN1214" s="60"/>
      <c r="AO1214" s="60"/>
      <c r="AP1214" s="60"/>
      <c r="AQ1214" s="60"/>
      <c r="AR1214" s="60"/>
      <c r="AS1214" s="60"/>
      <c r="AT1214" s="45"/>
      <c r="AU1214" s="45"/>
      <c r="AW1214" s="45"/>
      <c r="AX1214" s="46">
        <f t="shared" si="55"/>
        <v>0</v>
      </c>
      <c r="AY1214" s="46">
        <f t="shared" si="56"/>
        <v>0</v>
      </c>
      <c r="AZ1214" s="46">
        <f t="shared" si="57"/>
        <v>0</v>
      </c>
    </row>
    <row r="1215" spans="3:52">
      <c r="C1215" s="102"/>
      <c r="D1215" s="3"/>
      <c r="F1215" s="3"/>
      <c r="G1215" s="3"/>
      <c r="H1215" s="3"/>
      <c r="J1215" s="3"/>
      <c r="K1215" s="3"/>
      <c r="L1215" s="4"/>
      <c r="M1215" s="3"/>
      <c r="O1215" s="58"/>
      <c r="Q1215" s="64"/>
      <c r="R1215" s="45"/>
      <c r="S1215" s="45"/>
      <c r="U1215" s="64"/>
      <c r="V1215" s="45"/>
      <c r="W1215" s="64"/>
      <c r="X1215" s="64"/>
      <c r="Y1215" s="45"/>
      <c r="Z1215" s="45"/>
      <c r="AA1215" s="105"/>
      <c r="AB1215" s="105"/>
      <c r="AC1215" s="105"/>
      <c r="AD1215" s="64"/>
      <c r="AH1215" s="64"/>
      <c r="AI1215" s="45"/>
      <c r="AJ1215" s="105"/>
      <c r="AK1215" s="105"/>
      <c r="AL1215" s="60"/>
      <c r="AM1215" s="60"/>
      <c r="AN1215" s="60"/>
      <c r="AO1215" s="60"/>
      <c r="AP1215" s="60"/>
      <c r="AQ1215" s="60"/>
      <c r="AR1215" s="60"/>
      <c r="AS1215" s="60"/>
      <c r="AT1215" s="45"/>
      <c r="AU1215" s="45"/>
      <c r="AW1215" s="45"/>
      <c r="AX1215" s="46">
        <f t="shared" si="55"/>
        <v>0</v>
      </c>
      <c r="AY1215" s="46">
        <f t="shared" si="56"/>
        <v>0</v>
      </c>
      <c r="AZ1215" s="46">
        <f t="shared" si="57"/>
        <v>0</v>
      </c>
    </row>
    <row r="1216" spans="3:52">
      <c r="C1216" s="102"/>
      <c r="D1216" s="3"/>
      <c r="F1216" s="3"/>
      <c r="G1216" s="3"/>
      <c r="H1216" s="3"/>
      <c r="J1216" s="3"/>
      <c r="K1216" s="3"/>
      <c r="L1216" s="4"/>
      <c r="M1216" s="3"/>
      <c r="O1216" s="58"/>
      <c r="Q1216" s="64"/>
      <c r="R1216" s="45"/>
      <c r="S1216" s="45"/>
      <c r="U1216" s="64"/>
      <c r="V1216" s="45"/>
      <c r="W1216" s="64"/>
      <c r="X1216" s="64"/>
      <c r="Y1216" s="45"/>
      <c r="Z1216" s="45"/>
      <c r="AA1216" s="105"/>
      <c r="AB1216" s="105"/>
      <c r="AC1216" s="105"/>
      <c r="AD1216" s="64"/>
      <c r="AH1216" s="64"/>
      <c r="AI1216" s="45"/>
      <c r="AJ1216" s="105"/>
      <c r="AK1216" s="105"/>
      <c r="AL1216" s="60"/>
      <c r="AM1216" s="60"/>
      <c r="AN1216" s="60"/>
      <c r="AO1216" s="60"/>
      <c r="AP1216" s="60"/>
      <c r="AQ1216" s="60"/>
      <c r="AR1216" s="60"/>
      <c r="AS1216" s="60"/>
      <c r="AT1216" s="45"/>
      <c r="AU1216" s="45"/>
      <c r="AW1216" s="45"/>
      <c r="AX1216" s="46">
        <f t="shared" si="55"/>
        <v>0</v>
      </c>
      <c r="AY1216" s="46">
        <f t="shared" si="56"/>
        <v>0</v>
      </c>
      <c r="AZ1216" s="46">
        <f t="shared" si="57"/>
        <v>0</v>
      </c>
    </row>
    <row r="1217" spans="3:52">
      <c r="C1217" s="102"/>
      <c r="D1217" s="3"/>
      <c r="F1217" s="3"/>
      <c r="G1217" s="3"/>
      <c r="H1217" s="3"/>
      <c r="J1217" s="3"/>
      <c r="K1217" s="3"/>
      <c r="L1217" s="4"/>
      <c r="M1217" s="3"/>
      <c r="O1217" s="58"/>
      <c r="Q1217" s="64"/>
      <c r="R1217" s="45"/>
      <c r="S1217" s="45"/>
      <c r="U1217" s="64"/>
      <c r="V1217" s="45"/>
      <c r="W1217" s="64"/>
      <c r="X1217" s="64"/>
      <c r="Y1217" s="45"/>
      <c r="Z1217" s="45"/>
      <c r="AA1217" s="105"/>
      <c r="AB1217" s="105"/>
      <c r="AC1217" s="105"/>
      <c r="AD1217" s="64"/>
      <c r="AH1217" s="64"/>
      <c r="AI1217" s="45"/>
      <c r="AJ1217" s="105"/>
      <c r="AK1217" s="105"/>
      <c r="AL1217" s="60"/>
      <c r="AM1217" s="60"/>
      <c r="AN1217" s="60"/>
      <c r="AO1217" s="60"/>
      <c r="AP1217" s="60"/>
      <c r="AQ1217" s="60"/>
      <c r="AR1217" s="60"/>
      <c r="AS1217" s="60"/>
      <c r="AT1217" s="45"/>
      <c r="AU1217" s="45"/>
      <c r="AW1217" s="45"/>
      <c r="AX1217" s="46">
        <f t="shared" si="55"/>
        <v>0</v>
      </c>
      <c r="AY1217" s="46">
        <f t="shared" si="56"/>
        <v>0</v>
      </c>
      <c r="AZ1217" s="46">
        <f t="shared" si="57"/>
        <v>0</v>
      </c>
    </row>
    <row r="1218" spans="3:52">
      <c r="C1218" s="102"/>
      <c r="D1218" s="3"/>
      <c r="F1218" s="3"/>
      <c r="G1218" s="3"/>
      <c r="H1218" s="3"/>
      <c r="J1218" s="3"/>
      <c r="K1218" s="3"/>
      <c r="L1218" s="4"/>
      <c r="M1218" s="3"/>
      <c r="O1218" s="58"/>
      <c r="Q1218" s="64"/>
      <c r="R1218" s="45"/>
      <c r="S1218" s="45"/>
      <c r="U1218" s="64"/>
      <c r="V1218" s="45"/>
      <c r="W1218" s="64"/>
      <c r="X1218" s="64"/>
      <c r="Y1218" s="45"/>
      <c r="Z1218" s="45"/>
      <c r="AA1218" s="105"/>
      <c r="AB1218" s="105"/>
      <c r="AC1218" s="105"/>
      <c r="AD1218" s="64"/>
      <c r="AH1218" s="64"/>
      <c r="AI1218" s="45"/>
      <c r="AJ1218" s="105"/>
      <c r="AK1218" s="105"/>
      <c r="AL1218" s="60"/>
      <c r="AM1218" s="60"/>
      <c r="AN1218" s="60"/>
      <c r="AO1218" s="60"/>
      <c r="AP1218" s="60"/>
      <c r="AQ1218" s="60"/>
      <c r="AR1218" s="60"/>
      <c r="AS1218" s="60"/>
      <c r="AT1218" s="45"/>
      <c r="AU1218" s="45"/>
      <c r="AW1218" s="45"/>
      <c r="AX1218" s="46">
        <f t="shared" si="55"/>
        <v>0</v>
      </c>
      <c r="AY1218" s="46">
        <f t="shared" si="56"/>
        <v>0</v>
      </c>
      <c r="AZ1218" s="46">
        <f t="shared" si="57"/>
        <v>0</v>
      </c>
    </row>
    <row r="1219" spans="3:52">
      <c r="C1219" s="102"/>
      <c r="D1219" s="3"/>
      <c r="F1219" s="3"/>
      <c r="G1219" s="3"/>
      <c r="H1219" s="3"/>
      <c r="J1219" s="3"/>
      <c r="K1219" s="3"/>
      <c r="L1219" s="4"/>
      <c r="M1219" s="3"/>
      <c r="O1219" s="58"/>
      <c r="Q1219" s="64"/>
      <c r="R1219" s="45"/>
      <c r="S1219" s="45"/>
      <c r="U1219" s="64"/>
      <c r="V1219" s="45"/>
      <c r="W1219" s="64"/>
      <c r="X1219" s="64"/>
      <c r="Y1219" s="45"/>
      <c r="Z1219" s="45"/>
      <c r="AA1219" s="105"/>
      <c r="AB1219" s="105"/>
      <c r="AC1219" s="105"/>
      <c r="AD1219" s="64"/>
      <c r="AH1219" s="64"/>
      <c r="AI1219" s="45"/>
      <c r="AJ1219" s="105"/>
      <c r="AK1219" s="105"/>
      <c r="AL1219" s="60"/>
      <c r="AM1219" s="60"/>
      <c r="AN1219" s="60"/>
      <c r="AO1219" s="60"/>
      <c r="AP1219" s="60"/>
      <c r="AQ1219" s="60"/>
      <c r="AR1219" s="60"/>
      <c r="AS1219" s="60"/>
      <c r="AT1219" s="45"/>
      <c r="AU1219" s="45"/>
      <c r="AW1219" s="45"/>
      <c r="AX1219" s="46">
        <f t="shared" si="55"/>
        <v>0</v>
      </c>
      <c r="AY1219" s="46">
        <f t="shared" si="56"/>
        <v>0</v>
      </c>
      <c r="AZ1219" s="46">
        <f t="shared" si="57"/>
        <v>0</v>
      </c>
    </row>
    <row r="1220" spans="3:52">
      <c r="AI1220" s="45"/>
      <c r="AJ1220" s="105"/>
      <c r="AK1220" s="105"/>
      <c r="AL1220" s="60"/>
      <c r="AM1220" s="60"/>
      <c r="AX1220" s="46">
        <f t="shared" si="55"/>
        <v>0</v>
      </c>
      <c r="AY1220" s="46">
        <f t="shared" si="56"/>
        <v>0</v>
      </c>
      <c r="AZ1220" s="46">
        <f t="shared" si="57"/>
        <v>0</v>
      </c>
    </row>
    <row r="1221" spans="3:52">
      <c r="AX1221" s="46">
        <f t="shared" si="55"/>
        <v>0</v>
      </c>
      <c r="AY1221" s="46">
        <f t="shared" si="56"/>
        <v>0</v>
      </c>
      <c r="AZ1221" s="46">
        <f t="shared" si="57"/>
        <v>0</v>
      </c>
    </row>
    <row r="1222" spans="3:52">
      <c r="AX1222" s="46">
        <f t="shared" si="55"/>
        <v>0</v>
      </c>
      <c r="AY1222" s="46">
        <f t="shared" si="56"/>
        <v>0</v>
      </c>
      <c r="AZ1222" s="46">
        <f t="shared" si="57"/>
        <v>0</v>
      </c>
    </row>
    <row r="1223" spans="3:52">
      <c r="AX1223" s="46">
        <f t="shared" si="55"/>
        <v>0</v>
      </c>
      <c r="AY1223" s="46">
        <f t="shared" si="56"/>
        <v>0</v>
      </c>
      <c r="AZ1223" s="46">
        <f t="shared" si="57"/>
        <v>0</v>
      </c>
    </row>
    <row r="1224" spans="3:52">
      <c r="AX1224" s="46">
        <f t="shared" si="55"/>
        <v>0</v>
      </c>
      <c r="AY1224" s="46">
        <f t="shared" si="56"/>
        <v>0</v>
      </c>
      <c r="AZ1224" s="46">
        <f t="shared" si="57"/>
        <v>0</v>
      </c>
    </row>
    <row r="1225" spans="3:52">
      <c r="AX1225" s="46">
        <f t="shared" si="55"/>
        <v>0</v>
      </c>
      <c r="AY1225" s="46">
        <f t="shared" si="56"/>
        <v>0</v>
      </c>
      <c r="AZ1225" s="46">
        <f t="shared" si="57"/>
        <v>0</v>
      </c>
    </row>
    <row r="1226" spans="3:52">
      <c r="AX1226" s="46">
        <f t="shared" si="55"/>
        <v>0</v>
      </c>
      <c r="AY1226" s="46">
        <f t="shared" si="56"/>
        <v>0</v>
      </c>
      <c r="AZ1226" s="46">
        <f t="shared" si="57"/>
        <v>0</v>
      </c>
    </row>
    <row r="1227" spans="3:52">
      <c r="AX1227" s="46">
        <f t="shared" ref="AX1227:AX1290" si="58">IFERROR(SUM(Q1227:AS1227)-SUM(AT1227:AU1227)+AV1227,"-")</f>
        <v>0</v>
      </c>
      <c r="AY1227" s="46">
        <f t="shared" ref="AY1227:AY1290" si="59">IFERROR(SUM(Q1227:AS1227)-SUM(AT1227:AT1227),"-")</f>
        <v>0</v>
      </c>
      <c r="AZ1227" s="46">
        <f t="shared" ref="AZ1227:AZ1290" si="60">SUM(Q1227:AS1227)</f>
        <v>0</v>
      </c>
    </row>
    <row r="1228" spans="3:52">
      <c r="AX1228" s="46">
        <f t="shared" si="58"/>
        <v>0</v>
      </c>
      <c r="AY1228" s="46">
        <f t="shared" si="59"/>
        <v>0</v>
      </c>
      <c r="AZ1228" s="46">
        <f t="shared" si="60"/>
        <v>0</v>
      </c>
    </row>
    <row r="1229" spans="3:52">
      <c r="AX1229" s="46">
        <f t="shared" si="58"/>
        <v>0</v>
      </c>
      <c r="AY1229" s="46">
        <f t="shared" si="59"/>
        <v>0</v>
      </c>
      <c r="AZ1229" s="46">
        <f t="shared" si="60"/>
        <v>0</v>
      </c>
    </row>
    <row r="1230" spans="3:52">
      <c r="AX1230" s="46">
        <f t="shared" si="58"/>
        <v>0</v>
      </c>
      <c r="AY1230" s="46">
        <f t="shared" si="59"/>
        <v>0</v>
      </c>
      <c r="AZ1230" s="46">
        <f t="shared" si="60"/>
        <v>0</v>
      </c>
    </row>
    <row r="1231" spans="3:52">
      <c r="AX1231" s="46">
        <f t="shared" si="58"/>
        <v>0</v>
      </c>
      <c r="AY1231" s="46">
        <f t="shared" si="59"/>
        <v>0</v>
      </c>
      <c r="AZ1231" s="46">
        <f t="shared" si="60"/>
        <v>0</v>
      </c>
    </row>
    <row r="1232" spans="3:52">
      <c r="AX1232" s="46">
        <f t="shared" si="58"/>
        <v>0</v>
      </c>
      <c r="AY1232" s="46">
        <f t="shared" si="59"/>
        <v>0</v>
      </c>
      <c r="AZ1232" s="46">
        <f t="shared" si="60"/>
        <v>0</v>
      </c>
    </row>
    <row r="1233" spans="50:52">
      <c r="AX1233" s="46">
        <f t="shared" si="58"/>
        <v>0</v>
      </c>
      <c r="AY1233" s="46">
        <f t="shared" si="59"/>
        <v>0</v>
      </c>
      <c r="AZ1233" s="46">
        <f t="shared" si="60"/>
        <v>0</v>
      </c>
    </row>
    <row r="1234" spans="50:52">
      <c r="AX1234" s="46">
        <f t="shared" si="58"/>
        <v>0</v>
      </c>
      <c r="AY1234" s="46">
        <f t="shared" si="59"/>
        <v>0</v>
      </c>
      <c r="AZ1234" s="46">
        <f t="shared" si="60"/>
        <v>0</v>
      </c>
    </row>
    <row r="1235" spans="50:52">
      <c r="AX1235" s="46">
        <f t="shared" si="58"/>
        <v>0</v>
      </c>
      <c r="AY1235" s="46">
        <f t="shared" si="59"/>
        <v>0</v>
      </c>
      <c r="AZ1235" s="46">
        <f t="shared" si="60"/>
        <v>0</v>
      </c>
    </row>
    <row r="1236" spans="50:52">
      <c r="AX1236" s="46">
        <f t="shared" si="58"/>
        <v>0</v>
      </c>
      <c r="AY1236" s="46">
        <f t="shared" si="59"/>
        <v>0</v>
      </c>
      <c r="AZ1236" s="46">
        <f t="shared" si="60"/>
        <v>0</v>
      </c>
    </row>
    <row r="1237" spans="50:52">
      <c r="AX1237" s="46">
        <f t="shared" si="58"/>
        <v>0</v>
      </c>
      <c r="AY1237" s="46">
        <f t="shared" si="59"/>
        <v>0</v>
      </c>
      <c r="AZ1237" s="46">
        <f t="shared" si="60"/>
        <v>0</v>
      </c>
    </row>
    <row r="1238" spans="50:52">
      <c r="AX1238" s="46">
        <f t="shared" si="58"/>
        <v>0</v>
      </c>
      <c r="AY1238" s="46">
        <f t="shared" si="59"/>
        <v>0</v>
      </c>
      <c r="AZ1238" s="46">
        <f t="shared" si="60"/>
        <v>0</v>
      </c>
    </row>
    <row r="1239" spans="50:52">
      <c r="AX1239" s="46">
        <f t="shared" si="58"/>
        <v>0</v>
      </c>
      <c r="AY1239" s="46">
        <f t="shared" si="59"/>
        <v>0</v>
      </c>
      <c r="AZ1239" s="46">
        <f t="shared" si="60"/>
        <v>0</v>
      </c>
    </row>
    <row r="1240" spans="50:52">
      <c r="AX1240" s="46">
        <f t="shared" si="58"/>
        <v>0</v>
      </c>
      <c r="AY1240" s="46">
        <f t="shared" si="59"/>
        <v>0</v>
      </c>
      <c r="AZ1240" s="46">
        <f t="shared" si="60"/>
        <v>0</v>
      </c>
    </row>
    <row r="1241" spans="50:52">
      <c r="AX1241" s="46">
        <f t="shared" si="58"/>
        <v>0</v>
      </c>
      <c r="AY1241" s="46">
        <f t="shared" si="59"/>
        <v>0</v>
      </c>
      <c r="AZ1241" s="46">
        <f t="shared" si="60"/>
        <v>0</v>
      </c>
    </row>
    <row r="1242" spans="50:52">
      <c r="AX1242" s="46">
        <f t="shared" si="58"/>
        <v>0</v>
      </c>
      <c r="AY1242" s="46">
        <f t="shared" si="59"/>
        <v>0</v>
      </c>
      <c r="AZ1242" s="46">
        <f t="shared" si="60"/>
        <v>0</v>
      </c>
    </row>
    <row r="1243" spans="50:52">
      <c r="AX1243" s="46">
        <f t="shared" si="58"/>
        <v>0</v>
      </c>
      <c r="AY1243" s="46">
        <f t="shared" si="59"/>
        <v>0</v>
      </c>
      <c r="AZ1243" s="46">
        <f t="shared" si="60"/>
        <v>0</v>
      </c>
    </row>
    <row r="1244" spans="50:52">
      <c r="AX1244" s="46">
        <f t="shared" si="58"/>
        <v>0</v>
      </c>
      <c r="AY1244" s="46">
        <f t="shared" si="59"/>
        <v>0</v>
      </c>
      <c r="AZ1244" s="46">
        <f t="shared" si="60"/>
        <v>0</v>
      </c>
    </row>
    <row r="1245" spans="50:52">
      <c r="AX1245" s="46">
        <f t="shared" si="58"/>
        <v>0</v>
      </c>
      <c r="AY1245" s="46">
        <f t="shared" si="59"/>
        <v>0</v>
      </c>
      <c r="AZ1245" s="46">
        <f t="shared" si="60"/>
        <v>0</v>
      </c>
    </row>
    <row r="1246" spans="50:52">
      <c r="AX1246" s="46">
        <f t="shared" si="58"/>
        <v>0</v>
      </c>
      <c r="AY1246" s="46">
        <f t="shared" si="59"/>
        <v>0</v>
      </c>
      <c r="AZ1246" s="46">
        <f t="shared" si="60"/>
        <v>0</v>
      </c>
    </row>
    <row r="1247" spans="50:52">
      <c r="AX1247" s="46">
        <f t="shared" si="58"/>
        <v>0</v>
      </c>
      <c r="AY1247" s="46">
        <f t="shared" si="59"/>
        <v>0</v>
      </c>
      <c r="AZ1247" s="46">
        <f t="shared" si="60"/>
        <v>0</v>
      </c>
    </row>
    <row r="1248" spans="50:52">
      <c r="AX1248" s="46">
        <f t="shared" si="58"/>
        <v>0</v>
      </c>
      <c r="AY1248" s="46">
        <f t="shared" si="59"/>
        <v>0</v>
      </c>
      <c r="AZ1248" s="46">
        <f t="shared" si="60"/>
        <v>0</v>
      </c>
    </row>
    <row r="1249" spans="50:52">
      <c r="AX1249" s="46">
        <f t="shared" si="58"/>
        <v>0</v>
      </c>
      <c r="AY1249" s="46">
        <f t="shared" si="59"/>
        <v>0</v>
      </c>
      <c r="AZ1249" s="46">
        <f t="shared" si="60"/>
        <v>0</v>
      </c>
    </row>
    <row r="1250" spans="50:52">
      <c r="AX1250" s="46">
        <f t="shared" si="58"/>
        <v>0</v>
      </c>
      <c r="AY1250" s="46">
        <f t="shared" si="59"/>
        <v>0</v>
      </c>
      <c r="AZ1250" s="46">
        <f t="shared" si="60"/>
        <v>0</v>
      </c>
    </row>
    <row r="1251" spans="50:52">
      <c r="AX1251" s="46">
        <f t="shared" si="58"/>
        <v>0</v>
      </c>
      <c r="AY1251" s="46">
        <f t="shared" si="59"/>
        <v>0</v>
      </c>
      <c r="AZ1251" s="46">
        <f t="shared" si="60"/>
        <v>0</v>
      </c>
    </row>
    <row r="1252" spans="50:52">
      <c r="AX1252" s="46">
        <f t="shared" si="58"/>
        <v>0</v>
      </c>
      <c r="AY1252" s="46">
        <f t="shared" si="59"/>
        <v>0</v>
      </c>
      <c r="AZ1252" s="46">
        <f t="shared" si="60"/>
        <v>0</v>
      </c>
    </row>
    <row r="1253" spans="50:52">
      <c r="AX1253" s="46">
        <f t="shared" si="58"/>
        <v>0</v>
      </c>
      <c r="AY1253" s="46">
        <f t="shared" si="59"/>
        <v>0</v>
      </c>
      <c r="AZ1253" s="46">
        <f t="shared" si="60"/>
        <v>0</v>
      </c>
    </row>
    <row r="1254" spans="50:52">
      <c r="AX1254" s="46">
        <f t="shared" si="58"/>
        <v>0</v>
      </c>
      <c r="AY1254" s="46">
        <f t="shared" si="59"/>
        <v>0</v>
      </c>
      <c r="AZ1254" s="46">
        <f t="shared" si="60"/>
        <v>0</v>
      </c>
    </row>
    <row r="1255" spans="50:52">
      <c r="AX1255" s="46">
        <f t="shared" si="58"/>
        <v>0</v>
      </c>
      <c r="AY1255" s="46">
        <f t="shared" si="59"/>
        <v>0</v>
      </c>
      <c r="AZ1255" s="46">
        <f t="shared" si="60"/>
        <v>0</v>
      </c>
    </row>
    <row r="1256" spans="50:52">
      <c r="AX1256" s="46">
        <f t="shared" si="58"/>
        <v>0</v>
      </c>
      <c r="AY1256" s="46">
        <f t="shared" si="59"/>
        <v>0</v>
      </c>
      <c r="AZ1256" s="46">
        <f t="shared" si="60"/>
        <v>0</v>
      </c>
    </row>
    <row r="1257" spans="50:52">
      <c r="AX1257" s="46">
        <f t="shared" si="58"/>
        <v>0</v>
      </c>
      <c r="AY1257" s="46">
        <f t="shared" si="59"/>
        <v>0</v>
      </c>
      <c r="AZ1257" s="46">
        <f t="shared" si="60"/>
        <v>0</v>
      </c>
    </row>
    <row r="1258" spans="50:52">
      <c r="AX1258" s="46">
        <f t="shared" si="58"/>
        <v>0</v>
      </c>
      <c r="AY1258" s="46">
        <f t="shared" si="59"/>
        <v>0</v>
      </c>
      <c r="AZ1258" s="46">
        <f t="shared" si="60"/>
        <v>0</v>
      </c>
    </row>
    <row r="1259" spans="50:52">
      <c r="AX1259" s="46">
        <f t="shared" si="58"/>
        <v>0</v>
      </c>
      <c r="AY1259" s="46">
        <f t="shared" si="59"/>
        <v>0</v>
      </c>
      <c r="AZ1259" s="46">
        <f t="shared" si="60"/>
        <v>0</v>
      </c>
    </row>
    <row r="1260" spans="50:52">
      <c r="AX1260" s="46">
        <f t="shared" si="58"/>
        <v>0</v>
      </c>
      <c r="AY1260" s="46">
        <f t="shared" si="59"/>
        <v>0</v>
      </c>
      <c r="AZ1260" s="46">
        <f t="shared" si="60"/>
        <v>0</v>
      </c>
    </row>
    <row r="1261" spans="50:52">
      <c r="AX1261" s="46">
        <f t="shared" si="58"/>
        <v>0</v>
      </c>
      <c r="AY1261" s="46">
        <f t="shared" si="59"/>
        <v>0</v>
      </c>
      <c r="AZ1261" s="46">
        <f t="shared" si="60"/>
        <v>0</v>
      </c>
    </row>
    <row r="1262" spans="50:52">
      <c r="AX1262" s="46">
        <f t="shared" si="58"/>
        <v>0</v>
      </c>
      <c r="AY1262" s="46">
        <f t="shared" si="59"/>
        <v>0</v>
      </c>
      <c r="AZ1262" s="46">
        <f t="shared" si="60"/>
        <v>0</v>
      </c>
    </row>
    <row r="1263" spans="50:52">
      <c r="AX1263" s="46">
        <f t="shared" si="58"/>
        <v>0</v>
      </c>
      <c r="AY1263" s="46">
        <f t="shared" si="59"/>
        <v>0</v>
      </c>
      <c r="AZ1263" s="46">
        <f t="shared" si="60"/>
        <v>0</v>
      </c>
    </row>
    <row r="1264" spans="50:52">
      <c r="AX1264" s="46">
        <f t="shared" si="58"/>
        <v>0</v>
      </c>
      <c r="AY1264" s="46">
        <f t="shared" si="59"/>
        <v>0</v>
      </c>
      <c r="AZ1264" s="46">
        <f t="shared" si="60"/>
        <v>0</v>
      </c>
    </row>
    <row r="1265" spans="50:52">
      <c r="AX1265" s="46">
        <f t="shared" si="58"/>
        <v>0</v>
      </c>
      <c r="AY1265" s="46">
        <f t="shared" si="59"/>
        <v>0</v>
      </c>
      <c r="AZ1265" s="46">
        <f t="shared" si="60"/>
        <v>0</v>
      </c>
    </row>
    <row r="1266" spans="50:52">
      <c r="AX1266" s="46">
        <f t="shared" si="58"/>
        <v>0</v>
      </c>
      <c r="AY1266" s="46">
        <f t="shared" si="59"/>
        <v>0</v>
      </c>
      <c r="AZ1266" s="46">
        <f t="shared" si="60"/>
        <v>0</v>
      </c>
    </row>
    <row r="1267" spans="50:52">
      <c r="AX1267" s="46">
        <f t="shared" si="58"/>
        <v>0</v>
      </c>
      <c r="AY1267" s="46">
        <f t="shared" si="59"/>
        <v>0</v>
      </c>
      <c r="AZ1267" s="46">
        <f t="shared" si="60"/>
        <v>0</v>
      </c>
    </row>
    <row r="1268" spans="50:52">
      <c r="AX1268" s="46">
        <f t="shared" si="58"/>
        <v>0</v>
      </c>
      <c r="AY1268" s="46">
        <f t="shared" si="59"/>
        <v>0</v>
      </c>
      <c r="AZ1268" s="46">
        <f t="shared" si="60"/>
        <v>0</v>
      </c>
    </row>
    <row r="1269" spans="50:52">
      <c r="AX1269" s="46">
        <f t="shared" si="58"/>
        <v>0</v>
      </c>
      <c r="AY1269" s="46">
        <f t="shared" si="59"/>
        <v>0</v>
      </c>
      <c r="AZ1269" s="46">
        <f t="shared" si="60"/>
        <v>0</v>
      </c>
    </row>
    <row r="1270" spans="50:52">
      <c r="AX1270" s="46">
        <f t="shared" si="58"/>
        <v>0</v>
      </c>
      <c r="AY1270" s="46">
        <f t="shared" si="59"/>
        <v>0</v>
      </c>
      <c r="AZ1270" s="46">
        <f t="shared" si="60"/>
        <v>0</v>
      </c>
    </row>
    <row r="1271" spans="50:52">
      <c r="AX1271" s="46">
        <f t="shared" si="58"/>
        <v>0</v>
      </c>
      <c r="AY1271" s="46">
        <f t="shared" si="59"/>
        <v>0</v>
      </c>
      <c r="AZ1271" s="46">
        <f t="shared" si="60"/>
        <v>0</v>
      </c>
    </row>
    <row r="1272" spans="50:52">
      <c r="AX1272" s="46">
        <f t="shared" si="58"/>
        <v>0</v>
      </c>
      <c r="AY1272" s="46">
        <f t="shared" si="59"/>
        <v>0</v>
      </c>
      <c r="AZ1272" s="46">
        <f t="shared" si="60"/>
        <v>0</v>
      </c>
    </row>
    <row r="1273" spans="50:52">
      <c r="AX1273" s="46">
        <f t="shared" si="58"/>
        <v>0</v>
      </c>
      <c r="AY1273" s="46">
        <f t="shared" si="59"/>
        <v>0</v>
      </c>
      <c r="AZ1273" s="46">
        <f t="shared" si="60"/>
        <v>0</v>
      </c>
    </row>
    <row r="1274" spans="50:52">
      <c r="AX1274" s="46">
        <f t="shared" si="58"/>
        <v>0</v>
      </c>
      <c r="AY1274" s="46">
        <f t="shared" si="59"/>
        <v>0</v>
      </c>
      <c r="AZ1274" s="46">
        <f t="shared" si="60"/>
        <v>0</v>
      </c>
    </row>
    <row r="1275" spans="50:52">
      <c r="AX1275" s="46">
        <f t="shared" si="58"/>
        <v>0</v>
      </c>
      <c r="AY1275" s="46">
        <f t="shared" si="59"/>
        <v>0</v>
      </c>
      <c r="AZ1275" s="46">
        <f t="shared" si="60"/>
        <v>0</v>
      </c>
    </row>
    <row r="1276" spans="50:52">
      <c r="AX1276" s="46">
        <f t="shared" si="58"/>
        <v>0</v>
      </c>
      <c r="AY1276" s="46">
        <f t="shared" si="59"/>
        <v>0</v>
      </c>
      <c r="AZ1276" s="46">
        <f t="shared" si="60"/>
        <v>0</v>
      </c>
    </row>
    <row r="1277" spans="50:52">
      <c r="AX1277" s="46">
        <f t="shared" si="58"/>
        <v>0</v>
      </c>
      <c r="AY1277" s="46">
        <f t="shared" si="59"/>
        <v>0</v>
      </c>
      <c r="AZ1277" s="46">
        <f t="shared" si="60"/>
        <v>0</v>
      </c>
    </row>
    <row r="1278" spans="50:52">
      <c r="AX1278" s="46">
        <f t="shared" si="58"/>
        <v>0</v>
      </c>
      <c r="AY1278" s="46">
        <f t="shared" si="59"/>
        <v>0</v>
      </c>
      <c r="AZ1278" s="46">
        <f t="shared" si="60"/>
        <v>0</v>
      </c>
    </row>
    <row r="1279" spans="50:52">
      <c r="AX1279" s="46">
        <f t="shared" si="58"/>
        <v>0</v>
      </c>
      <c r="AY1279" s="46">
        <f t="shared" si="59"/>
        <v>0</v>
      </c>
      <c r="AZ1279" s="46">
        <f t="shared" si="60"/>
        <v>0</v>
      </c>
    </row>
    <row r="1280" spans="50:52">
      <c r="AX1280" s="46">
        <f t="shared" si="58"/>
        <v>0</v>
      </c>
      <c r="AY1280" s="46">
        <f t="shared" si="59"/>
        <v>0</v>
      </c>
      <c r="AZ1280" s="46">
        <f t="shared" si="60"/>
        <v>0</v>
      </c>
    </row>
    <row r="1281" spans="50:52">
      <c r="AX1281" s="46">
        <f t="shared" si="58"/>
        <v>0</v>
      </c>
      <c r="AY1281" s="46">
        <f t="shared" si="59"/>
        <v>0</v>
      </c>
      <c r="AZ1281" s="46">
        <f t="shared" si="60"/>
        <v>0</v>
      </c>
    </row>
    <row r="1282" spans="50:52">
      <c r="AX1282" s="46">
        <f t="shared" si="58"/>
        <v>0</v>
      </c>
      <c r="AY1282" s="46">
        <f t="shared" si="59"/>
        <v>0</v>
      </c>
      <c r="AZ1282" s="46">
        <f t="shared" si="60"/>
        <v>0</v>
      </c>
    </row>
    <row r="1283" spans="50:52">
      <c r="AX1283" s="46">
        <f t="shared" si="58"/>
        <v>0</v>
      </c>
      <c r="AY1283" s="46">
        <f t="shared" si="59"/>
        <v>0</v>
      </c>
      <c r="AZ1283" s="46">
        <f t="shared" si="60"/>
        <v>0</v>
      </c>
    </row>
    <row r="1284" spans="50:52">
      <c r="AX1284" s="46">
        <f t="shared" si="58"/>
        <v>0</v>
      </c>
      <c r="AY1284" s="46">
        <f t="shared" si="59"/>
        <v>0</v>
      </c>
      <c r="AZ1284" s="46">
        <f t="shared" si="60"/>
        <v>0</v>
      </c>
    </row>
    <row r="1285" spans="50:52">
      <c r="AX1285" s="46">
        <f t="shared" si="58"/>
        <v>0</v>
      </c>
      <c r="AY1285" s="46">
        <f t="shared" si="59"/>
        <v>0</v>
      </c>
      <c r="AZ1285" s="46">
        <f t="shared" si="60"/>
        <v>0</v>
      </c>
    </row>
    <row r="1286" spans="50:52">
      <c r="AX1286" s="46">
        <f t="shared" si="58"/>
        <v>0</v>
      </c>
      <c r="AY1286" s="46">
        <f t="shared" si="59"/>
        <v>0</v>
      </c>
      <c r="AZ1286" s="46">
        <f t="shared" si="60"/>
        <v>0</v>
      </c>
    </row>
    <row r="1287" spans="50:52">
      <c r="AX1287" s="46">
        <f t="shared" si="58"/>
        <v>0</v>
      </c>
      <c r="AY1287" s="46">
        <f t="shared" si="59"/>
        <v>0</v>
      </c>
      <c r="AZ1287" s="46">
        <f t="shared" si="60"/>
        <v>0</v>
      </c>
    </row>
    <row r="1288" spans="50:52">
      <c r="AX1288" s="46">
        <f t="shared" si="58"/>
        <v>0</v>
      </c>
      <c r="AY1288" s="46">
        <f t="shared" si="59"/>
        <v>0</v>
      </c>
      <c r="AZ1288" s="46">
        <f t="shared" si="60"/>
        <v>0</v>
      </c>
    </row>
    <row r="1289" spans="50:52">
      <c r="AX1289" s="46">
        <f t="shared" si="58"/>
        <v>0</v>
      </c>
      <c r="AY1289" s="46">
        <f t="shared" si="59"/>
        <v>0</v>
      </c>
      <c r="AZ1289" s="46">
        <f t="shared" si="60"/>
        <v>0</v>
      </c>
    </row>
    <row r="1290" spans="50:52">
      <c r="AX1290" s="46">
        <f t="shared" si="58"/>
        <v>0</v>
      </c>
      <c r="AY1290" s="46">
        <f t="shared" si="59"/>
        <v>0</v>
      </c>
      <c r="AZ1290" s="46">
        <f t="shared" si="60"/>
        <v>0</v>
      </c>
    </row>
    <row r="1291" spans="50:52">
      <c r="AX1291" s="46">
        <f t="shared" ref="AX1291:AX1354" si="61">IFERROR(SUM(Q1291:AS1291)-SUM(AT1291:AU1291)+AV1291,"-")</f>
        <v>0</v>
      </c>
      <c r="AY1291" s="46">
        <f t="shared" ref="AY1291:AY1354" si="62">IFERROR(SUM(Q1291:AS1291)-SUM(AT1291:AT1291),"-")</f>
        <v>0</v>
      </c>
      <c r="AZ1291" s="46">
        <f t="shared" ref="AZ1291:AZ1354" si="63">SUM(Q1291:AS1291)</f>
        <v>0</v>
      </c>
    </row>
    <row r="1292" spans="50:52">
      <c r="AX1292" s="46">
        <f t="shared" si="61"/>
        <v>0</v>
      </c>
      <c r="AY1292" s="46">
        <f t="shared" si="62"/>
        <v>0</v>
      </c>
      <c r="AZ1292" s="46">
        <f t="shared" si="63"/>
        <v>0</v>
      </c>
    </row>
    <row r="1293" spans="50:52">
      <c r="AX1293" s="46">
        <f t="shared" si="61"/>
        <v>0</v>
      </c>
      <c r="AY1293" s="46">
        <f t="shared" si="62"/>
        <v>0</v>
      </c>
      <c r="AZ1293" s="46">
        <f t="shared" si="63"/>
        <v>0</v>
      </c>
    </row>
    <row r="1294" spans="50:52">
      <c r="AX1294" s="46">
        <f t="shared" si="61"/>
        <v>0</v>
      </c>
      <c r="AY1294" s="46">
        <f t="shared" si="62"/>
        <v>0</v>
      </c>
      <c r="AZ1294" s="46">
        <f t="shared" si="63"/>
        <v>0</v>
      </c>
    </row>
    <row r="1295" spans="50:52">
      <c r="AX1295" s="46">
        <f t="shared" si="61"/>
        <v>0</v>
      </c>
      <c r="AY1295" s="46">
        <f t="shared" si="62"/>
        <v>0</v>
      </c>
      <c r="AZ1295" s="46">
        <f t="shared" si="63"/>
        <v>0</v>
      </c>
    </row>
    <row r="1296" spans="50:52">
      <c r="AX1296" s="46">
        <f t="shared" si="61"/>
        <v>0</v>
      </c>
      <c r="AY1296" s="46">
        <f t="shared" si="62"/>
        <v>0</v>
      </c>
      <c r="AZ1296" s="46">
        <f t="shared" si="63"/>
        <v>0</v>
      </c>
    </row>
    <row r="1297" spans="50:52">
      <c r="AX1297" s="46">
        <f t="shared" si="61"/>
        <v>0</v>
      </c>
      <c r="AY1297" s="46">
        <f t="shared" si="62"/>
        <v>0</v>
      </c>
      <c r="AZ1297" s="46">
        <f t="shared" si="63"/>
        <v>0</v>
      </c>
    </row>
    <row r="1298" spans="50:52">
      <c r="AX1298" s="46">
        <f t="shared" si="61"/>
        <v>0</v>
      </c>
      <c r="AY1298" s="46">
        <f t="shared" si="62"/>
        <v>0</v>
      </c>
      <c r="AZ1298" s="46">
        <f t="shared" si="63"/>
        <v>0</v>
      </c>
    </row>
    <row r="1299" spans="50:52">
      <c r="AX1299" s="46">
        <f t="shared" si="61"/>
        <v>0</v>
      </c>
      <c r="AY1299" s="46">
        <f t="shared" si="62"/>
        <v>0</v>
      </c>
      <c r="AZ1299" s="46">
        <f t="shared" si="63"/>
        <v>0</v>
      </c>
    </row>
    <row r="1300" spans="50:52">
      <c r="AX1300" s="46">
        <f t="shared" si="61"/>
        <v>0</v>
      </c>
      <c r="AY1300" s="46">
        <f t="shared" si="62"/>
        <v>0</v>
      </c>
      <c r="AZ1300" s="46">
        <f t="shared" si="63"/>
        <v>0</v>
      </c>
    </row>
    <row r="1301" spans="50:52">
      <c r="AX1301" s="46">
        <f t="shared" si="61"/>
        <v>0</v>
      </c>
      <c r="AY1301" s="46">
        <f t="shared" si="62"/>
        <v>0</v>
      </c>
      <c r="AZ1301" s="46">
        <f t="shared" si="63"/>
        <v>0</v>
      </c>
    </row>
    <row r="1302" spans="50:52">
      <c r="AX1302" s="46">
        <f t="shared" si="61"/>
        <v>0</v>
      </c>
      <c r="AY1302" s="46">
        <f t="shared" si="62"/>
        <v>0</v>
      </c>
      <c r="AZ1302" s="46">
        <f t="shared" si="63"/>
        <v>0</v>
      </c>
    </row>
    <row r="1303" spans="50:52">
      <c r="AX1303" s="46">
        <f t="shared" si="61"/>
        <v>0</v>
      </c>
      <c r="AY1303" s="46">
        <f t="shared" si="62"/>
        <v>0</v>
      </c>
      <c r="AZ1303" s="46">
        <f t="shared" si="63"/>
        <v>0</v>
      </c>
    </row>
    <row r="1304" spans="50:52">
      <c r="AX1304" s="46">
        <f t="shared" si="61"/>
        <v>0</v>
      </c>
      <c r="AY1304" s="46">
        <f t="shared" si="62"/>
        <v>0</v>
      </c>
      <c r="AZ1304" s="46">
        <f t="shared" si="63"/>
        <v>0</v>
      </c>
    </row>
    <row r="1305" spans="50:52">
      <c r="AX1305" s="46">
        <f t="shared" si="61"/>
        <v>0</v>
      </c>
      <c r="AY1305" s="46">
        <f t="shared" si="62"/>
        <v>0</v>
      </c>
      <c r="AZ1305" s="46">
        <f t="shared" si="63"/>
        <v>0</v>
      </c>
    </row>
    <row r="1306" spans="50:52">
      <c r="AX1306" s="46">
        <f t="shared" si="61"/>
        <v>0</v>
      </c>
      <c r="AY1306" s="46">
        <f t="shared" si="62"/>
        <v>0</v>
      </c>
      <c r="AZ1306" s="46">
        <f t="shared" si="63"/>
        <v>0</v>
      </c>
    </row>
    <row r="1307" spans="50:52">
      <c r="AX1307" s="46">
        <f t="shared" si="61"/>
        <v>0</v>
      </c>
      <c r="AY1307" s="46">
        <f t="shared" si="62"/>
        <v>0</v>
      </c>
      <c r="AZ1307" s="46">
        <f t="shared" si="63"/>
        <v>0</v>
      </c>
    </row>
    <row r="1308" spans="50:52">
      <c r="AX1308" s="46">
        <f t="shared" si="61"/>
        <v>0</v>
      </c>
      <c r="AY1308" s="46">
        <f t="shared" si="62"/>
        <v>0</v>
      </c>
      <c r="AZ1308" s="46">
        <f t="shared" si="63"/>
        <v>0</v>
      </c>
    </row>
    <row r="1309" spans="50:52">
      <c r="AX1309" s="46">
        <f t="shared" si="61"/>
        <v>0</v>
      </c>
      <c r="AY1309" s="46">
        <f t="shared" si="62"/>
        <v>0</v>
      </c>
      <c r="AZ1309" s="46">
        <f t="shared" si="63"/>
        <v>0</v>
      </c>
    </row>
    <row r="1310" spans="50:52">
      <c r="AX1310" s="46">
        <f t="shared" si="61"/>
        <v>0</v>
      </c>
      <c r="AY1310" s="46">
        <f t="shared" si="62"/>
        <v>0</v>
      </c>
      <c r="AZ1310" s="46">
        <f t="shared" si="63"/>
        <v>0</v>
      </c>
    </row>
    <row r="1311" spans="50:52">
      <c r="AX1311" s="46">
        <f t="shared" si="61"/>
        <v>0</v>
      </c>
      <c r="AY1311" s="46">
        <f t="shared" si="62"/>
        <v>0</v>
      </c>
      <c r="AZ1311" s="46">
        <f t="shared" si="63"/>
        <v>0</v>
      </c>
    </row>
    <row r="1312" spans="50:52">
      <c r="AX1312" s="46">
        <f t="shared" si="61"/>
        <v>0</v>
      </c>
      <c r="AY1312" s="46">
        <f t="shared" si="62"/>
        <v>0</v>
      </c>
      <c r="AZ1312" s="46">
        <f t="shared" si="63"/>
        <v>0</v>
      </c>
    </row>
    <row r="1313" spans="50:52">
      <c r="AX1313" s="46">
        <f t="shared" si="61"/>
        <v>0</v>
      </c>
      <c r="AY1313" s="46">
        <f t="shared" si="62"/>
        <v>0</v>
      </c>
      <c r="AZ1313" s="46">
        <f t="shared" si="63"/>
        <v>0</v>
      </c>
    </row>
    <row r="1314" spans="50:52">
      <c r="AX1314" s="46">
        <f t="shared" si="61"/>
        <v>0</v>
      </c>
      <c r="AY1314" s="46">
        <f t="shared" si="62"/>
        <v>0</v>
      </c>
      <c r="AZ1314" s="46">
        <f t="shared" si="63"/>
        <v>0</v>
      </c>
    </row>
    <row r="1315" spans="50:52">
      <c r="AX1315" s="46">
        <f t="shared" si="61"/>
        <v>0</v>
      </c>
      <c r="AY1315" s="46">
        <f t="shared" si="62"/>
        <v>0</v>
      </c>
      <c r="AZ1315" s="46">
        <f t="shared" si="63"/>
        <v>0</v>
      </c>
    </row>
    <row r="1316" spans="50:52">
      <c r="AX1316" s="46">
        <f t="shared" si="61"/>
        <v>0</v>
      </c>
      <c r="AY1316" s="46">
        <f t="shared" si="62"/>
        <v>0</v>
      </c>
      <c r="AZ1316" s="46">
        <f t="shared" si="63"/>
        <v>0</v>
      </c>
    </row>
    <row r="1317" spans="50:52">
      <c r="AX1317" s="46">
        <f t="shared" si="61"/>
        <v>0</v>
      </c>
      <c r="AY1317" s="46">
        <f t="shared" si="62"/>
        <v>0</v>
      </c>
      <c r="AZ1317" s="46">
        <f t="shared" si="63"/>
        <v>0</v>
      </c>
    </row>
    <row r="1318" spans="50:52">
      <c r="AX1318" s="46">
        <f t="shared" si="61"/>
        <v>0</v>
      </c>
      <c r="AY1318" s="46">
        <f t="shared" si="62"/>
        <v>0</v>
      </c>
      <c r="AZ1318" s="46">
        <f t="shared" si="63"/>
        <v>0</v>
      </c>
    </row>
    <row r="1319" spans="50:52">
      <c r="AX1319" s="46">
        <f t="shared" si="61"/>
        <v>0</v>
      </c>
      <c r="AY1319" s="46">
        <f t="shared" si="62"/>
        <v>0</v>
      </c>
      <c r="AZ1319" s="46">
        <f t="shared" si="63"/>
        <v>0</v>
      </c>
    </row>
    <row r="1320" spans="50:52">
      <c r="AX1320" s="46">
        <f t="shared" si="61"/>
        <v>0</v>
      </c>
      <c r="AY1320" s="46">
        <f t="shared" si="62"/>
        <v>0</v>
      </c>
      <c r="AZ1320" s="46">
        <f t="shared" si="63"/>
        <v>0</v>
      </c>
    </row>
    <row r="1321" spans="50:52">
      <c r="AX1321" s="46">
        <f t="shared" si="61"/>
        <v>0</v>
      </c>
      <c r="AY1321" s="46">
        <f t="shared" si="62"/>
        <v>0</v>
      </c>
      <c r="AZ1321" s="46">
        <f t="shared" si="63"/>
        <v>0</v>
      </c>
    </row>
    <row r="1322" spans="50:52">
      <c r="AX1322" s="46">
        <f t="shared" si="61"/>
        <v>0</v>
      </c>
      <c r="AY1322" s="46">
        <f t="shared" si="62"/>
        <v>0</v>
      </c>
      <c r="AZ1322" s="46">
        <f t="shared" si="63"/>
        <v>0</v>
      </c>
    </row>
    <row r="1323" spans="50:52">
      <c r="AX1323" s="46">
        <f t="shared" si="61"/>
        <v>0</v>
      </c>
      <c r="AY1323" s="46">
        <f t="shared" si="62"/>
        <v>0</v>
      </c>
      <c r="AZ1323" s="46">
        <f t="shared" si="63"/>
        <v>0</v>
      </c>
    </row>
    <row r="1324" spans="50:52">
      <c r="AX1324" s="46">
        <f t="shared" si="61"/>
        <v>0</v>
      </c>
      <c r="AY1324" s="46">
        <f t="shared" si="62"/>
        <v>0</v>
      </c>
      <c r="AZ1324" s="46">
        <f t="shared" si="63"/>
        <v>0</v>
      </c>
    </row>
    <row r="1325" spans="50:52">
      <c r="AX1325" s="46">
        <f t="shared" si="61"/>
        <v>0</v>
      </c>
      <c r="AY1325" s="46">
        <f t="shared" si="62"/>
        <v>0</v>
      </c>
      <c r="AZ1325" s="46">
        <f t="shared" si="63"/>
        <v>0</v>
      </c>
    </row>
    <row r="1326" spans="50:52">
      <c r="AX1326" s="46">
        <f t="shared" si="61"/>
        <v>0</v>
      </c>
      <c r="AY1326" s="46">
        <f t="shared" si="62"/>
        <v>0</v>
      </c>
      <c r="AZ1326" s="46">
        <f t="shared" si="63"/>
        <v>0</v>
      </c>
    </row>
    <row r="1327" spans="50:52">
      <c r="AX1327" s="46">
        <f t="shared" si="61"/>
        <v>0</v>
      </c>
      <c r="AY1327" s="46">
        <f t="shared" si="62"/>
        <v>0</v>
      </c>
      <c r="AZ1327" s="46">
        <f t="shared" si="63"/>
        <v>0</v>
      </c>
    </row>
    <row r="1328" spans="50:52">
      <c r="AX1328" s="46">
        <f t="shared" si="61"/>
        <v>0</v>
      </c>
      <c r="AY1328" s="46">
        <f t="shared" si="62"/>
        <v>0</v>
      </c>
      <c r="AZ1328" s="46">
        <f t="shared" si="63"/>
        <v>0</v>
      </c>
    </row>
    <row r="1329" spans="50:52">
      <c r="AX1329" s="46">
        <f t="shared" si="61"/>
        <v>0</v>
      </c>
      <c r="AY1329" s="46">
        <f t="shared" si="62"/>
        <v>0</v>
      </c>
      <c r="AZ1329" s="46">
        <f t="shared" si="63"/>
        <v>0</v>
      </c>
    </row>
    <row r="1330" spans="50:52">
      <c r="AX1330" s="46">
        <f t="shared" si="61"/>
        <v>0</v>
      </c>
      <c r="AY1330" s="46">
        <f t="shared" si="62"/>
        <v>0</v>
      </c>
      <c r="AZ1330" s="46">
        <f t="shared" si="63"/>
        <v>0</v>
      </c>
    </row>
    <row r="1331" spans="50:52">
      <c r="AX1331" s="46">
        <f t="shared" si="61"/>
        <v>0</v>
      </c>
      <c r="AY1331" s="46">
        <f t="shared" si="62"/>
        <v>0</v>
      </c>
      <c r="AZ1331" s="46">
        <f t="shared" si="63"/>
        <v>0</v>
      </c>
    </row>
    <row r="1332" spans="50:52">
      <c r="AX1332" s="46">
        <f t="shared" si="61"/>
        <v>0</v>
      </c>
      <c r="AY1332" s="46">
        <f t="shared" si="62"/>
        <v>0</v>
      </c>
      <c r="AZ1332" s="46">
        <f t="shared" si="63"/>
        <v>0</v>
      </c>
    </row>
    <row r="1333" spans="50:52">
      <c r="AX1333" s="46">
        <f t="shared" si="61"/>
        <v>0</v>
      </c>
      <c r="AY1333" s="46">
        <f t="shared" si="62"/>
        <v>0</v>
      </c>
      <c r="AZ1333" s="46">
        <f t="shared" si="63"/>
        <v>0</v>
      </c>
    </row>
    <row r="1334" spans="50:52">
      <c r="AX1334" s="46">
        <f t="shared" si="61"/>
        <v>0</v>
      </c>
      <c r="AY1334" s="46">
        <f t="shared" si="62"/>
        <v>0</v>
      </c>
      <c r="AZ1334" s="46">
        <f t="shared" si="63"/>
        <v>0</v>
      </c>
    </row>
    <row r="1335" spans="50:52">
      <c r="AX1335" s="46">
        <f t="shared" si="61"/>
        <v>0</v>
      </c>
      <c r="AY1335" s="46">
        <f t="shared" si="62"/>
        <v>0</v>
      </c>
      <c r="AZ1335" s="46">
        <f t="shared" si="63"/>
        <v>0</v>
      </c>
    </row>
    <row r="1336" spans="50:52">
      <c r="AX1336" s="46">
        <f t="shared" si="61"/>
        <v>0</v>
      </c>
      <c r="AY1336" s="46">
        <f t="shared" si="62"/>
        <v>0</v>
      </c>
      <c r="AZ1336" s="46">
        <f t="shared" si="63"/>
        <v>0</v>
      </c>
    </row>
    <row r="1337" spans="50:52">
      <c r="AX1337" s="46">
        <f t="shared" si="61"/>
        <v>0</v>
      </c>
      <c r="AY1337" s="46">
        <f t="shared" si="62"/>
        <v>0</v>
      </c>
      <c r="AZ1337" s="46">
        <f t="shared" si="63"/>
        <v>0</v>
      </c>
    </row>
    <row r="1338" spans="50:52">
      <c r="AX1338" s="46">
        <f t="shared" si="61"/>
        <v>0</v>
      </c>
      <c r="AY1338" s="46">
        <f t="shared" si="62"/>
        <v>0</v>
      </c>
      <c r="AZ1338" s="46">
        <f t="shared" si="63"/>
        <v>0</v>
      </c>
    </row>
    <row r="1339" spans="50:52">
      <c r="AX1339" s="46">
        <f t="shared" si="61"/>
        <v>0</v>
      </c>
      <c r="AY1339" s="46">
        <f t="shared" si="62"/>
        <v>0</v>
      </c>
      <c r="AZ1339" s="46">
        <f t="shared" si="63"/>
        <v>0</v>
      </c>
    </row>
    <row r="1340" spans="50:52">
      <c r="AX1340" s="46">
        <f t="shared" si="61"/>
        <v>0</v>
      </c>
      <c r="AY1340" s="46">
        <f t="shared" si="62"/>
        <v>0</v>
      </c>
      <c r="AZ1340" s="46">
        <f t="shared" si="63"/>
        <v>0</v>
      </c>
    </row>
    <row r="1341" spans="50:52">
      <c r="AX1341" s="46">
        <f t="shared" si="61"/>
        <v>0</v>
      </c>
      <c r="AY1341" s="46">
        <f t="shared" si="62"/>
        <v>0</v>
      </c>
      <c r="AZ1341" s="46">
        <f t="shared" si="63"/>
        <v>0</v>
      </c>
    </row>
    <row r="1342" spans="50:52">
      <c r="AX1342" s="46">
        <f t="shared" si="61"/>
        <v>0</v>
      </c>
      <c r="AY1342" s="46">
        <f t="shared" si="62"/>
        <v>0</v>
      </c>
      <c r="AZ1342" s="46">
        <f t="shared" si="63"/>
        <v>0</v>
      </c>
    </row>
    <row r="1343" spans="50:52">
      <c r="AX1343" s="46">
        <f t="shared" si="61"/>
        <v>0</v>
      </c>
      <c r="AY1343" s="46">
        <f t="shared" si="62"/>
        <v>0</v>
      </c>
      <c r="AZ1343" s="46">
        <f t="shared" si="63"/>
        <v>0</v>
      </c>
    </row>
    <row r="1344" spans="50:52">
      <c r="AX1344" s="46">
        <f t="shared" si="61"/>
        <v>0</v>
      </c>
      <c r="AY1344" s="46">
        <f t="shared" si="62"/>
        <v>0</v>
      </c>
      <c r="AZ1344" s="46">
        <f t="shared" si="63"/>
        <v>0</v>
      </c>
    </row>
    <row r="1345" spans="50:52">
      <c r="AX1345" s="46">
        <f t="shared" si="61"/>
        <v>0</v>
      </c>
      <c r="AY1345" s="46">
        <f t="shared" si="62"/>
        <v>0</v>
      </c>
      <c r="AZ1345" s="46">
        <f t="shared" si="63"/>
        <v>0</v>
      </c>
    </row>
    <row r="1346" spans="50:52">
      <c r="AX1346" s="46">
        <f t="shared" si="61"/>
        <v>0</v>
      </c>
      <c r="AY1346" s="46">
        <f t="shared" si="62"/>
        <v>0</v>
      </c>
      <c r="AZ1346" s="46">
        <f t="shared" si="63"/>
        <v>0</v>
      </c>
    </row>
    <row r="1347" spans="50:52">
      <c r="AX1347" s="46">
        <f t="shared" si="61"/>
        <v>0</v>
      </c>
      <c r="AY1347" s="46">
        <f t="shared" si="62"/>
        <v>0</v>
      </c>
      <c r="AZ1347" s="46">
        <f t="shared" si="63"/>
        <v>0</v>
      </c>
    </row>
    <row r="1348" spans="50:52">
      <c r="AX1348" s="46">
        <f t="shared" si="61"/>
        <v>0</v>
      </c>
      <c r="AY1348" s="46">
        <f t="shared" si="62"/>
        <v>0</v>
      </c>
      <c r="AZ1348" s="46">
        <f t="shared" si="63"/>
        <v>0</v>
      </c>
    </row>
    <row r="1349" spans="50:52">
      <c r="AX1349" s="46">
        <f t="shared" si="61"/>
        <v>0</v>
      </c>
      <c r="AY1349" s="46">
        <f t="shared" si="62"/>
        <v>0</v>
      </c>
      <c r="AZ1349" s="46">
        <f t="shared" si="63"/>
        <v>0</v>
      </c>
    </row>
    <row r="1350" spans="50:52">
      <c r="AX1350" s="46">
        <f t="shared" si="61"/>
        <v>0</v>
      </c>
      <c r="AY1350" s="46">
        <f t="shared" si="62"/>
        <v>0</v>
      </c>
      <c r="AZ1350" s="46">
        <f t="shared" si="63"/>
        <v>0</v>
      </c>
    </row>
    <row r="1351" spans="50:52">
      <c r="AX1351" s="46">
        <f t="shared" si="61"/>
        <v>0</v>
      </c>
      <c r="AY1351" s="46">
        <f t="shared" si="62"/>
        <v>0</v>
      </c>
      <c r="AZ1351" s="46">
        <f t="shared" si="63"/>
        <v>0</v>
      </c>
    </row>
    <row r="1352" spans="50:52">
      <c r="AX1352" s="46">
        <f t="shared" si="61"/>
        <v>0</v>
      </c>
      <c r="AY1352" s="46">
        <f t="shared" si="62"/>
        <v>0</v>
      </c>
      <c r="AZ1352" s="46">
        <f t="shared" si="63"/>
        <v>0</v>
      </c>
    </row>
    <row r="1353" spans="50:52">
      <c r="AX1353" s="46">
        <f t="shared" si="61"/>
        <v>0</v>
      </c>
      <c r="AY1353" s="46">
        <f t="shared" si="62"/>
        <v>0</v>
      </c>
      <c r="AZ1353" s="46">
        <f t="shared" si="63"/>
        <v>0</v>
      </c>
    </row>
    <row r="1354" spans="50:52">
      <c r="AX1354" s="46">
        <f t="shared" si="61"/>
        <v>0</v>
      </c>
      <c r="AY1354" s="46">
        <f t="shared" si="62"/>
        <v>0</v>
      </c>
      <c r="AZ1354" s="46">
        <f t="shared" si="63"/>
        <v>0</v>
      </c>
    </row>
    <row r="1355" spans="50:52">
      <c r="AX1355" s="46">
        <f t="shared" ref="AX1355:AX1418" si="64">IFERROR(SUM(Q1355:AS1355)-SUM(AT1355:AU1355)+AV1355,"-")</f>
        <v>0</v>
      </c>
      <c r="AY1355" s="46">
        <f t="shared" ref="AY1355:AY1418" si="65">IFERROR(SUM(Q1355:AS1355)-SUM(AT1355:AT1355),"-")</f>
        <v>0</v>
      </c>
      <c r="AZ1355" s="46">
        <f t="shared" ref="AZ1355:AZ1418" si="66">SUM(Q1355:AS1355)</f>
        <v>0</v>
      </c>
    </row>
    <row r="1356" spans="50:52">
      <c r="AX1356" s="46">
        <f t="shared" si="64"/>
        <v>0</v>
      </c>
      <c r="AY1356" s="46">
        <f t="shared" si="65"/>
        <v>0</v>
      </c>
      <c r="AZ1356" s="46">
        <f t="shared" si="66"/>
        <v>0</v>
      </c>
    </row>
    <row r="1357" spans="50:52">
      <c r="AX1357" s="46">
        <f t="shared" si="64"/>
        <v>0</v>
      </c>
      <c r="AY1357" s="46">
        <f t="shared" si="65"/>
        <v>0</v>
      </c>
      <c r="AZ1357" s="46">
        <f t="shared" si="66"/>
        <v>0</v>
      </c>
    </row>
    <row r="1358" spans="50:52">
      <c r="AX1358" s="46">
        <f t="shared" si="64"/>
        <v>0</v>
      </c>
      <c r="AY1358" s="46">
        <f t="shared" si="65"/>
        <v>0</v>
      </c>
      <c r="AZ1358" s="46">
        <f t="shared" si="66"/>
        <v>0</v>
      </c>
    </row>
    <row r="1359" spans="50:52">
      <c r="AX1359" s="46">
        <f t="shared" si="64"/>
        <v>0</v>
      </c>
      <c r="AY1359" s="46">
        <f t="shared" si="65"/>
        <v>0</v>
      </c>
      <c r="AZ1359" s="46">
        <f t="shared" si="66"/>
        <v>0</v>
      </c>
    </row>
    <row r="1360" spans="50:52">
      <c r="AX1360" s="46">
        <f t="shared" si="64"/>
        <v>0</v>
      </c>
      <c r="AY1360" s="46">
        <f t="shared" si="65"/>
        <v>0</v>
      </c>
      <c r="AZ1360" s="46">
        <f t="shared" si="66"/>
        <v>0</v>
      </c>
    </row>
    <row r="1361" spans="50:52">
      <c r="AX1361" s="46">
        <f t="shared" si="64"/>
        <v>0</v>
      </c>
      <c r="AY1361" s="46">
        <f t="shared" si="65"/>
        <v>0</v>
      </c>
      <c r="AZ1361" s="46">
        <f t="shared" si="66"/>
        <v>0</v>
      </c>
    </row>
    <row r="1362" spans="50:52">
      <c r="AX1362" s="46">
        <f t="shared" si="64"/>
        <v>0</v>
      </c>
      <c r="AY1362" s="46">
        <f t="shared" si="65"/>
        <v>0</v>
      </c>
      <c r="AZ1362" s="46">
        <f t="shared" si="66"/>
        <v>0</v>
      </c>
    </row>
    <row r="1363" spans="50:52">
      <c r="AX1363" s="46">
        <f t="shared" si="64"/>
        <v>0</v>
      </c>
      <c r="AY1363" s="46">
        <f t="shared" si="65"/>
        <v>0</v>
      </c>
      <c r="AZ1363" s="46">
        <f t="shared" si="66"/>
        <v>0</v>
      </c>
    </row>
    <row r="1364" spans="50:52">
      <c r="AX1364" s="46">
        <f t="shared" si="64"/>
        <v>0</v>
      </c>
      <c r="AY1364" s="46">
        <f t="shared" si="65"/>
        <v>0</v>
      </c>
      <c r="AZ1364" s="46">
        <f t="shared" si="66"/>
        <v>0</v>
      </c>
    </row>
    <row r="1365" spans="50:52">
      <c r="AX1365" s="46">
        <f t="shared" si="64"/>
        <v>0</v>
      </c>
      <c r="AY1365" s="46">
        <f t="shared" si="65"/>
        <v>0</v>
      </c>
      <c r="AZ1365" s="46">
        <f t="shared" si="66"/>
        <v>0</v>
      </c>
    </row>
    <row r="1366" spans="50:52">
      <c r="AX1366" s="46">
        <f t="shared" si="64"/>
        <v>0</v>
      </c>
      <c r="AY1366" s="46">
        <f t="shared" si="65"/>
        <v>0</v>
      </c>
      <c r="AZ1366" s="46">
        <f t="shared" si="66"/>
        <v>0</v>
      </c>
    </row>
    <row r="1367" spans="50:52">
      <c r="AX1367" s="46">
        <f t="shared" si="64"/>
        <v>0</v>
      </c>
      <c r="AY1367" s="46">
        <f t="shared" si="65"/>
        <v>0</v>
      </c>
      <c r="AZ1367" s="46">
        <f t="shared" si="66"/>
        <v>0</v>
      </c>
    </row>
    <row r="1368" spans="50:52">
      <c r="AX1368" s="46">
        <f t="shared" si="64"/>
        <v>0</v>
      </c>
      <c r="AY1368" s="46">
        <f t="shared" si="65"/>
        <v>0</v>
      </c>
      <c r="AZ1368" s="46">
        <f t="shared" si="66"/>
        <v>0</v>
      </c>
    </row>
    <row r="1369" spans="50:52">
      <c r="AX1369" s="46">
        <f t="shared" si="64"/>
        <v>0</v>
      </c>
      <c r="AY1369" s="46">
        <f t="shared" si="65"/>
        <v>0</v>
      </c>
      <c r="AZ1369" s="46">
        <f t="shared" si="66"/>
        <v>0</v>
      </c>
    </row>
    <row r="1370" spans="50:52">
      <c r="AX1370" s="46">
        <f t="shared" si="64"/>
        <v>0</v>
      </c>
      <c r="AY1370" s="46">
        <f t="shared" si="65"/>
        <v>0</v>
      </c>
      <c r="AZ1370" s="46">
        <f t="shared" si="66"/>
        <v>0</v>
      </c>
    </row>
    <row r="1371" spans="50:52">
      <c r="AX1371" s="46">
        <f t="shared" si="64"/>
        <v>0</v>
      </c>
      <c r="AY1371" s="46">
        <f t="shared" si="65"/>
        <v>0</v>
      </c>
      <c r="AZ1371" s="46">
        <f t="shared" si="66"/>
        <v>0</v>
      </c>
    </row>
    <row r="1372" spans="50:52">
      <c r="AX1372" s="46">
        <f t="shared" si="64"/>
        <v>0</v>
      </c>
      <c r="AY1372" s="46">
        <f t="shared" si="65"/>
        <v>0</v>
      </c>
      <c r="AZ1372" s="46">
        <f t="shared" si="66"/>
        <v>0</v>
      </c>
    </row>
    <row r="1373" spans="50:52">
      <c r="AX1373" s="46">
        <f t="shared" si="64"/>
        <v>0</v>
      </c>
      <c r="AY1373" s="46">
        <f t="shared" si="65"/>
        <v>0</v>
      </c>
      <c r="AZ1373" s="46">
        <f t="shared" si="66"/>
        <v>0</v>
      </c>
    </row>
    <row r="1374" spans="50:52">
      <c r="AX1374" s="46">
        <f t="shared" si="64"/>
        <v>0</v>
      </c>
      <c r="AY1374" s="46">
        <f t="shared" si="65"/>
        <v>0</v>
      </c>
      <c r="AZ1374" s="46">
        <f t="shared" si="66"/>
        <v>0</v>
      </c>
    </row>
    <row r="1375" spans="50:52">
      <c r="AX1375" s="46">
        <f t="shared" si="64"/>
        <v>0</v>
      </c>
      <c r="AY1375" s="46">
        <f t="shared" si="65"/>
        <v>0</v>
      </c>
      <c r="AZ1375" s="46">
        <f t="shared" si="66"/>
        <v>0</v>
      </c>
    </row>
    <row r="1376" spans="50:52">
      <c r="AX1376" s="46">
        <f t="shared" si="64"/>
        <v>0</v>
      </c>
      <c r="AY1376" s="46">
        <f t="shared" si="65"/>
        <v>0</v>
      </c>
      <c r="AZ1376" s="46">
        <f t="shared" si="66"/>
        <v>0</v>
      </c>
    </row>
    <row r="1377" spans="50:52">
      <c r="AX1377" s="46">
        <f t="shared" si="64"/>
        <v>0</v>
      </c>
      <c r="AY1377" s="46">
        <f t="shared" si="65"/>
        <v>0</v>
      </c>
      <c r="AZ1377" s="46">
        <f t="shared" si="66"/>
        <v>0</v>
      </c>
    </row>
    <row r="1378" spans="50:52">
      <c r="AX1378" s="46">
        <f t="shared" si="64"/>
        <v>0</v>
      </c>
      <c r="AY1378" s="46">
        <f t="shared" si="65"/>
        <v>0</v>
      </c>
      <c r="AZ1378" s="46">
        <f t="shared" si="66"/>
        <v>0</v>
      </c>
    </row>
    <row r="1379" spans="50:52">
      <c r="AX1379" s="46">
        <f t="shared" si="64"/>
        <v>0</v>
      </c>
      <c r="AY1379" s="46">
        <f t="shared" si="65"/>
        <v>0</v>
      </c>
      <c r="AZ1379" s="46">
        <f t="shared" si="66"/>
        <v>0</v>
      </c>
    </row>
    <row r="1380" spans="50:52">
      <c r="AX1380" s="46">
        <f t="shared" si="64"/>
        <v>0</v>
      </c>
      <c r="AY1380" s="46">
        <f t="shared" si="65"/>
        <v>0</v>
      </c>
      <c r="AZ1380" s="46">
        <f t="shared" si="66"/>
        <v>0</v>
      </c>
    </row>
    <row r="1381" spans="50:52">
      <c r="AX1381" s="46">
        <f t="shared" si="64"/>
        <v>0</v>
      </c>
      <c r="AY1381" s="46">
        <f t="shared" si="65"/>
        <v>0</v>
      </c>
      <c r="AZ1381" s="46">
        <f t="shared" si="66"/>
        <v>0</v>
      </c>
    </row>
    <row r="1382" spans="50:52">
      <c r="AX1382" s="46">
        <f t="shared" si="64"/>
        <v>0</v>
      </c>
      <c r="AY1382" s="46">
        <f t="shared" si="65"/>
        <v>0</v>
      </c>
      <c r="AZ1382" s="46">
        <f t="shared" si="66"/>
        <v>0</v>
      </c>
    </row>
    <row r="1383" spans="50:52">
      <c r="AX1383" s="46">
        <f t="shared" si="64"/>
        <v>0</v>
      </c>
      <c r="AY1383" s="46">
        <f t="shared" si="65"/>
        <v>0</v>
      </c>
      <c r="AZ1383" s="46">
        <f t="shared" si="66"/>
        <v>0</v>
      </c>
    </row>
    <row r="1384" spans="50:52">
      <c r="AX1384" s="46">
        <f t="shared" si="64"/>
        <v>0</v>
      </c>
      <c r="AY1384" s="46">
        <f t="shared" si="65"/>
        <v>0</v>
      </c>
      <c r="AZ1384" s="46">
        <f t="shared" si="66"/>
        <v>0</v>
      </c>
    </row>
    <row r="1385" spans="50:52">
      <c r="AX1385" s="46">
        <f t="shared" si="64"/>
        <v>0</v>
      </c>
      <c r="AY1385" s="46">
        <f t="shared" si="65"/>
        <v>0</v>
      </c>
      <c r="AZ1385" s="46">
        <f t="shared" si="66"/>
        <v>0</v>
      </c>
    </row>
    <row r="1386" spans="50:52">
      <c r="AX1386" s="46">
        <f t="shared" si="64"/>
        <v>0</v>
      </c>
      <c r="AY1386" s="46">
        <f t="shared" si="65"/>
        <v>0</v>
      </c>
      <c r="AZ1386" s="46">
        <f t="shared" si="66"/>
        <v>0</v>
      </c>
    </row>
    <row r="1387" spans="50:52">
      <c r="AX1387" s="46">
        <f t="shared" si="64"/>
        <v>0</v>
      </c>
      <c r="AY1387" s="46">
        <f t="shared" si="65"/>
        <v>0</v>
      </c>
      <c r="AZ1387" s="46">
        <f t="shared" si="66"/>
        <v>0</v>
      </c>
    </row>
    <row r="1388" spans="50:52">
      <c r="AX1388" s="46">
        <f t="shared" si="64"/>
        <v>0</v>
      </c>
      <c r="AY1388" s="46">
        <f t="shared" si="65"/>
        <v>0</v>
      </c>
      <c r="AZ1388" s="46">
        <f t="shared" si="66"/>
        <v>0</v>
      </c>
    </row>
    <row r="1389" spans="50:52">
      <c r="AX1389" s="46">
        <f t="shared" si="64"/>
        <v>0</v>
      </c>
      <c r="AY1389" s="46">
        <f t="shared" si="65"/>
        <v>0</v>
      </c>
      <c r="AZ1389" s="46">
        <f t="shared" si="66"/>
        <v>0</v>
      </c>
    </row>
    <row r="1390" spans="50:52">
      <c r="AX1390" s="46">
        <f t="shared" si="64"/>
        <v>0</v>
      </c>
      <c r="AY1390" s="46">
        <f t="shared" si="65"/>
        <v>0</v>
      </c>
      <c r="AZ1390" s="46">
        <f t="shared" si="66"/>
        <v>0</v>
      </c>
    </row>
    <row r="1391" spans="50:52">
      <c r="AX1391" s="46">
        <f t="shared" si="64"/>
        <v>0</v>
      </c>
      <c r="AY1391" s="46">
        <f t="shared" si="65"/>
        <v>0</v>
      </c>
      <c r="AZ1391" s="46">
        <f t="shared" si="66"/>
        <v>0</v>
      </c>
    </row>
    <row r="1392" spans="50:52">
      <c r="AX1392" s="46">
        <f t="shared" si="64"/>
        <v>0</v>
      </c>
      <c r="AY1392" s="46">
        <f t="shared" si="65"/>
        <v>0</v>
      </c>
      <c r="AZ1392" s="46">
        <f t="shared" si="66"/>
        <v>0</v>
      </c>
    </row>
    <row r="1393" spans="50:52">
      <c r="AX1393" s="46">
        <f t="shared" si="64"/>
        <v>0</v>
      </c>
      <c r="AY1393" s="46">
        <f t="shared" si="65"/>
        <v>0</v>
      </c>
      <c r="AZ1393" s="46">
        <f t="shared" si="66"/>
        <v>0</v>
      </c>
    </row>
    <row r="1394" spans="50:52">
      <c r="AX1394" s="46">
        <f t="shared" si="64"/>
        <v>0</v>
      </c>
      <c r="AY1394" s="46">
        <f t="shared" si="65"/>
        <v>0</v>
      </c>
      <c r="AZ1394" s="46">
        <f t="shared" si="66"/>
        <v>0</v>
      </c>
    </row>
    <row r="1395" spans="50:52">
      <c r="AX1395" s="46">
        <f t="shared" si="64"/>
        <v>0</v>
      </c>
      <c r="AY1395" s="46">
        <f t="shared" si="65"/>
        <v>0</v>
      </c>
      <c r="AZ1395" s="46">
        <f t="shared" si="66"/>
        <v>0</v>
      </c>
    </row>
    <row r="1396" spans="50:52">
      <c r="AX1396" s="46">
        <f t="shared" si="64"/>
        <v>0</v>
      </c>
      <c r="AY1396" s="46">
        <f t="shared" si="65"/>
        <v>0</v>
      </c>
      <c r="AZ1396" s="46">
        <f t="shared" si="66"/>
        <v>0</v>
      </c>
    </row>
    <row r="1397" spans="50:52">
      <c r="AX1397" s="46">
        <f t="shared" si="64"/>
        <v>0</v>
      </c>
      <c r="AY1397" s="46">
        <f t="shared" si="65"/>
        <v>0</v>
      </c>
      <c r="AZ1397" s="46">
        <f t="shared" si="66"/>
        <v>0</v>
      </c>
    </row>
    <row r="1398" spans="50:52">
      <c r="AX1398" s="46">
        <f t="shared" si="64"/>
        <v>0</v>
      </c>
      <c r="AY1398" s="46">
        <f t="shared" si="65"/>
        <v>0</v>
      </c>
      <c r="AZ1398" s="46">
        <f t="shared" si="66"/>
        <v>0</v>
      </c>
    </row>
    <row r="1399" spans="50:52">
      <c r="AX1399" s="46">
        <f t="shared" si="64"/>
        <v>0</v>
      </c>
      <c r="AY1399" s="46">
        <f t="shared" si="65"/>
        <v>0</v>
      </c>
      <c r="AZ1399" s="46">
        <f t="shared" si="66"/>
        <v>0</v>
      </c>
    </row>
    <row r="1400" spans="50:52">
      <c r="AX1400" s="46">
        <f t="shared" si="64"/>
        <v>0</v>
      </c>
      <c r="AY1400" s="46">
        <f t="shared" si="65"/>
        <v>0</v>
      </c>
      <c r="AZ1400" s="46">
        <f t="shared" si="66"/>
        <v>0</v>
      </c>
    </row>
    <row r="1401" spans="50:52">
      <c r="AX1401" s="46">
        <f t="shared" si="64"/>
        <v>0</v>
      </c>
      <c r="AY1401" s="46">
        <f t="shared" si="65"/>
        <v>0</v>
      </c>
      <c r="AZ1401" s="46">
        <f t="shared" si="66"/>
        <v>0</v>
      </c>
    </row>
    <row r="1402" spans="50:52">
      <c r="AX1402" s="46">
        <f t="shared" si="64"/>
        <v>0</v>
      </c>
      <c r="AY1402" s="46">
        <f t="shared" si="65"/>
        <v>0</v>
      </c>
      <c r="AZ1402" s="46">
        <f t="shared" si="66"/>
        <v>0</v>
      </c>
    </row>
    <row r="1403" spans="50:52">
      <c r="AX1403" s="46">
        <f t="shared" si="64"/>
        <v>0</v>
      </c>
      <c r="AY1403" s="46">
        <f t="shared" si="65"/>
        <v>0</v>
      </c>
      <c r="AZ1403" s="46">
        <f t="shared" si="66"/>
        <v>0</v>
      </c>
    </row>
    <row r="1404" spans="50:52">
      <c r="AX1404" s="46">
        <f t="shared" si="64"/>
        <v>0</v>
      </c>
      <c r="AY1404" s="46">
        <f t="shared" si="65"/>
        <v>0</v>
      </c>
      <c r="AZ1404" s="46">
        <f t="shared" si="66"/>
        <v>0</v>
      </c>
    </row>
    <row r="1405" spans="50:52">
      <c r="AX1405" s="46">
        <f t="shared" si="64"/>
        <v>0</v>
      </c>
      <c r="AY1405" s="46">
        <f t="shared" si="65"/>
        <v>0</v>
      </c>
      <c r="AZ1405" s="46">
        <f t="shared" si="66"/>
        <v>0</v>
      </c>
    </row>
    <row r="1406" spans="50:52">
      <c r="AX1406" s="46">
        <f t="shared" si="64"/>
        <v>0</v>
      </c>
      <c r="AY1406" s="46">
        <f t="shared" si="65"/>
        <v>0</v>
      </c>
      <c r="AZ1406" s="46">
        <f t="shared" si="66"/>
        <v>0</v>
      </c>
    </row>
    <row r="1407" spans="50:52">
      <c r="AX1407" s="46">
        <f t="shared" si="64"/>
        <v>0</v>
      </c>
      <c r="AY1407" s="46">
        <f t="shared" si="65"/>
        <v>0</v>
      </c>
      <c r="AZ1407" s="46">
        <f t="shared" si="66"/>
        <v>0</v>
      </c>
    </row>
    <row r="1408" spans="50:52">
      <c r="AX1408" s="46">
        <f t="shared" si="64"/>
        <v>0</v>
      </c>
      <c r="AY1408" s="46">
        <f t="shared" si="65"/>
        <v>0</v>
      </c>
      <c r="AZ1408" s="46">
        <f t="shared" si="66"/>
        <v>0</v>
      </c>
    </row>
    <row r="1409" spans="50:52">
      <c r="AX1409" s="46">
        <f t="shared" si="64"/>
        <v>0</v>
      </c>
      <c r="AY1409" s="46">
        <f t="shared" si="65"/>
        <v>0</v>
      </c>
      <c r="AZ1409" s="46">
        <f t="shared" si="66"/>
        <v>0</v>
      </c>
    </row>
    <row r="1410" spans="50:52">
      <c r="AX1410" s="46">
        <f t="shared" si="64"/>
        <v>0</v>
      </c>
      <c r="AY1410" s="46">
        <f t="shared" si="65"/>
        <v>0</v>
      </c>
      <c r="AZ1410" s="46">
        <f t="shared" si="66"/>
        <v>0</v>
      </c>
    </row>
    <row r="1411" spans="50:52">
      <c r="AX1411" s="46">
        <f t="shared" si="64"/>
        <v>0</v>
      </c>
      <c r="AY1411" s="46">
        <f t="shared" si="65"/>
        <v>0</v>
      </c>
      <c r="AZ1411" s="46">
        <f t="shared" si="66"/>
        <v>0</v>
      </c>
    </row>
    <row r="1412" spans="50:52">
      <c r="AX1412" s="46">
        <f t="shared" si="64"/>
        <v>0</v>
      </c>
      <c r="AY1412" s="46">
        <f t="shared" si="65"/>
        <v>0</v>
      </c>
      <c r="AZ1412" s="46">
        <f t="shared" si="66"/>
        <v>0</v>
      </c>
    </row>
    <row r="1413" spans="50:52">
      <c r="AX1413" s="46">
        <f t="shared" si="64"/>
        <v>0</v>
      </c>
      <c r="AY1413" s="46">
        <f t="shared" si="65"/>
        <v>0</v>
      </c>
      <c r="AZ1413" s="46">
        <f t="shared" si="66"/>
        <v>0</v>
      </c>
    </row>
    <row r="1414" spans="50:52">
      <c r="AX1414" s="46">
        <f t="shared" si="64"/>
        <v>0</v>
      </c>
      <c r="AY1414" s="46">
        <f t="shared" si="65"/>
        <v>0</v>
      </c>
      <c r="AZ1414" s="46">
        <f t="shared" si="66"/>
        <v>0</v>
      </c>
    </row>
    <row r="1415" spans="50:52">
      <c r="AX1415" s="46">
        <f t="shared" si="64"/>
        <v>0</v>
      </c>
      <c r="AY1415" s="46">
        <f t="shared" si="65"/>
        <v>0</v>
      </c>
      <c r="AZ1415" s="46">
        <f t="shared" si="66"/>
        <v>0</v>
      </c>
    </row>
    <row r="1416" spans="50:52">
      <c r="AX1416" s="46">
        <f t="shared" si="64"/>
        <v>0</v>
      </c>
      <c r="AY1416" s="46">
        <f t="shared" si="65"/>
        <v>0</v>
      </c>
      <c r="AZ1416" s="46">
        <f t="shared" si="66"/>
        <v>0</v>
      </c>
    </row>
    <row r="1417" spans="50:52">
      <c r="AX1417" s="46">
        <f t="shared" si="64"/>
        <v>0</v>
      </c>
      <c r="AY1417" s="46">
        <f t="shared" si="65"/>
        <v>0</v>
      </c>
      <c r="AZ1417" s="46">
        <f t="shared" si="66"/>
        <v>0</v>
      </c>
    </row>
    <row r="1418" spans="50:52">
      <c r="AX1418" s="46">
        <f t="shared" si="64"/>
        <v>0</v>
      </c>
      <c r="AY1418" s="46">
        <f t="shared" si="65"/>
        <v>0</v>
      </c>
      <c r="AZ1418" s="46">
        <f t="shared" si="66"/>
        <v>0</v>
      </c>
    </row>
    <row r="1419" spans="50:52">
      <c r="AX1419" s="46">
        <f t="shared" ref="AX1419:AX1482" si="67">IFERROR(SUM(Q1419:AS1419)-SUM(AT1419:AU1419)+AV1419,"-")</f>
        <v>0</v>
      </c>
      <c r="AY1419" s="46">
        <f t="shared" ref="AY1419:AY1482" si="68">IFERROR(SUM(Q1419:AS1419)-SUM(AT1419:AT1419),"-")</f>
        <v>0</v>
      </c>
      <c r="AZ1419" s="46">
        <f t="shared" ref="AZ1419:AZ1482" si="69">SUM(Q1419:AS1419)</f>
        <v>0</v>
      </c>
    </row>
    <row r="1420" spans="50:52">
      <c r="AX1420" s="46">
        <f t="shared" si="67"/>
        <v>0</v>
      </c>
      <c r="AY1420" s="46">
        <f t="shared" si="68"/>
        <v>0</v>
      </c>
      <c r="AZ1420" s="46">
        <f t="shared" si="69"/>
        <v>0</v>
      </c>
    </row>
    <row r="1421" spans="50:52">
      <c r="AX1421" s="46">
        <f t="shared" si="67"/>
        <v>0</v>
      </c>
      <c r="AY1421" s="46">
        <f t="shared" si="68"/>
        <v>0</v>
      </c>
      <c r="AZ1421" s="46">
        <f t="shared" si="69"/>
        <v>0</v>
      </c>
    </row>
    <row r="1422" spans="50:52">
      <c r="AX1422" s="46">
        <f t="shared" si="67"/>
        <v>0</v>
      </c>
      <c r="AY1422" s="46">
        <f t="shared" si="68"/>
        <v>0</v>
      </c>
      <c r="AZ1422" s="46">
        <f t="shared" si="69"/>
        <v>0</v>
      </c>
    </row>
    <row r="1423" spans="50:52">
      <c r="AX1423" s="46">
        <f t="shared" si="67"/>
        <v>0</v>
      </c>
      <c r="AY1423" s="46">
        <f t="shared" si="68"/>
        <v>0</v>
      </c>
      <c r="AZ1423" s="46">
        <f t="shared" si="69"/>
        <v>0</v>
      </c>
    </row>
    <row r="1424" spans="50:52">
      <c r="AX1424" s="46">
        <f t="shared" si="67"/>
        <v>0</v>
      </c>
      <c r="AY1424" s="46">
        <f t="shared" si="68"/>
        <v>0</v>
      </c>
      <c r="AZ1424" s="46">
        <f t="shared" si="69"/>
        <v>0</v>
      </c>
    </row>
    <row r="1425" spans="50:52">
      <c r="AX1425" s="46">
        <f t="shared" si="67"/>
        <v>0</v>
      </c>
      <c r="AY1425" s="46">
        <f t="shared" si="68"/>
        <v>0</v>
      </c>
      <c r="AZ1425" s="46">
        <f t="shared" si="69"/>
        <v>0</v>
      </c>
    </row>
    <row r="1426" spans="50:52">
      <c r="AX1426" s="46">
        <f t="shared" si="67"/>
        <v>0</v>
      </c>
      <c r="AY1426" s="46">
        <f t="shared" si="68"/>
        <v>0</v>
      </c>
      <c r="AZ1426" s="46">
        <f t="shared" si="69"/>
        <v>0</v>
      </c>
    </row>
    <row r="1427" spans="50:52">
      <c r="AX1427" s="46">
        <f t="shared" si="67"/>
        <v>0</v>
      </c>
      <c r="AY1427" s="46">
        <f t="shared" si="68"/>
        <v>0</v>
      </c>
      <c r="AZ1427" s="46">
        <f t="shared" si="69"/>
        <v>0</v>
      </c>
    </row>
    <row r="1428" spans="50:52">
      <c r="AX1428" s="46">
        <f t="shared" si="67"/>
        <v>0</v>
      </c>
      <c r="AY1428" s="46">
        <f t="shared" si="68"/>
        <v>0</v>
      </c>
      <c r="AZ1428" s="46">
        <f t="shared" si="69"/>
        <v>0</v>
      </c>
    </row>
    <row r="1429" spans="50:52">
      <c r="AX1429" s="46">
        <f t="shared" si="67"/>
        <v>0</v>
      </c>
      <c r="AY1429" s="46">
        <f t="shared" si="68"/>
        <v>0</v>
      </c>
      <c r="AZ1429" s="46">
        <f t="shared" si="69"/>
        <v>0</v>
      </c>
    </row>
    <row r="1430" spans="50:52">
      <c r="AX1430" s="46">
        <f t="shared" si="67"/>
        <v>0</v>
      </c>
      <c r="AY1430" s="46">
        <f t="shared" si="68"/>
        <v>0</v>
      </c>
      <c r="AZ1430" s="46">
        <f t="shared" si="69"/>
        <v>0</v>
      </c>
    </row>
    <row r="1431" spans="50:52">
      <c r="AX1431" s="46">
        <f t="shared" si="67"/>
        <v>0</v>
      </c>
      <c r="AY1431" s="46">
        <f t="shared" si="68"/>
        <v>0</v>
      </c>
      <c r="AZ1431" s="46">
        <f t="shared" si="69"/>
        <v>0</v>
      </c>
    </row>
    <row r="1432" spans="50:52">
      <c r="AX1432" s="46">
        <f t="shared" si="67"/>
        <v>0</v>
      </c>
      <c r="AY1432" s="46">
        <f t="shared" si="68"/>
        <v>0</v>
      </c>
      <c r="AZ1432" s="46">
        <f t="shared" si="69"/>
        <v>0</v>
      </c>
    </row>
    <row r="1433" spans="50:52">
      <c r="AX1433" s="46">
        <f t="shared" si="67"/>
        <v>0</v>
      </c>
      <c r="AY1433" s="46">
        <f t="shared" si="68"/>
        <v>0</v>
      </c>
      <c r="AZ1433" s="46">
        <f t="shared" si="69"/>
        <v>0</v>
      </c>
    </row>
    <row r="1434" spans="50:52">
      <c r="AX1434" s="46">
        <f t="shared" si="67"/>
        <v>0</v>
      </c>
      <c r="AY1434" s="46">
        <f t="shared" si="68"/>
        <v>0</v>
      </c>
      <c r="AZ1434" s="46">
        <f t="shared" si="69"/>
        <v>0</v>
      </c>
    </row>
    <row r="1435" spans="50:52">
      <c r="AX1435" s="46">
        <f t="shared" si="67"/>
        <v>0</v>
      </c>
      <c r="AY1435" s="46">
        <f t="shared" si="68"/>
        <v>0</v>
      </c>
      <c r="AZ1435" s="46">
        <f t="shared" si="69"/>
        <v>0</v>
      </c>
    </row>
    <row r="1436" spans="50:52">
      <c r="AX1436" s="46">
        <f t="shared" si="67"/>
        <v>0</v>
      </c>
      <c r="AY1436" s="46">
        <f t="shared" si="68"/>
        <v>0</v>
      </c>
      <c r="AZ1436" s="46">
        <f t="shared" si="69"/>
        <v>0</v>
      </c>
    </row>
    <row r="1437" spans="50:52">
      <c r="AX1437" s="46">
        <f t="shared" si="67"/>
        <v>0</v>
      </c>
      <c r="AY1437" s="46">
        <f t="shared" si="68"/>
        <v>0</v>
      </c>
      <c r="AZ1437" s="46">
        <f t="shared" si="69"/>
        <v>0</v>
      </c>
    </row>
    <row r="1438" spans="50:52">
      <c r="AX1438" s="46">
        <f t="shared" si="67"/>
        <v>0</v>
      </c>
      <c r="AY1438" s="46">
        <f t="shared" si="68"/>
        <v>0</v>
      </c>
      <c r="AZ1438" s="46">
        <f t="shared" si="69"/>
        <v>0</v>
      </c>
    </row>
    <row r="1439" spans="50:52">
      <c r="AX1439" s="46">
        <f t="shared" si="67"/>
        <v>0</v>
      </c>
      <c r="AY1439" s="46">
        <f t="shared" si="68"/>
        <v>0</v>
      </c>
      <c r="AZ1439" s="46">
        <f t="shared" si="69"/>
        <v>0</v>
      </c>
    </row>
    <row r="1440" spans="50:52">
      <c r="AX1440" s="46">
        <f t="shared" si="67"/>
        <v>0</v>
      </c>
      <c r="AY1440" s="46">
        <f t="shared" si="68"/>
        <v>0</v>
      </c>
      <c r="AZ1440" s="46">
        <f t="shared" si="69"/>
        <v>0</v>
      </c>
    </row>
    <row r="1441" spans="50:52">
      <c r="AX1441" s="46">
        <f t="shared" si="67"/>
        <v>0</v>
      </c>
      <c r="AY1441" s="46">
        <f t="shared" si="68"/>
        <v>0</v>
      </c>
      <c r="AZ1441" s="46">
        <f t="shared" si="69"/>
        <v>0</v>
      </c>
    </row>
    <row r="1442" spans="50:52">
      <c r="AX1442" s="46">
        <f t="shared" si="67"/>
        <v>0</v>
      </c>
      <c r="AY1442" s="46">
        <f t="shared" si="68"/>
        <v>0</v>
      </c>
      <c r="AZ1442" s="46">
        <f t="shared" si="69"/>
        <v>0</v>
      </c>
    </row>
    <row r="1443" spans="50:52">
      <c r="AX1443" s="46">
        <f t="shared" si="67"/>
        <v>0</v>
      </c>
      <c r="AY1443" s="46">
        <f t="shared" si="68"/>
        <v>0</v>
      </c>
      <c r="AZ1443" s="46">
        <f t="shared" si="69"/>
        <v>0</v>
      </c>
    </row>
    <row r="1444" spans="50:52">
      <c r="AX1444" s="46">
        <f t="shared" si="67"/>
        <v>0</v>
      </c>
      <c r="AY1444" s="46">
        <f t="shared" si="68"/>
        <v>0</v>
      </c>
      <c r="AZ1444" s="46">
        <f t="shared" si="69"/>
        <v>0</v>
      </c>
    </row>
    <row r="1445" spans="50:52">
      <c r="AX1445" s="46">
        <f t="shared" si="67"/>
        <v>0</v>
      </c>
      <c r="AY1445" s="46">
        <f t="shared" si="68"/>
        <v>0</v>
      </c>
      <c r="AZ1445" s="46">
        <f t="shared" si="69"/>
        <v>0</v>
      </c>
    </row>
    <row r="1446" spans="50:52">
      <c r="AX1446" s="46">
        <f t="shared" si="67"/>
        <v>0</v>
      </c>
      <c r="AY1446" s="46">
        <f t="shared" si="68"/>
        <v>0</v>
      </c>
      <c r="AZ1446" s="46">
        <f t="shared" si="69"/>
        <v>0</v>
      </c>
    </row>
    <row r="1447" spans="50:52">
      <c r="AX1447" s="46">
        <f t="shared" si="67"/>
        <v>0</v>
      </c>
      <c r="AY1447" s="46">
        <f t="shared" si="68"/>
        <v>0</v>
      </c>
      <c r="AZ1447" s="46">
        <f t="shared" si="69"/>
        <v>0</v>
      </c>
    </row>
    <row r="1448" spans="50:52">
      <c r="AX1448" s="46">
        <f t="shared" si="67"/>
        <v>0</v>
      </c>
      <c r="AY1448" s="46">
        <f t="shared" si="68"/>
        <v>0</v>
      </c>
      <c r="AZ1448" s="46">
        <f t="shared" si="69"/>
        <v>0</v>
      </c>
    </row>
    <row r="1449" spans="50:52">
      <c r="AX1449" s="46">
        <f t="shared" si="67"/>
        <v>0</v>
      </c>
      <c r="AY1449" s="46">
        <f t="shared" si="68"/>
        <v>0</v>
      </c>
      <c r="AZ1449" s="46">
        <f t="shared" si="69"/>
        <v>0</v>
      </c>
    </row>
    <row r="1450" spans="50:52">
      <c r="AX1450" s="46">
        <f t="shared" si="67"/>
        <v>0</v>
      </c>
      <c r="AY1450" s="46">
        <f t="shared" si="68"/>
        <v>0</v>
      </c>
      <c r="AZ1450" s="46">
        <f t="shared" si="69"/>
        <v>0</v>
      </c>
    </row>
    <row r="1451" spans="50:52">
      <c r="AX1451" s="46">
        <f t="shared" si="67"/>
        <v>0</v>
      </c>
      <c r="AY1451" s="46">
        <f t="shared" si="68"/>
        <v>0</v>
      </c>
      <c r="AZ1451" s="46">
        <f t="shared" si="69"/>
        <v>0</v>
      </c>
    </row>
    <row r="1452" spans="50:52">
      <c r="AX1452" s="46">
        <f t="shared" si="67"/>
        <v>0</v>
      </c>
      <c r="AY1452" s="46">
        <f t="shared" si="68"/>
        <v>0</v>
      </c>
      <c r="AZ1452" s="46">
        <f t="shared" si="69"/>
        <v>0</v>
      </c>
    </row>
    <row r="1453" spans="50:52">
      <c r="AX1453" s="46">
        <f t="shared" si="67"/>
        <v>0</v>
      </c>
      <c r="AY1453" s="46">
        <f t="shared" si="68"/>
        <v>0</v>
      </c>
      <c r="AZ1453" s="46">
        <f t="shared" si="69"/>
        <v>0</v>
      </c>
    </row>
    <row r="1454" spans="50:52">
      <c r="AX1454" s="46">
        <f t="shared" si="67"/>
        <v>0</v>
      </c>
      <c r="AY1454" s="46">
        <f t="shared" si="68"/>
        <v>0</v>
      </c>
      <c r="AZ1454" s="46">
        <f t="shared" si="69"/>
        <v>0</v>
      </c>
    </row>
    <row r="1455" spans="50:52">
      <c r="AX1455" s="46">
        <f t="shared" si="67"/>
        <v>0</v>
      </c>
      <c r="AY1455" s="46">
        <f t="shared" si="68"/>
        <v>0</v>
      </c>
      <c r="AZ1455" s="46">
        <f t="shared" si="69"/>
        <v>0</v>
      </c>
    </row>
    <row r="1456" spans="50:52">
      <c r="AX1456" s="46">
        <f t="shared" si="67"/>
        <v>0</v>
      </c>
      <c r="AY1456" s="46">
        <f t="shared" si="68"/>
        <v>0</v>
      </c>
      <c r="AZ1456" s="46">
        <f t="shared" si="69"/>
        <v>0</v>
      </c>
    </row>
    <row r="1457" spans="50:52">
      <c r="AX1457" s="46">
        <f t="shared" si="67"/>
        <v>0</v>
      </c>
      <c r="AY1457" s="46">
        <f t="shared" si="68"/>
        <v>0</v>
      </c>
      <c r="AZ1457" s="46">
        <f t="shared" si="69"/>
        <v>0</v>
      </c>
    </row>
    <row r="1458" spans="50:52">
      <c r="AX1458" s="46">
        <f t="shared" si="67"/>
        <v>0</v>
      </c>
      <c r="AY1458" s="46">
        <f t="shared" si="68"/>
        <v>0</v>
      </c>
      <c r="AZ1458" s="46">
        <f t="shared" si="69"/>
        <v>0</v>
      </c>
    </row>
    <row r="1459" spans="50:52">
      <c r="AX1459" s="46">
        <f t="shared" si="67"/>
        <v>0</v>
      </c>
      <c r="AY1459" s="46">
        <f t="shared" si="68"/>
        <v>0</v>
      </c>
      <c r="AZ1459" s="46">
        <f t="shared" si="69"/>
        <v>0</v>
      </c>
    </row>
    <row r="1460" spans="50:52">
      <c r="AX1460" s="46">
        <f t="shared" si="67"/>
        <v>0</v>
      </c>
      <c r="AY1460" s="46">
        <f t="shared" si="68"/>
        <v>0</v>
      </c>
      <c r="AZ1460" s="46">
        <f t="shared" si="69"/>
        <v>0</v>
      </c>
    </row>
    <row r="1461" spans="50:52">
      <c r="AX1461" s="46">
        <f t="shared" si="67"/>
        <v>0</v>
      </c>
      <c r="AY1461" s="46">
        <f t="shared" si="68"/>
        <v>0</v>
      </c>
      <c r="AZ1461" s="46">
        <f t="shared" si="69"/>
        <v>0</v>
      </c>
    </row>
    <row r="1462" spans="50:52">
      <c r="AX1462" s="46">
        <f t="shared" si="67"/>
        <v>0</v>
      </c>
      <c r="AY1462" s="46">
        <f t="shared" si="68"/>
        <v>0</v>
      </c>
      <c r="AZ1462" s="46">
        <f t="shared" si="69"/>
        <v>0</v>
      </c>
    </row>
    <row r="1463" spans="50:52">
      <c r="AX1463" s="46">
        <f t="shared" si="67"/>
        <v>0</v>
      </c>
      <c r="AY1463" s="46">
        <f t="shared" si="68"/>
        <v>0</v>
      </c>
      <c r="AZ1463" s="46">
        <f t="shared" si="69"/>
        <v>0</v>
      </c>
    </row>
    <row r="1464" spans="50:52">
      <c r="AX1464" s="46">
        <f t="shared" si="67"/>
        <v>0</v>
      </c>
      <c r="AY1464" s="46">
        <f t="shared" si="68"/>
        <v>0</v>
      </c>
      <c r="AZ1464" s="46">
        <f t="shared" si="69"/>
        <v>0</v>
      </c>
    </row>
    <row r="1465" spans="50:52">
      <c r="AX1465" s="46">
        <f t="shared" si="67"/>
        <v>0</v>
      </c>
      <c r="AY1465" s="46">
        <f t="shared" si="68"/>
        <v>0</v>
      </c>
      <c r="AZ1465" s="46">
        <f t="shared" si="69"/>
        <v>0</v>
      </c>
    </row>
    <row r="1466" spans="50:52">
      <c r="AX1466" s="46">
        <f t="shared" si="67"/>
        <v>0</v>
      </c>
      <c r="AY1466" s="46">
        <f t="shared" si="68"/>
        <v>0</v>
      </c>
      <c r="AZ1466" s="46">
        <f t="shared" si="69"/>
        <v>0</v>
      </c>
    </row>
    <row r="1467" spans="50:52">
      <c r="AX1467" s="46">
        <f t="shared" si="67"/>
        <v>0</v>
      </c>
      <c r="AY1467" s="46">
        <f t="shared" si="68"/>
        <v>0</v>
      </c>
      <c r="AZ1467" s="46">
        <f t="shared" si="69"/>
        <v>0</v>
      </c>
    </row>
    <row r="1468" spans="50:52">
      <c r="AX1468" s="46">
        <f t="shared" si="67"/>
        <v>0</v>
      </c>
      <c r="AY1468" s="46">
        <f t="shared" si="68"/>
        <v>0</v>
      </c>
      <c r="AZ1468" s="46">
        <f t="shared" si="69"/>
        <v>0</v>
      </c>
    </row>
    <row r="1469" spans="50:52">
      <c r="AX1469" s="46">
        <f t="shared" si="67"/>
        <v>0</v>
      </c>
      <c r="AY1469" s="46">
        <f t="shared" si="68"/>
        <v>0</v>
      </c>
      <c r="AZ1469" s="46">
        <f t="shared" si="69"/>
        <v>0</v>
      </c>
    </row>
    <row r="1470" spans="50:52">
      <c r="AX1470" s="46">
        <f t="shared" si="67"/>
        <v>0</v>
      </c>
      <c r="AY1470" s="46">
        <f t="shared" si="68"/>
        <v>0</v>
      </c>
      <c r="AZ1470" s="46">
        <f t="shared" si="69"/>
        <v>0</v>
      </c>
    </row>
    <row r="1471" spans="50:52">
      <c r="AX1471" s="46">
        <f t="shared" si="67"/>
        <v>0</v>
      </c>
      <c r="AY1471" s="46">
        <f t="shared" si="68"/>
        <v>0</v>
      </c>
      <c r="AZ1471" s="46">
        <f t="shared" si="69"/>
        <v>0</v>
      </c>
    </row>
    <row r="1472" spans="50:52">
      <c r="AX1472" s="46">
        <f t="shared" si="67"/>
        <v>0</v>
      </c>
      <c r="AY1472" s="46">
        <f t="shared" si="68"/>
        <v>0</v>
      </c>
      <c r="AZ1472" s="46">
        <f t="shared" si="69"/>
        <v>0</v>
      </c>
    </row>
    <row r="1473" spans="50:52">
      <c r="AX1473" s="46">
        <f t="shared" si="67"/>
        <v>0</v>
      </c>
      <c r="AY1473" s="46">
        <f t="shared" si="68"/>
        <v>0</v>
      </c>
      <c r="AZ1473" s="46">
        <f t="shared" si="69"/>
        <v>0</v>
      </c>
    </row>
    <row r="1474" spans="50:52">
      <c r="AX1474" s="46">
        <f t="shared" si="67"/>
        <v>0</v>
      </c>
      <c r="AY1474" s="46">
        <f t="shared" si="68"/>
        <v>0</v>
      </c>
      <c r="AZ1474" s="46">
        <f t="shared" si="69"/>
        <v>0</v>
      </c>
    </row>
    <row r="1475" spans="50:52">
      <c r="AX1475" s="46">
        <f t="shared" si="67"/>
        <v>0</v>
      </c>
      <c r="AY1475" s="46">
        <f t="shared" si="68"/>
        <v>0</v>
      </c>
      <c r="AZ1475" s="46">
        <f t="shared" si="69"/>
        <v>0</v>
      </c>
    </row>
    <row r="1476" spans="50:52">
      <c r="AX1476" s="46">
        <f t="shared" si="67"/>
        <v>0</v>
      </c>
      <c r="AY1476" s="46">
        <f t="shared" si="68"/>
        <v>0</v>
      </c>
      <c r="AZ1476" s="46">
        <f t="shared" si="69"/>
        <v>0</v>
      </c>
    </row>
    <row r="1477" spans="50:52">
      <c r="AX1477" s="46">
        <f t="shared" si="67"/>
        <v>0</v>
      </c>
      <c r="AY1477" s="46">
        <f t="shared" si="68"/>
        <v>0</v>
      </c>
      <c r="AZ1477" s="46">
        <f t="shared" si="69"/>
        <v>0</v>
      </c>
    </row>
    <row r="1478" spans="50:52">
      <c r="AX1478" s="46">
        <f t="shared" si="67"/>
        <v>0</v>
      </c>
      <c r="AY1478" s="46">
        <f t="shared" si="68"/>
        <v>0</v>
      </c>
      <c r="AZ1478" s="46">
        <f t="shared" si="69"/>
        <v>0</v>
      </c>
    </row>
    <row r="1479" spans="50:52">
      <c r="AX1479" s="46">
        <f t="shared" si="67"/>
        <v>0</v>
      </c>
      <c r="AY1479" s="46">
        <f t="shared" si="68"/>
        <v>0</v>
      </c>
      <c r="AZ1479" s="46">
        <f t="shared" si="69"/>
        <v>0</v>
      </c>
    </row>
    <row r="1480" spans="50:52">
      <c r="AX1480" s="46">
        <f t="shared" si="67"/>
        <v>0</v>
      </c>
      <c r="AY1480" s="46">
        <f t="shared" si="68"/>
        <v>0</v>
      </c>
      <c r="AZ1480" s="46">
        <f t="shared" si="69"/>
        <v>0</v>
      </c>
    </row>
    <row r="1481" spans="50:52">
      <c r="AX1481" s="46">
        <f t="shared" si="67"/>
        <v>0</v>
      </c>
      <c r="AY1481" s="46">
        <f t="shared" si="68"/>
        <v>0</v>
      </c>
      <c r="AZ1481" s="46">
        <f t="shared" si="69"/>
        <v>0</v>
      </c>
    </row>
    <row r="1482" spans="50:52">
      <c r="AX1482" s="46">
        <f t="shared" si="67"/>
        <v>0</v>
      </c>
      <c r="AY1482" s="46">
        <f t="shared" si="68"/>
        <v>0</v>
      </c>
      <c r="AZ1482" s="46">
        <f t="shared" si="69"/>
        <v>0</v>
      </c>
    </row>
    <row r="1483" spans="50:52">
      <c r="AX1483" s="46">
        <f t="shared" ref="AX1483:AX1546" si="70">IFERROR(SUM(Q1483:AS1483)-SUM(AT1483:AU1483)+AV1483,"-")</f>
        <v>0</v>
      </c>
      <c r="AY1483" s="46">
        <f t="shared" ref="AY1483:AY1546" si="71">IFERROR(SUM(Q1483:AS1483)-SUM(AT1483:AT1483),"-")</f>
        <v>0</v>
      </c>
      <c r="AZ1483" s="46">
        <f t="shared" ref="AZ1483:AZ1546" si="72">SUM(Q1483:AS1483)</f>
        <v>0</v>
      </c>
    </row>
    <row r="1484" spans="50:52">
      <c r="AX1484" s="46">
        <f t="shared" si="70"/>
        <v>0</v>
      </c>
      <c r="AY1484" s="46">
        <f t="shared" si="71"/>
        <v>0</v>
      </c>
      <c r="AZ1484" s="46">
        <f t="shared" si="72"/>
        <v>0</v>
      </c>
    </row>
    <row r="1485" spans="50:52">
      <c r="AX1485" s="46">
        <f t="shared" si="70"/>
        <v>0</v>
      </c>
      <c r="AY1485" s="46">
        <f t="shared" si="71"/>
        <v>0</v>
      </c>
      <c r="AZ1485" s="46">
        <f t="shared" si="72"/>
        <v>0</v>
      </c>
    </row>
    <row r="1486" spans="50:52">
      <c r="AX1486" s="46">
        <f t="shared" si="70"/>
        <v>0</v>
      </c>
      <c r="AY1486" s="46">
        <f t="shared" si="71"/>
        <v>0</v>
      </c>
      <c r="AZ1486" s="46">
        <f t="shared" si="72"/>
        <v>0</v>
      </c>
    </row>
    <row r="1487" spans="50:52">
      <c r="AX1487" s="46">
        <f t="shared" si="70"/>
        <v>0</v>
      </c>
      <c r="AY1487" s="46">
        <f t="shared" si="71"/>
        <v>0</v>
      </c>
      <c r="AZ1487" s="46">
        <f t="shared" si="72"/>
        <v>0</v>
      </c>
    </row>
    <row r="1488" spans="50:52">
      <c r="AX1488" s="46">
        <f t="shared" si="70"/>
        <v>0</v>
      </c>
      <c r="AY1488" s="46">
        <f t="shared" si="71"/>
        <v>0</v>
      </c>
      <c r="AZ1488" s="46">
        <f t="shared" si="72"/>
        <v>0</v>
      </c>
    </row>
    <row r="1489" spans="50:52">
      <c r="AX1489" s="46">
        <f t="shared" si="70"/>
        <v>0</v>
      </c>
      <c r="AY1489" s="46">
        <f t="shared" si="71"/>
        <v>0</v>
      </c>
      <c r="AZ1489" s="46">
        <f t="shared" si="72"/>
        <v>0</v>
      </c>
    </row>
    <row r="1490" spans="50:52">
      <c r="AX1490" s="46">
        <f t="shared" si="70"/>
        <v>0</v>
      </c>
      <c r="AY1490" s="46">
        <f t="shared" si="71"/>
        <v>0</v>
      </c>
      <c r="AZ1490" s="46">
        <f t="shared" si="72"/>
        <v>0</v>
      </c>
    </row>
    <row r="1491" spans="50:52">
      <c r="AX1491" s="46">
        <f t="shared" si="70"/>
        <v>0</v>
      </c>
      <c r="AY1491" s="46">
        <f t="shared" si="71"/>
        <v>0</v>
      </c>
      <c r="AZ1491" s="46">
        <f t="shared" si="72"/>
        <v>0</v>
      </c>
    </row>
    <row r="1492" spans="50:52">
      <c r="AX1492" s="46">
        <f t="shared" si="70"/>
        <v>0</v>
      </c>
      <c r="AY1492" s="46">
        <f t="shared" si="71"/>
        <v>0</v>
      </c>
      <c r="AZ1492" s="46">
        <f t="shared" si="72"/>
        <v>0</v>
      </c>
    </row>
    <row r="1493" spans="50:52">
      <c r="AX1493" s="46">
        <f t="shared" si="70"/>
        <v>0</v>
      </c>
      <c r="AY1493" s="46">
        <f t="shared" si="71"/>
        <v>0</v>
      </c>
      <c r="AZ1493" s="46">
        <f t="shared" si="72"/>
        <v>0</v>
      </c>
    </row>
    <row r="1494" spans="50:52">
      <c r="AX1494" s="46">
        <f t="shared" si="70"/>
        <v>0</v>
      </c>
      <c r="AY1494" s="46">
        <f t="shared" si="71"/>
        <v>0</v>
      </c>
      <c r="AZ1494" s="46">
        <f t="shared" si="72"/>
        <v>0</v>
      </c>
    </row>
    <row r="1495" spans="50:52">
      <c r="AX1495" s="46">
        <f t="shared" si="70"/>
        <v>0</v>
      </c>
      <c r="AY1495" s="46">
        <f t="shared" si="71"/>
        <v>0</v>
      </c>
      <c r="AZ1495" s="46">
        <f t="shared" si="72"/>
        <v>0</v>
      </c>
    </row>
    <row r="1496" spans="50:52">
      <c r="AX1496" s="46">
        <f t="shared" si="70"/>
        <v>0</v>
      </c>
      <c r="AY1496" s="46">
        <f t="shared" si="71"/>
        <v>0</v>
      </c>
      <c r="AZ1496" s="46">
        <f t="shared" si="72"/>
        <v>0</v>
      </c>
    </row>
    <row r="1497" spans="50:52">
      <c r="AX1497" s="46">
        <f t="shared" si="70"/>
        <v>0</v>
      </c>
      <c r="AY1497" s="46">
        <f t="shared" si="71"/>
        <v>0</v>
      </c>
      <c r="AZ1497" s="46">
        <f t="shared" si="72"/>
        <v>0</v>
      </c>
    </row>
    <row r="1498" spans="50:52">
      <c r="AX1498" s="46">
        <f t="shared" si="70"/>
        <v>0</v>
      </c>
      <c r="AY1498" s="46">
        <f t="shared" si="71"/>
        <v>0</v>
      </c>
      <c r="AZ1498" s="46">
        <f t="shared" si="72"/>
        <v>0</v>
      </c>
    </row>
    <row r="1499" spans="50:52">
      <c r="AX1499" s="46">
        <f t="shared" si="70"/>
        <v>0</v>
      </c>
      <c r="AY1499" s="46">
        <f t="shared" si="71"/>
        <v>0</v>
      </c>
      <c r="AZ1499" s="46">
        <f t="shared" si="72"/>
        <v>0</v>
      </c>
    </row>
    <row r="1500" spans="50:52">
      <c r="AX1500" s="46">
        <f t="shared" si="70"/>
        <v>0</v>
      </c>
      <c r="AY1500" s="46">
        <f t="shared" si="71"/>
        <v>0</v>
      </c>
      <c r="AZ1500" s="46">
        <f t="shared" si="72"/>
        <v>0</v>
      </c>
    </row>
    <row r="1501" spans="50:52">
      <c r="AX1501" s="46">
        <f t="shared" si="70"/>
        <v>0</v>
      </c>
      <c r="AY1501" s="46">
        <f t="shared" si="71"/>
        <v>0</v>
      </c>
      <c r="AZ1501" s="46">
        <f t="shared" si="72"/>
        <v>0</v>
      </c>
    </row>
    <row r="1502" spans="50:52">
      <c r="AX1502" s="46">
        <f t="shared" si="70"/>
        <v>0</v>
      </c>
      <c r="AY1502" s="46">
        <f t="shared" si="71"/>
        <v>0</v>
      </c>
      <c r="AZ1502" s="46">
        <f t="shared" si="72"/>
        <v>0</v>
      </c>
    </row>
    <row r="1503" spans="50:52">
      <c r="AX1503" s="46">
        <f t="shared" si="70"/>
        <v>0</v>
      </c>
      <c r="AY1503" s="46">
        <f t="shared" si="71"/>
        <v>0</v>
      </c>
      <c r="AZ1503" s="46">
        <f t="shared" si="72"/>
        <v>0</v>
      </c>
    </row>
    <row r="1504" spans="50:52">
      <c r="AX1504" s="46">
        <f t="shared" si="70"/>
        <v>0</v>
      </c>
      <c r="AY1504" s="46">
        <f t="shared" si="71"/>
        <v>0</v>
      </c>
      <c r="AZ1504" s="46">
        <f t="shared" si="72"/>
        <v>0</v>
      </c>
    </row>
    <row r="1505" spans="50:52">
      <c r="AX1505" s="46">
        <f t="shared" si="70"/>
        <v>0</v>
      </c>
      <c r="AY1505" s="46">
        <f t="shared" si="71"/>
        <v>0</v>
      </c>
      <c r="AZ1505" s="46">
        <f t="shared" si="72"/>
        <v>0</v>
      </c>
    </row>
    <row r="1506" spans="50:52">
      <c r="AX1506" s="46">
        <f t="shared" si="70"/>
        <v>0</v>
      </c>
      <c r="AY1506" s="46">
        <f t="shared" si="71"/>
        <v>0</v>
      </c>
      <c r="AZ1506" s="46">
        <f t="shared" si="72"/>
        <v>0</v>
      </c>
    </row>
    <row r="1507" spans="50:52">
      <c r="AX1507" s="46">
        <f t="shared" si="70"/>
        <v>0</v>
      </c>
      <c r="AY1507" s="46">
        <f t="shared" si="71"/>
        <v>0</v>
      </c>
      <c r="AZ1507" s="46">
        <f t="shared" si="72"/>
        <v>0</v>
      </c>
    </row>
    <row r="1508" spans="50:52">
      <c r="AX1508" s="46">
        <f t="shared" si="70"/>
        <v>0</v>
      </c>
      <c r="AY1508" s="46">
        <f t="shared" si="71"/>
        <v>0</v>
      </c>
      <c r="AZ1508" s="46">
        <f t="shared" si="72"/>
        <v>0</v>
      </c>
    </row>
    <row r="1509" spans="50:52">
      <c r="AX1509" s="46">
        <f t="shared" si="70"/>
        <v>0</v>
      </c>
      <c r="AY1509" s="46">
        <f t="shared" si="71"/>
        <v>0</v>
      </c>
      <c r="AZ1509" s="46">
        <f t="shared" si="72"/>
        <v>0</v>
      </c>
    </row>
    <row r="1510" spans="50:52">
      <c r="AX1510" s="46">
        <f t="shared" si="70"/>
        <v>0</v>
      </c>
      <c r="AY1510" s="46">
        <f t="shared" si="71"/>
        <v>0</v>
      </c>
      <c r="AZ1510" s="46">
        <f t="shared" si="72"/>
        <v>0</v>
      </c>
    </row>
    <row r="1511" spans="50:52">
      <c r="AX1511" s="46">
        <f t="shared" si="70"/>
        <v>0</v>
      </c>
      <c r="AY1511" s="46">
        <f t="shared" si="71"/>
        <v>0</v>
      </c>
      <c r="AZ1511" s="46">
        <f t="shared" si="72"/>
        <v>0</v>
      </c>
    </row>
    <row r="1512" spans="50:52">
      <c r="AX1512" s="46">
        <f t="shared" si="70"/>
        <v>0</v>
      </c>
      <c r="AY1512" s="46">
        <f t="shared" si="71"/>
        <v>0</v>
      </c>
      <c r="AZ1512" s="46">
        <f t="shared" si="72"/>
        <v>0</v>
      </c>
    </row>
    <row r="1513" spans="50:52">
      <c r="AX1513" s="46">
        <f t="shared" si="70"/>
        <v>0</v>
      </c>
      <c r="AY1513" s="46">
        <f t="shared" si="71"/>
        <v>0</v>
      </c>
      <c r="AZ1513" s="46">
        <f t="shared" si="72"/>
        <v>0</v>
      </c>
    </row>
    <row r="1514" spans="50:52">
      <c r="AX1514" s="46">
        <f t="shared" si="70"/>
        <v>0</v>
      </c>
      <c r="AY1514" s="46">
        <f t="shared" si="71"/>
        <v>0</v>
      </c>
      <c r="AZ1514" s="46">
        <f t="shared" si="72"/>
        <v>0</v>
      </c>
    </row>
    <row r="1515" spans="50:52">
      <c r="AX1515" s="46">
        <f t="shared" si="70"/>
        <v>0</v>
      </c>
      <c r="AY1515" s="46">
        <f t="shared" si="71"/>
        <v>0</v>
      </c>
      <c r="AZ1515" s="46">
        <f t="shared" si="72"/>
        <v>0</v>
      </c>
    </row>
    <row r="1516" spans="50:52">
      <c r="AX1516" s="46">
        <f t="shared" si="70"/>
        <v>0</v>
      </c>
      <c r="AY1516" s="46">
        <f t="shared" si="71"/>
        <v>0</v>
      </c>
      <c r="AZ1516" s="46">
        <f t="shared" si="72"/>
        <v>0</v>
      </c>
    </row>
    <row r="1517" spans="50:52">
      <c r="AX1517" s="46">
        <f t="shared" si="70"/>
        <v>0</v>
      </c>
      <c r="AY1517" s="46">
        <f t="shared" si="71"/>
        <v>0</v>
      </c>
      <c r="AZ1517" s="46">
        <f t="shared" si="72"/>
        <v>0</v>
      </c>
    </row>
    <row r="1518" spans="50:52">
      <c r="AX1518" s="46">
        <f t="shared" si="70"/>
        <v>0</v>
      </c>
      <c r="AY1518" s="46">
        <f t="shared" si="71"/>
        <v>0</v>
      </c>
      <c r="AZ1518" s="46">
        <f t="shared" si="72"/>
        <v>0</v>
      </c>
    </row>
    <row r="1519" spans="50:52">
      <c r="AX1519" s="46">
        <f t="shared" si="70"/>
        <v>0</v>
      </c>
      <c r="AY1519" s="46">
        <f t="shared" si="71"/>
        <v>0</v>
      </c>
      <c r="AZ1519" s="46">
        <f t="shared" si="72"/>
        <v>0</v>
      </c>
    </row>
    <row r="1520" spans="50:52">
      <c r="AX1520" s="46">
        <f t="shared" si="70"/>
        <v>0</v>
      </c>
      <c r="AY1520" s="46">
        <f t="shared" si="71"/>
        <v>0</v>
      </c>
      <c r="AZ1520" s="46">
        <f t="shared" si="72"/>
        <v>0</v>
      </c>
    </row>
    <row r="1521" spans="50:52">
      <c r="AX1521" s="46">
        <f t="shared" si="70"/>
        <v>0</v>
      </c>
      <c r="AY1521" s="46">
        <f t="shared" si="71"/>
        <v>0</v>
      </c>
      <c r="AZ1521" s="46">
        <f t="shared" si="72"/>
        <v>0</v>
      </c>
    </row>
    <row r="1522" spans="50:52">
      <c r="AX1522" s="46">
        <f t="shared" si="70"/>
        <v>0</v>
      </c>
      <c r="AY1522" s="46">
        <f t="shared" si="71"/>
        <v>0</v>
      </c>
      <c r="AZ1522" s="46">
        <f t="shared" si="72"/>
        <v>0</v>
      </c>
    </row>
    <row r="1523" spans="50:52">
      <c r="AX1523" s="46">
        <f t="shared" si="70"/>
        <v>0</v>
      </c>
      <c r="AY1523" s="46">
        <f t="shared" si="71"/>
        <v>0</v>
      </c>
      <c r="AZ1523" s="46">
        <f t="shared" si="72"/>
        <v>0</v>
      </c>
    </row>
    <row r="1524" spans="50:52">
      <c r="AX1524" s="46">
        <f t="shared" si="70"/>
        <v>0</v>
      </c>
      <c r="AY1524" s="46">
        <f t="shared" si="71"/>
        <v>0</v>
      </c>
      <c r="AZ1524" s="46">
        <f t="shared" si="72"/>
        <v>0</v>
      </c>
    </row>
    <row r="1525" spans="50:52">
      <c r="AX1525" s="46">
        <f t="shared" si="70"/>
        <v>0</v>
      </c>
      <c r="AY1525" s="46">
        <f t="shared" si="71"/>
        <v>0</v>
      </c>
      <c r="AZ1525" s="46">
        <f t="shared" si="72"/>
        <v>0</v>
      </c>
    </row>
    <row r="1526" spans="50:52">
      <c r="AX1526" s="46">
        <f t="shared" si="70"/>
        <v>0</v>
      </c>
      <c r="AY1526" s="46">
        <f t="shared" si="71"/>
        <v>0</v>
      </c>
      <c r="AZ1526" s="46">
        <f t="shared" si="72"/>
        <v>0</v>
      </c>
    </row>
    <row r="1527" spans="50:52">
      <c r="AX1527" s="46">
        <f t="shared" si="70"/>
        <v>0</v>
      </c>
      <c r="AY1527" s="46">
        <f t="shared" si="71"/>
        <v>0</v>
      </c>
      <c r="AZ1527" s="46">
        <f t="shared" si="72"/>
        <v>0</v>
      </c>
    </row>
    <row r="1528" spans="50:52">
      <c r="AX1528" s="46">
        <f t="shared" si="70"/>
        <v>0</v>
      </c>
      <c r="AY1528" s="46">
        <f t="shared" si="71"/>
        <v>0</v>
      </c>
      <c r="AZ1528" s="46">
        <f t="shared" si="72"/>
        <v>0</v>
      </c>
    </row>
    <row r="1529" spans="50:52">
      <c r="AX1529" s="46">
        <f t="shared" si="70"/>
        <v>0</v>
      </c>
      <c r="AY1529" s="46">
        <f t="shared" si="71"/>
        <v>0</v>
      </c>
      <c r="AZ1529" s="46">
        <f t="shared" si="72"/>
        <v>0</v>
      </c>
    </row>
    <row r="1530" spans="50:52">
      <c r="AX1530" s="46">
        <f t="shared" si="70"/>
        <v>0</v>
      </c>
      <c r="AY1530" s="46">
        <f t="shared" si="71"/>
        <v>0</v>
      </c>
      <c r="AZ1530" s="46">
        <f t="shared" si="72"/>
        <v>0</v>
      </c>
    </row>
    <row r="1531" spans="50:52">
      <c r="AX1531" s="46">
        <f t="shared" si="70"/>
        <v>0</v>
      </c>
      <c r="AY1531" s="46">
        <f t="shared" si="71"/>
        <v>0</v>
      </c>
      <c r="AZ1531" s="46">
        <f t="shared" si="72"/>
        <v>0</v>
      </c>
    </row>
    <row r="1532" spans="50:52">
      <c r="AX1532" s="46">
        <f t="shared" si="70"/>
        <v>0</v>
      </c>
      <c r="AY1532" s="46">
        <f t="shared" si="71"/>
        <v>0</v>
      </c>
      <c r="AZ1532" s="46">
        <f t="shared" si="72"/>
        <v>0</v>
      </c>
    </row>
    <row r="1533" spans="50:52">
      <c r="AX1533" s="46">
        <f t="shared" si="70"/>
        <v>0</v>
      </c>
      <c r="AY1533" s="46">
        <f t="shared" si="71"/>
        <v>0</v>
      </c>
      <c r="AZ1533" s="46">
        <f t="shared" si="72"/>
        <v>0</v>
      </c>
    </row>
    <row r="1534" spans="50:52">
      <c r="AX1534" s="46">
        <f t="shared" si="70"/>
        <v>0</v>
      </c>
      <c r="AY1534" s="46">
        <f t="shared" si="71"/>
        <v>0</v>
      </c>
      <c r="AZ1534" s="46">
        <f t="shared" si="72"/>
        <v>0</v>
      </c>
    </row>
    <row r="1535" spans="50:52">
      <c r="AX1535" s="46">
        <f t="shared" si="70"/>
        <v>0</v>
      </c>
      <c r="AY1535" s="46">
        <f t="shared" si="71"/>
        <v>0</v>
      </c>
      <c r="AZ1535" s="46">
        <f t="shared" si="72"/>
        <v>0</v>
      </c>
    </row>
    <row r="1536" spans="50:52">
      <c r="AX1536" s="46">
        <f t="shared" si="70"/>
        <v>0</v>
      </c>
      <c r="AY1536" s="46">
        <f t="shared" si="71"/>
        <v>0</v>
      </c>
      <c r="AZ1536" s="46">
        <f t="shared" si="72"/>
        <v>0</v>
      </c>
    </row>
    <row r="1537" spans="50:52">
      <c r="AX1537" s="46">
        <f t="shared" si="70"/>
        <v>0</v>
      </c>
      <c r="AY1537" s="46">
        <f t="shared" si="71"/>
        <v>0</v>
      </c>
      <c r="AZ1537" s="46">
        <f t="shared" si="72"/>
        <v>0</v>
      </c>
    </row>
    <row r="1538" spans="50:52">
      <c r="AX1538" s="46">
        <f t="shared" si="70"/>
        <v>0</v>
      </c>
      <c r="AY1538" s="46">
        <f t="shared" si="71"/>
        <v>0</v>
      </c>
      <c r="AZ1538" s="46">
        <f t="shared" si="72"/>
        <v>0</v>
      </c>
    </row>
    <row r="1539" spans="50:52">
      <c r="AX1539" s="46">
        <f t="shared" si="70"/>
        <v>0</v>
      </c>
      <c r="AY1539" s="46">
        <f t="shared" si="71"/>
        <v>0</v>
      </c>
      <c r="AZ1539" s="46">
        <f t="shared" si="72"/>
        <v>0</v>
      </c>
    </row>
    <row r="1540" spans="50:52">
      <c r="AX1540" s="46">
        <f t="shared" si="70"/>
        <v>0</v>
      </c>
      <c r="AY1540" s="46">
        <f t="shared" si="71"/>
        <v>0</v>
      </c>
      <c r="AZ1540" s="46">
        <f t="shared" si="72"/>
        <v>0</v>
      </c>
    </row>
    <row r="1541" spans="50:52">
      <c r="AX1541" s="46">
        <f t="shared" si="70"/>
        <v>0</v>
      </c>
      <c r="AY1541" s="46">
        <f t="shared" si="71"/>
        <v>0</v>
      </c>
      <c r="AZ1541" s="46">
        <f t="shared" si="72"/>
        <v>0</v>
      </c>
    </row>
    <row r="1542" spans="50:52">
      <c r="AX1542" s="46">
        <f t="shared" si="70"/>
        <v>0</v>
      </c>
      <c r="AY1542" s="46">
        <f t="shared" si="71"/>
        <v>0</v>
      </c>
      <c r="AZ1542" s="46">
        <f t="shared" si="72"/>
        <v>0</v>
      </c>
    </row>
    <row r="1543" spans="50:52">
      <c r="AX1543" s="46">
        <f t="shared" si="70"/>
        <v>0</v>
      </c>
      <c r="AY1543" s="46">
        <f t="shared" si="71"/>
        <v>0</v>
      </c>
      <c r="AZ1543" s="46">
        <f t="shared" si="72"/>
        <v>0</v>
      </c>
    </row>
    <row r="1544" spans="50:52">
      <c r="AX1544" s="46">
        <f t="shared" si="70"/>
        <v>0</v>
      </c>
      <c r="AY1544" s="46">
        <f t="shared" si="71"/>
        <v>0</v>
      </c>
      <c r="AZ1544" s="46">
        <f t="shared" si="72"/>
        <v>0</v>
      </c>
    </row>
    <row r="1545" spans="50:52">
      <c r="AX1545" s="46">
        <f t="shared" si="70"/>
        <v>0</v>
      </c>
      <c r="AY1545" s="46">
        <f t="shared" si="71"/>
        <v>0</v>
      </c>
      <c r="AZ1545" s="46">
        <f t="shared" si="72"/>
        <v>0</v>
      </c>
    </row>
    <row r="1546" spans="50:52">
      <c r="AX1546" s="46">
        <f t="shared" si="70"/>
        <v>0</v>
      </c>
      <c r="AY1546" s="46">
        <f t="shared" si="71"/>
        <v>0</v>
      </c>
      <c r="AZ1546" s="46">
        <f t="shared" si="72"/>
        <v>0</v>
      </c>
    </row>
    <row r="1547" spans="50:52">
      <c r="AX1547" s="46">
        <f t="shared" ref="AX1547:AX1610" si="73">IFERROR(SUM(Q1547:AS1547)-SUM(AT1547:AU1547)+AV1547,"-")</f>
        <v>0</v>
      </c>
      <c r="AY1547" s="46">
        <f t="shared" ref="AY1547:AY1610" si="74">IFERROR(SUM(Q1547:AS1547)-SUM(AT1547:AT1547),"-")</f>
        <v>0</v>
      </c>
      <c r="AZ1547" s="46">
        <f t="shared" ref="AZ1547:AZ1610" si="75">SUM(Q1547:AS1547)</f>
        <v>0</v>
      </c>
    </row>
    <row r="1548" spans="50:52">
      <c r="AX1548" s="46">
        <f t="shared" si="73"/>
        <v>0</v>
      </c>
      <c r="AY1548" s="46">
        <f t="shared" si="74"/>
        <v>0</v>
      </c>
      <c r="AZ1548" s="46">
        <f t="shared" si="75"/>
        <v>0</v>
      </c>
    </row>
    <row r="1549" spans="50:52">
      <c r="AX1549" s="46">
        <f t="shared" si="73"/>
        <v>0</v>
      </c>
      <c r="AY1549" s="46">
        <f t="shared" si="74"/>
        <v>0</v>
      </c>
      <c r="AZ1549" s="46">
        <f t="shared" si="75"/>
        <v>0</v>
      </c>
    </row>
    <row r="1550" spans="50:52">
      <c r="AX1550" s="46">
        <f t="shared" si="73"/>
        <v>0</v>
      </c>
      <c r="AY1550" s="46">
        <f t="shared" si="74"/>
        <v>0</v>
      </c>
      <c r="AZ1550" s="46">
        <f t="shared" si="75"/>
        <v>0</v>
      </c>
    </row>
    <row r="1551" spans="50:52">
      <c r="AX1551" s="46">
        <f t="shared" si="73"/>
        <v>0</v>
      </c>
      <c r="AY1551" s="46">
        <f t="shared" si="74"/>
        <v>0</v>
      </c>
      <c r="AZ1551" s="46">
        <f t="shared" si="75"/>
        <v>0</v>
      </c>
    </row>
    <row r="1552" spans="50:52">
      <c r="AX1552" s="46">
        <f t="shared" si="73"/>
        <v>0</v>
      </c>
      <c r="AY1552" s="46">
        <f t="shared" si="74"/>
        <v>0</v>
      </c>
      <c r="AZ1552" s="46">
        <f t="shared" si="75"/>
        <v>0</v>
      </c>
    </row>
    <row r="1553" spans="50:52">
      <c r="AX1553" s="46">
        <f t="shared" si="73"/>
        <v>0</v>
      </c>
      <c r="AY1553" s="46">
        <f t="shared" si="74"/>
        <v>0</v>
      </c>
      <c r="AZ1553" s="46">
        <f t="shared" si="75"/>
        <v>0</v>
      </c>
    </row>
    <row r="1554" spans="50:52">
      <c r="AX1554" s="46">
        <f t="shared" si="73"/>
        <v>0</v>
      </c>
      <c r="AY1554" s="46">
        <f t="shared" si="74"/>
        <v>0</v>
      </c>
      <c r="AZ1554" s="46">
        <f t="shared" si="75"/>
        <v>0</v>
      </c>
    </row>
    <row r="1555" spans="50:52">
      <c r="AX1555" s="46">
        <f t="shared" si="73"/>
        <v>0</v>
      </c>
      <c r="AY1555" s="46">
        <f t="shared" si="74"/>
        <v>0</v>
      </c>
      <c r="AZ1555" s="46">
        <f t="shared" si="75"/>
        <v>0</v>
      </c>
    </row>
    <row r="1556" spans="50:52">
      <c r="AX1556" s="46">
        <f t="shared" si="73"/>
        <v>0</v>
      </c>
      <c r="AY1556" s="46">
        <f t="shared" si="74"/>
        <v>0</v>
      </c>
      <c r="AZ1556" s="46">
        <f t="shared" si="75"/>
        <v>0</v>
      </c>
    </row>
    <row r="1557" spans="50:52">
      <c r="AX1557" s="46">
        <f t="shared" si="73"/>
        <v>0</v>
      </c>
      <c r="AY1557" s="46">
        <f t="shared" si="74"/>
        <v>0</v>
      </c>
      <c r="AZ1557" s="46">
        <f t="shared" si="75"/>
        <v>0</v>
      </c>
    </row>
    <row r="1558" spans="50:52">
      <c r="AX1558" s="46">
        <f t="shared" si="73"/>
        <v>0</v>
      </c>
      <c r="AY1558" s="46">
        <f t="shared" si="74"/>
        <v>0</v>
      </c>
      <c r="AZ1558" s="46">
        <f t="shared" si="75"/>
        <v>0</v>
      </c>
    </row>
    <row r="1559" spans="50:52">
      <c r="AX1559" s="46">
        <f t="shared" si="73"/>
        <v>0</v>
      </c>
      <c r="AY1559" s="46">
        <f t="shared" si="74"/>
        <v>0</v>
      </c>
      <c r="AZ1559" s="46">
        <f t="shared" si="75"/>
        <v>0</v>
      </c>
    </row>
    <row r="1560" spans="50:52">
      <c r="AX1560" s="46">
        <f t="shared" si="73"/>
        <v>0</v>
      </c>
      <c r="AY1560" s="46">
        <f t="shared" si="74"/>
        <v>0</v>
      </c>
      <c r="AZ1560" s="46">
        <f t="shared" si="75"/>
        <v>0</v>
      </c>
    </row>
    <row r="1561" spans="50:52">
      <c r="AX1561" s="46">
        <f t="shared" si="73"/>
        <v>0</v>
      </c>
      <c r="AY1561" s="46">
        <f t="shared" si="74"/>
        <v>0</v>
      </c>
      <c r="AZ1561" s="46">
        <f t="shared" si="75"/>
        <v>0</v>
      </c>
    </row>
    <row r="1562" spans="50:52">
      <c r="AX1562" s="46">
        <f t="shared" si="73"/>
        <v>0</v>
      </c>
      <c r="AY1562" s="46">
        <f t="shared" si="74"/>
        <v>0</v>
      </c>
      <c r="AZ1562" s="46">
        <f t="shared" si="75"/>
        <v>0</v>
      </c>
    </row>
    <row r="1563" spans="50:52">
      <c r="AX1563" s="46">
        <f t="shared" si="73"/>
        <v>0</v>
      </c>
      <c r="AY1563" s="46">
        <f t="shared" si="74"/>
        <v>0</v>
      </c>
      <c r="AZ1563" s="46">
        <f t="shared" si="75"/>
        <v>0</v>
      </c>
    </row>
    <row r="1564" spans="50:52">
      <c r="AX1564" s="46">
        <f t="shared" si="73"/>
        <v>0</v>
      </c>
      <c r="AY1564" s="46">
        <f t="shared" si="74"/>
        <v>0</v>
      </c>
      <c r="AZ1564" s="46">
        <f t="shared" si="75"/>
        <v>0</v>
      </c>
    </row>
    <row r="1565" spans="50:52">
      <c r="AX1565" s="46">
        <f t="shared" si="73"/>
        <v>0</v>
      </c>
      <c r="AY1565" s="46">
        <f t="shared" si="74"/>
        <v>0</v>
      </c>
      <c r="AZ1565" s="46">
        <f t="shared" si="75"/>
        <v>0</v>
      </c>
    </row>
    <row r="1566" spans="50:52">
      <c r="AX1566" s="46">
        <f t="shared" si="73"/>
        <v>0</v>
      </c>
      <c r="AY1566" s="46">
        <f t="shared" si="74"/>
        <v>0</v>
      </c>
      <c r="AZ1566" s="46">
        <f t="shared" si="75"/>
        <v>0</v>
      </c>
    </row>
    <row r="1567" spans="50:52">
      <c r="AX1567" s="46">
        <f t="shared" si="73"/>
        <v>0</v>
      </c>
      <c r="AY1567" s="46">
        <f t="shared" si="74"/>
        <v>0</v>
      </c>
      <c r="AZ1567" s="46">
        <f t="shared" si="75"/>
        <v>0</v>
      </c>
    </row>
    <row r="1568" spans="50:52">
      <c r="AX1568" s="46">
        <f t="shared" si="73"/>
        <v>0</v>
      </c>
      <c r="AY1568" s="46">
        <f t="shared" si="74"/>
        <v>0</v>
      </c>
      <c r="AZ1568" s="46">
        <f t="shared" si="75"/>
        <v>0</v>
      </c>
    </row>
    <row r="1569" spans="50:52">
      <c r="AX1569" s="46">
        <f t="shared" si="73"/>
        <v>0</v>
      </c>
      <c r="AY1569" s="46">
        <f t="shared" si="74"/>
        <v>0</v>
      </c>
      <c r="AZ1569" s="46">
        <f t="shared" si="75"/>
        <v>0</v>
      </c>
    </row>
    <row r="1570" spans="50:52">
      <c r="AX1570" s="46">
        <f t="shared" si="73"/>
        <v>0</v>
      </c>
      <c r="AY1570" s="46">
        <f t="shared" si="74"/>
        <v>0</v>
      </c>
      <c r="AZ1570" s="46">
        <f t="shared" si="75"/>
        <v>0</v>
      </c>
    </row>
    <row r="1571" spans="50:52">
      <c r="AX1571" s="46">
        <f t="shared" si="73"/>
        <v>0</v>
      </c>
      <c r="AY1571" s="46">
        <f t="shared" si="74"/>
        <v>0</v>
      </c>
      <c r="AZ1571" s="46">
        <f t="shared" si="75"/>
        <v>0</v>
      </c>
    </row>
    <row r="1572" spans="50:52">
      <c r="AX1572" s="46">
        <f t="shared" si="73"/>
        <v>0</v>
      </c>
      <c r="AY1572" s="46">
        <f t="shared" si="74"/>
        <v>0</v>
      </c>
      <c r="AZ1572" s="46">
        <f t="shared" si="75"/>
        <v>0</v>
      </c>
    </row>
    <row r="1573" spans="50:52">
      <c r="AX1573" s="46">
        <f t="shared" si="73"/>
        <v>0</v>
      </c>
      <c r="AY1573" s="46">
        <f t="shared" si="74"/>
        <v>0</v>
      </c>
      <c r="AZ1573" s="46">
        <f t="shared" si="75"/>
        <v>0</v>
      </c>
    </row>
    <row r="1574" spans="50:52">
      <c r="AX1574" s="46">
        <f t="shared" si="73"/>
        <v>0</v>
      </c>
      <c r="AY1574" s="46">
        <f t="shared" si="74"/>
        <v>0</v>
      </c>
      <c r="AZ1574" s="46">
        <f t="shared" si="75"/>
        <v>0</v>
      </c>
    </row>
    <row r="1575" spans="50:52">
      <c r="AX1575" s="46">
        <f t="shared" si="73"/>
        <v>0</v>
      </c>
      <c r="AY1575" s="46">
        <f t="shared" si="74"/>
        <v>0</v>
      </c>
      <c r="AZ1575" s="46">
        <f t="shared" si="75"/>
        <v>0</v>
      </c>
    </row>
    <row r="1576" spans="50:52">
      <c r="AX1576" s="46">
        <f t="shared" si="73"/>
        <v>0</v>
      </c>
      <c r="AY1576" s="46">
        <f t="shared" si="74"/>
        <v>0</v>
      </c>
      <c r="AZ1576" s="46">
        <f t="shared" si="75"/>
        <v>0</v>
      </c>
    </row>
    <row r="1577" spans="50:52">
      <c r="AX1577" s="46">
        <f t="shared" si="73"/>
        <v>0</v>
      </c>
      <c r="AY1577" s="46">
        <f t="shared" si="74"/>
        <v>0</v>
      </c>
      <c r="AZ1577" s="46">
        <f t="shared" si="75"/>
        <v>0</v>
      </c>
    </row>
    <row r="1578" spans="50:52">
      <c r="AX1578" s="46">
        <f t="shared" si="73"/>
        <v>0</v>
      </c>
      <c r="AY1578" s="46">
        <f t="shared" si="74"/>
        <v>0</v>
      </c>
      <c r="AZ1578" s="46">
        <f t="shared" si="75"/>
        <v>0</v>
      </c>
    </row>
    <row r="1579" spans="50:52">
      <c r="AX1579" s="46">
        <f t="shared" si="73"/>
        <v>0</v>
      </c>
      <c r="AY1579" s="46">
        <f t="shared" si="74"/>
        <v>0</v>
      </c>
      <c r="AZ1579" s="46">
        <f t="shared" si="75"/>
        <v>0</v>
      </c>
    </row>
    <row r="1580" spans="50:52">
      <c r="AX1580" s="46">
        <f t="shared" si="73"/>
        <v>0</v>
      </c>
      <c r="AY1580" s="46">
        <f t="shared" si="74"/>
        <v>0</v>
      </c>
      <c r="AZ1580" s="46">
        <f t="shared" si="75"/>
        <v>0</v>
      </c>
    </row>
    <row r="1581" spans="50:52">
      <c r="AX1581" s="46">
        <f t="shared" si="73"/>
        <v>0</v>
      </c>
      <c r="AY1581" s="46">
        <f t="shared" si="74"/>
        <v>0</v>
      </c>
      <c r="AZ1581" s="46">
        <f t="shared" si="75"/>
        <v>0</v>
      </c>
    </row>
    <row r="1582" spans="50:52">
      <c r="AX1582" s="46">
        <f t="shared" si="73"/>
        <v>0</v>
      </c>
      <c r="AY1582" s="46">
        <f t="shared" si="74"/>
        <v>0</v>
      </c>
      <c r="AZ1582" s="46">
        <f t="shared" si="75"/>
        <v>0</v>
      </c>
    </row>
    <row r="1583" spans="50:52">
      <c r="AX1583" s="46">
        <f t="shared" si="73"/>
        <v>0</v>
      </c>
      <c r="AY1583" s="46">
        <f t="shared" si="74"/>
        <v>0</v>
      </c>
      <c r="AZ1583" s="46">
        <f t="shared" si="75"/>
        <v>0</v>
      </c>
    </row>
    <row r="1584" spans="50:52">
      <c r="AX1584" s="46">
        <f t="shared" si="73"/>
        <v>0</v>
      </c>
      <c r="AY1584" s="46">
        <f t="shared" si="74"/>
        <v>0</v>
      </c>
      <c r="AZ1584" s="46">
        <f t="shared" si="75"/>
        <v>0</v>
      </c>
    </row>
    <row r="1585" spans="50:52">
      <c r="AX1585" s="46">
        <f t="shared" si="73"/>
        <v>0</v>
      </c>
      <c r="AY1585" s="46">
        <f t="shared" si="74"/>
        <v>0</v>
      </c>
      <c r="AZ1585" s="46">
        <f t="shared" si="75"/>
        <v>0</v>
      </c>
    </row>
    <row r="1586" spans="50:52">
      <c r="AX1586" s="46">
        <f t="shared" si="73"/>
        <v>0</v>
      </c>
      <c r="AY1586" s="46">
        <f t="shared" si="74"/>
        <v>0</v>
      </c>
      <c r="AZ1586" s="46">
        <f t="shared" si="75"/>
        <v>0</v>
      </c>
    </row>
    <row r="1587" spans="50:52">
      <c r="AX1587" s="46">
        <f t="shared" si="73"/>
        <v>0</v>
      </c>
      <c r="AY1587" s="46">
        <f t="shared" si="74"/>
        <v>0</v>
      </c>
      <c r="AZ1587" s="46">
        <f t="shared" si="75"/>
        <v>0</v>
      </c>
    </row>
    <row r="1588" spans="50:52">
      <c r="AX1588" s="46">
        <f t="shared" si="73"/>
        <v>0</v>
      </c>
      <c r="AY1588" s="46">
        <f t="shared" si="74"/>
        <v>0</v>
      </c>
      <c r="AZ1588" s="46">
        <f t="shared" si="75"/>
        <v>0</v>
      </c>
    </row>
    <row r="1589" spans="50:52">
      <c r="AX1589" s="46">
        <f t="shared" si="73"/>
        <v>0</v>
      </c>
      <c r="AY1589" s="46">
        <f t="shared" si="74"/>
        <v>0</v>
      </c>
      <c r="AZ1589" s="46">
        <f t="shared" si="75"/>
        <v>0</v>
      </c>
    </row>
    <row r="1590" spans="50:52">
      <c r="AX1590" s="46">
        <f t="shared" si="73"/>
        <v>0</v>
      </c>
      <c r="AY1590" s="46">
        <f t="shared" si="74"/>
        <v>0</v>
      </c>
      <c r="AZ1590" s="46">
        <f t="shared" si="75"/>
        <v>0</v>
      </c>
    </row>
    <row r="1591" spans="50:52">
      <c r="AX1591" s="46">
        <f t="shared" si="73"/>
        <v>0</v>
      </c>
      <c r="AY1591" s="46">
        <f t="shared" si="74"/>
        <v>0</v>
      </c>
      <c r="AZ1591" s="46">
        <f t="shared" si="75"/>
        <v>0</v>
      </c>
    </row>
    <row r="1592" spans="50:52">
      <c r="AX1592" s="46">
        <f t="shared" si="73"/>
        <v>0</v>
      </c>
      <c r="AY1592" s="46">
        <f t="shared" si="74"/>
        <v>0</v>
      </c>
      <c r="AZ1592" s="46">
        <f t="shared" si="75"/>
        <v>0</v>
      </c>
    </row>
    <row r="1593" spans="50:52">
      <c r="AX1593" s="46">
        <f t="shared" si="73"/>
        <v>0</v>
      </c>
      <c r="AY1593" s="46">
        <f t="shared" si="74"/>
        <v>0</v>
      </c>
      <c r="AZ1593" s="46">
        <f t="shared" si="75"/>
        <v>0</v>
      </c>
    </row>
    <row r="1594" spans="50:52">
      <c r="AX1594" s="46">
        <f t="shared" si="73"/>
        <v>0</v>
      </c>
      <c r="AY1594" s="46">
        <f t="shared" si="74"/>
        <v>0</v>
      </c>
      <c r="AZ1594" s="46">
        <f t="shared" si="75"/>
        <v>0</v>
      </c>
    </row>
    <row r="1595" spans="50:52">
      <c r="AX1595" s="46">
        <f t="shared" si="73"/>
        <v>0</v>
      </c>
      <c r="AY1595" s="46">
        <f t="shared" si="74"/>
        <v>0</v>
      </c>
      <c r="AZ1595" s="46">
        <f t="shared" si="75"/>
        <v>0</v>
      </c>
    </row>
    <row r="1596" spans="50:52">
      <c r="AX1596" s="46">
        <f t="shared" si="73"/>
        <v>0</v>
      </c>
      <c r="AY1596" s="46">
        <f t="shared" si="74"/>
        <v>0</v>
      </c>
      <c r="AZ1596" s="46">
        <f t="shared" si="75"/>
        <v>0</v>
      </c>
    </row>
    <row r="1597" spans="50:52">
      <c r="AX1597" s="46">
        <f t="shared" si="73"/>
        <v>0</v>
      </c>
      <c r="AY1597" s="46">
        <f t="shared" si="74"/>
        <v>0</v>
      </c>
      <c r="AZ1597" s="46">
        <f t="shared" si="75"/>
        <v>0</v>
      </c>
    </row>
    <row r="1598" spans="50:52">
      <c r="AX1598" s="46">
        <f t="shared" si="73"/>
        <v>0</v>
      </c>
      <c r="AY1598" s="46">
        <f t="shared" si="74"/>
        <v>0</v>
      </c>
      <c r="AZ1598" s="46">
        <f t="shared" si="75"/>
        <v>0</v>
      </c>
    </row>
    <row r="1599" spans="50:52">
      <c r="AX1599" s="46">
        <f t="shared" si="73"/>
        <v>0</v>
      </c>
      <c r="AY1599" s="46">
        <f t="shared" si="74"/>
        <v>0</v>
      </c>
      <c r="AZ1599" s="46">
        <f t="shared" si="75"/>
        <v>0</v>
      </c>
    </row>
    <row r="1600" spans="50:52">
      <c r="AX1600" s="46">
        <f t="shared" si="73"/>
        <v>0</v>
      </c>
      <c r="AY1600" s="46">
        <f t="shared" si="74"/>
        <v>0</v>
      </c>
      <c r="AZ1600" s="46">
        <f t="shared" si="75"/>
        <v>0</v>
      </c>
    </row>
    <row r="1601" spans="50:52">
      <c r="AX1601" s="46">
        <f t="shared" si="73"/>
        <v>0</v>
      </c>
      <c r="AY1601" s="46">
        <f t="shared" si="74"/>
        <v>0</v>
      </c>
      <c r="AZ1601" s="46">
        <f t="shared" si="75"/>
        <v>0</v>
      </c>
    </row>
    <row r="1602" spans="50:52">
      <c r="AX1602" s="46">
        <f t="shared" si="73"/>
        <v>0</v>
      </c>
      <c r="AY1602" s="46">
        <f t="shared" si="74"/>
        <v>0</v>
      </c>
      <c r="AZ1602" s="46">
        <f t="shared" si="75"/>
        <v>0</v>
      </c>
    </row>
    <row r="1603" spans="50:52">
      <c r="AX1603" s="46">
        <f t="shared" si="73"/>
        <v>0</v>
      </c>
      <c r="AY1603" s="46">
        <f t="shared" si="74"/>
        <v>0</v>
      </c>
      <c r="AZ1603" s="46">
        <f t="shared" si="75"/>
        <v>0</v>
      </c>
    </row>
    <row r="1604" spans="50:52">
      <c r="AX1604" s="46">
        <f t="shared" si="73"/>
        <v>0</v>
      </c>
      <c r="AY1604" s="46">
        <f t="shared" si="74"/>
        <v>0</v>
      </c>
      <c r="AZ1604" s="46">
        <f t="shared" si="75"/>
        <v>0</v>
      </c>
    </row>
    <row r="1605" spans="50:52">
      <c r="AX1605" s="46">
        <f t="shared" si="73"/>
        <v>0</v>
      </c>
      <c r="AY1605" s="46">
        <f t="shared" si="74"/>
        <v>0</v>
      </c>
      <c r="AZ1605" s="46">
        <f t="shared" si="75"/>
        <v>0</v>
      </c>
    </row>
    <row r="1606" spans="50:52">
      <c r="AX1606" s="46">
        <f t="shared" si="73"/>
        <v>0</v>
      </c>
      <c r="AY1606" s="46">
        <f t="shared" si="74"/>
        <v>0</v>
      </c>
      <c r="AZ1606" s="46">
        <f t="shared" si="75"/>
        <v>0</v>
      </c>
    </row>
    <row r="1607" spans="50:52">
      <c r="AX1607" s="46">
        <f t="shared" si="73"/>
        <v>0</v>
      </c>
      <c r="AY1607" s="46">
        <f t="shared" si="74"/>
        <v>0</v>
      </c>
      <c r="AZ1607" s="46">
        <f t="shared" si="75"/>
        <v>0</v>
      </c>
    </row>
    <row r="1608" spans="50:52">
      <c r="AX1608" s="46">
        <f t="shared" si="73"/>
        <v>0</v>
      </c>
      <c r="AY1608" s="46">
        <f t="shared" si="74"/>
        <v>0</v>
      </c>
      <c r="AZ1608" s="46">
        <f t="shared" si="75"/>
        <v>0</v>
      </c>
    </row>
    <row r="1609" spans="50:52">
      <c r="AX1609" s="46">
        <f t="shared" si="73"/>
        <v>0</v>
      </c>
      <c r="AY1609" s="46">
        <f t="shared" si="74"/>
        <v>0</v>
      </c>
      <c r="AZ1609" s="46">
        <f t="shared" si="75"/>
        <v>0</v>
      </c>
    </row>
    <row r="1610" spans="50:52">
      <c r="AX1610" s="46">
        <f t="shared" si="73"/>
        <v>0</v>
      </c>
      <c r="AY1610" s="46">
        <f t="shared" si="74"/>
        <v>0</v>
      </c>
      <c r="AZ1610" s="46">
        <f t="shared" si="75"/>
        <v>0</v>
      </c>
    </row>
    <row r="1611" spans="50:52">
      <c r="AX1611" s="46">
        <f t="shared" ref="AX1611:AX1674" si="76">IFERROR(SUM(Q1611:AS1611)-SUM(AT1611:AU1611)+AV1611,"-")</f>
        <v>0</v>
      </c>
      <c r="AY1611" s="46">
        <f t="shared" ref="AY1611:AY1674" si="77">IFERROR(SUM(Q1611:AS1611)-SUM(AT1611:AT1611),"-")</f>
        <v>0</v>
      </c>
      <c r="AZ1611" s="46">
        <f t="shared" ref="AZ1611:AZ1674" si="78">SUM(Q1611:AS1611)</f>
        <v>0</v>
      </c>
    </row>
    <row r="1612" spans="50:52">
      <c r="AX1612" s="46">
        <f t="shared" si="76"/>
        <v>0</v>
      </c>
      <c r="AY1612" s="46">
        <f t="shared" si="77"/>
        <v>0</v>
      </c>
      <c r="AZ1612" s="46">
        <f t="shared" si="78"/>
        <v>0</v>
      </c>
    </row>
    <row r="1613" spans="50:52">
      <c r="AX1613" s="46">
        <f t="shared" si="76"/>
        <v>0</v>
      </c>
      <c r="AY1613" s="46">
        <f t="shared" si="77"/>
        <v>0</v>
      </c>
      <c r="AZ1613" s="46">
        <f t="shared" si="78"/>
        <v>0</v>
      </c>
    </row>
    <row r="1614" spans="50:52">
      <c r="AX1614" s="46">
        <f t="shared" si="76"/>
        <v>0</v>
      </c>
      <c r="AY1614" s="46">
        <f t="shared" si="77"/>
        <v>0</v>
      </c>
      <c r="AZ1614" s="46">
        <f t="shared" si="78"/>
        <v>0</v>
      </c>
    </row>
    <row r="1615" spans="50:52">
      <c r="AX1615" s="46">
        <f t="shared" si="76"/>
        <v>0</v>
      </c>
      <c r="AY1615" s="46">
        <f t="shared" si="77"/>
        <v>0</v>
      </c>
      <c r="AZ1615" s="46">
        <f t="shared" si="78"/>
        <v>0</v>
      </c>
    </row>
    <row r="1616" spans="50:52">
      <c r="AX1616" s="46">
        <f t="shared" si="76"/>
        <v>0</v>
      </c>
      <c r="AY1616" s="46">
        <f t="shared" si="77"/>
        <v>0</v>
      </c>
      <c r="AZ1616" s="46">
        <f t="shared" si="78"/>
        <v>0</v>
      </c>
    </row>
    <row r="1617" spans="50:52">
      <c r="AX1617" s="46">
        <f t="shared" si="76"/>
        <v>0</v>
      </c>
      <c r="AY1617" s="46">
        <f t="shared" si="77"/>
        <v>0</v>
      </c>
      <c r="AZ1617" s="46">
        <f t="shared" si="78"/>
        <v>0</v>
      </c>
    </row>
    <row r="1618" spans="50:52">
      <c r="AX1618" s="46">
        <f t="shared" si="76"/>
        <v>0</v>
      </c>
      <c r="AY1618" s="46">
        <f t="shared" si="77"/>
        <v>0</v>
      </c>
      <c r="AZ1618" s="46">
        <f t="shared" si="78"/>
        <v>0</v>
      </c>
    </row>
    <row r="1619" spans="50:52">
      <c r="AX1619" s="46">
        <f t="shared" si="76"/>
        <v>0</v>
      </c>
      <c r="AY1619" s="46">
        <f t="shared" si="77"/>
        <v>0</v>
      </c>
      <c r="AZ1619" s="46">
        <f t="shared" si="78"/>
        <v>0</v>
      </c>
    </row>
    <row r="1620" spans="50:52">
      <c r="AX1620" s="46">
        <f t="shared" si="76"/>
        <v>0</v>
      </c>
      <c r="AY1620" s="46">
        <f t="shared" si="77"/>
        <v>0</v>
      </c>
      <c r="AZ1620" s="46">
        <f t="shared" si="78"/>
        <v>0</v>
      </c>
    </row>
    <row r="1621" spans="50:52">
      <c r="AX1621" s="46">
        <f t="shared" si="76"/>
        <v>0</v>
      </c>
      <c r="AY1621" s="46">
        <f t="shared" si="77"/>
        <v>0</v>
      </c>
      <c r="AZ1621" s="46">
        <f t="shared" si="78"/>
        <v>0</v>
      </c>
    </row>
    <row r="1622" spans="50:52">
      <c r="AX1622" s="46">
        <f t="shared" si="76"/>
        <v>0</v>
      </c>
      <c r="AY1622" s="46">
        <f t="shared" si="77"/>
        <v>0</v>
      </c>
      <c r="AZ1622" s="46">
        <f t="shared" si="78"/>
        <v>0</v>
      </c>
    </row>
    <row r="1623" spans="50:52">
      <c r="AX1623" s="46">
        <f t="shared" si="76"/>
        <v>0</v>
      </c>
      <c r="AY1623" s="46">
        <f t="shared" si="77"/>
        <v>0</v>
      </c>
      <c r="AZ1623" s="46">
        <f t="shared" si="78"/>
        <v>0</v>
      </c>
    </row>
    <row r="1624" spans="50:52">
      <c r="AX1624" s="46">
        <f t="shared" si="76"/>
        <v>0</v>
      </c>
      <c r="AY1624" s="46">
        <f t="shared" si="77"/>
        <v>0</v>
      </c>
      <c r="AZ1624" s="46">
        <f t="shared" si="78"/>
        <v>0</v>
      </c>
    </row>
    <row r="1625" spans="50:52">
      <c r="AX1625" s="46">
        <f t="shared" si="76"/>
        <v>0</v>
      </c>
      <c r="AY1625" s="46">
        <f t="shared" si="77"/>
        <v>0</v>
      </c>
      <c r="AZ1625" s="46">
        <f t="shared" si="78"/>
        <v>0</v>
      </c>
    </row>
    <row r="1626" spans="50:52">
      <c r="AX1626" s="46">
        <f t="shared" si="76"/>
        <v>0</v>
      </c>
      <c r="AY1626" s="46">
        <f t="shared" si="77"/>
        <v>0</v>
      </c>
      <c r="AZ1626" s="46">
        <f t="shared" si="78"/>
        <v>0</v>
      </c>
    </row>
    <row r="1627" spans="50:52">
      <c r="AX1627" s="46">
        <f t="shared" si="76"/>
        <v>0</v>
      </c>
      <c r="AY1627" s="46">
        <f t="shared" si="77"/>
        <v>0</v>
      </c>
      <c r="AZ1627" s="46">
        <f t="shared" si="78"/>
        <v>0</v>
      </c>
    </row>
    <row r="1628" spans="50:52">
      <c r="AX1628" s="46">
        <f t="shared" si="76"/>
        <v>0</v>
      </c>
      <c r="AY1628" s="46">
        <f t="shared" si="77"/>
        <v>0</v>
      </c>
      <c r="AZ1628" s="46">
        <f t="shared" si="78"/>
        <v>0</v>
      </c>
    </row>
    <row r="1629" spans="50:52">
      <c r="AX1629" s="46">
        <f t="shared" si="76"/>
        <v>0</v>
      </c>
      <c r="AY1629" s="46">
        <f t="shared" si="77"/>
        <v>0</v>
      </c>
      <c r="AZ1629" s="46">
        <f t="shared" si="78"/>
        <v>0</v>
      </c>
    </row>
    <row r="1630" spans="50:52">
      <c r="AX1630" s="46">
        <f t="shared" si="76"/>
        <v>0</v>
      </c>
      <c r="AY1630" s="46">
        <f t="shared" si="77"/>
        <v>0</v>
      </c>
      <c r="AZ1630" s="46">
        <f t="shared" si="78"/>
        <v>0</v>
      </c>
    </row>
    <row r="1631" spans="50:52">
      <c r="AX1631" s="46">
        <f t="shared" si="76"/>
        <v>0</v>
      </c>
      <c r="AY1631" s="46">
        <f t="shared" si="77"/>
        <v>0</v>
      </c>
      <c r="AZ1631" s="46">
        <f t="shared" si="78"/>
        <v>0</v>
      </c>
    </row>
    <row r="1632" spans="50:52">
      <c r="AX1632" s="46">
        <f t="shared" si="76"/>
        <v>0</v>
      </c>
      <c r="AY1632" s="46">
        <f t="shared" si="77"/>
        <v>0</v>
      </c>
      <c r="AZ1632" s="46">
        <f t="shared" si="78"/>
        <v>0</v>
      </c>
    </row>
    <row r="1633" spans="50:52">
      <c r="AX1633" s="46">
        <f t="shared" si="76"/>
        <v>0</v>
      </c>
      <c r="AY1633" s="46">
        <f t="shared" si="77"/>
        <v>0</v>
      </c>
      <c r="AZ1633" s="46">
        <f t="shared" si="78"/>
        <v>0</v>
      </c>
    </row>
    <row r="1634" spans="50:52">
      <c r="AX1634" s="46">
        <f t="shared" si="76"/>
        <v>0</v>
      </c>
      <c r="AY1634" s="46">
        <f t="shared" si="77"/>
        <v>0</v>
      </c>
      <c r="AZ1634" s="46">
        <f t="shared" si="78"/>
        <v>0</v>
      </c>
    </row>
    <row r="1635" spans="50:52">
      <c r="AX1635" s="46">
        <f t="shared" si="76"/>
        <v>0</v>
      </c>
      <c r="AY1635" s="46">
        <f t="shared" si="77"/>
        <v>0</v>
      </c>
      <c r="AZ1635" s="46">
        <f t="shared" si="78"/>
        <v>0</v>
      </c>
    </row>
    <row r="1636" spans="50:52">
      <c r="AX1636" s="46">
        <f t="shared" si="76"/>
        <v>0</v>
      </c>
      <c r="AY1636" s="46">
        <f t="shared" si="77"/>
        <v>0</v>
      </c>
      <c r="AZ1636" s="46">
        <f t="shared" si="78"/>
        <v>0</v>
      </c>
    </row>
    <row r="1637" spans="50:52">
      <c r="AX1637" s="46">
        <f t="shared" si="76"/>
        <v>0</v>
      </c>
      <c r="AY1637" s="46">
        <f t="shared" si="77"/>
        <v>0</v>
      </c>
      <c r="AZ1637" s="46">
        <f t="shared" si="78"/>
        <v>0</v>
      </c>
    </row>
    <row r="1638" spans="50:52">
      <c r="AX1638" s="46">
        <f t="shared" si="76"/>
        <v>0</v>
      </c>
      <c r="AY1638" s="46">
        <f t="shared" si="77"/>
        <v>0</v>
      </c>
      <c r="AZ1638" s="46">
        <f t="shared" si="78"/>
        <v>0</v>
      </c>
    </row>
    <row r="1639" spans="50:52">
      <c r="AX1639" s="46">
        <f t="shared" si="76"/>
        <v>0</v>
      </c>
      <c r="AY1639" s="46">
        <f t="shared" si="77"/>
        <v>0</v>
      </c>
      <c r="AZ1639" s="46">
        <f t="shared" si="78"/>
        <v>0</v>
      </c>
    </row>
    <row r="1640" spans="50:52">
      <c r="AX1640" s="46">
        <f t="shared" si="76"/>
        <v>0</v>
      </c>
      <c r="AY1640" s="46">
        <f t="shared" si="77"/>
        <v>0</v>
      </c>
      <c r="AZ1640" s="46">
        <f t="shared" si="78"/>
        <v>0</v>
      </c>
    </row>
    <row r="1641" spans="50:52">
      <c r="AX1641" s="46">
        <f t="shared" si="76"/>
        <v>0</v>
      </c>
      <c r="AY1641" s="46">
        <f t="shared" si="77"/>
        <v>0</v>
      </c>
      <c r="AZ1641" s="46">
        <f t="shared" si="78"/>
        <v>0</v>
      </c>
    </row>
    <row r="1642" spans="50:52">
      <c r="AX1642" s="46">
        <f t="shared" si="76"/>
        <v>0</v>
      </c>
      <c r="AY1642" s="46">
        <f t="shared" si="77"/>
        <v>0</v>
      </c>
      <c r="AZ1642" s="46">
        <f t="shared" si="78"/>
        <v>0</v>
      </c>
    </row>
    <row r="1643" spans="50:52">
      <c r="AX1643" s="46">
        <f t="shared" si="76"/>
        <v>0</v>
      </c>
      <c r="AY1643" s="46">
        <f t="shared" si="77"/>
        <v>0</v>
      </c>
      <c r="AZ1643" s="46">
        <f t="shared" si="78"/>
        <v>0</v>
      </c>
    </row>
    <row r="1644" spans="50:52">
      <c r="AX1644" s="46">
        <f t="shared" si="76"/>
        <v>0</v>
      </c>
      <c r="AY1644" s="46">
        <f t="shared" si="77"/>
        <v>0</v>
      </c>
      <c r="AZ1644" s="46">
        <f t="shared" si="78"/>
        <v>0</v>
      </c>
    </row>
    <row r="1645" spans="50:52">
      <c r="AX1645" s="46">
        <f t="shared" si="76"/>
        <v>0</v>
      </c>
      <c r="AY1645" s="46">
        <f t="shared" si="77"/>
        <v>0</v>
      </c>
      <c r="AZ1645" s="46">
        <f t="shared" si="78"/>
        <v>0</v>
      </c>
    </row>
    <row r="1646" spans="50:52">
      <c r="AX1646" s="46">
        <f t="shared" si="76"/>
        <v>0</v>
      </c>
      <c r="AY1646" s="46">
        <f t="shared" si="77"/>
        <v>0</v>
      </c>
      <c r="AZ1646" s="46">
        <f t="shared" si="78"/>
        <v>0</v>
      </c>
    </row>
    <row r="1647" spans="50:52">
      <c r="AX1647" s="46">
        <f t="shared" si="76"/>
        <v>0</v>
      </c>
      <c r="AY1647" s="46">
        <f t="shared" si="77"/>
        <v>0</v>
      </c>
      <c r="AZ1647" s="46">
        <f t="shared" si="78"/>
        <v>0</v>
      </c>
    </row>
    <row r="1648" spans="50:52">
      <c r="AX1648" s="46">
        <f t="shared" si="76"/>
        <v>0</v>
      </c>
      <c r="AY1648" s="46">
        <f t="shared" si="77"/>
        <v>0</v>
      </c>
      <c r="AZ1648" s="46">
        <f t="shared" si="78"/>
        <v>0</v>
      </c>
    </row>
    <row r="1649" spans="50:52">
      <c r="AX1649" s="46">
        <f t="shared" si="76"/>
        <v>0</v>
      </c>
      <c r="AY1649" s="46">
        <f t="shared" si="77"/>
        <v>0</v>
      </c>
      <c r="AZ1649" s="46">
        <f t="shared" si="78"/>
        <v>0</v>
      </c>
    </row>
    <row r="1650" spans="50:52">
      <c r="AX1650" s="46">
        <f t="shared" si="76"/>
        <v>0</v>
      </c>
      <c r="AY1650" s="46">
        <f t="shared" si="77"/>
        <v>0</v>
      </c>
      <c r="AZ1650" s="46">
        <f t="shared" si="78"/>
        <v>0</v>
      </c>
    </row>
    <row r="1651" spans="50:52">
      <c r="AX1651" s="46">
        <f t="shared" si="76"/>
        <v>0</v>
      </c>
      <c r="AY1651" s="46">
        <f t="shared" si="77"/>
        <v>0</v>
      </c>
      <c r="AZ1651" s="46">
        <f t="shared" si="78"/>
        <v>0</v>
      </c>
    </row>
    <row r="1652" spans="50:52">
      <c r="AX1652" s="46">
        <f t="shared" si="76"/>
        <v>0</v>
      </c>
      <c r="AY1652" s="46">
        <f t="shared" si="77"/>
        <v>0</v>
      </c>
      <c r="AZ1652" s="46">
        <f t="shared" si="78"/>
        <v>0</v>
      </c>
    </row>
    <row r="1653" spans="50:52">
      <c r="AX1653" s="46">
        <f t="shared" si="76"/>
        <v>0</v>
      </c>
      <c r="AY1653" s="46">
        <f t="shared" si="77"/>
        <v>0</v>
      </c>
      <c r="AZ1653" s="46">
        <f t="shared" si="78"/>
        <v>0</v>
      </c>
    </row>
    <row r="1654" spans="50:52">
      <c r="AX1654" s="46">
        <f t="shared" si="76"/>
        <v>0</v>
      </c>
      <c r="AY1654" s="46">
        <f t="shared" si="77"/>
        <v>0</v>
      </c>
      <c r="AZ1654" s="46">
        <f t="shared" si="78"/>
        <v>0</v>
      </c>
    </row>
    <row r="1655" spans="50:52">
      <c r="AX1655" s="46">
        <f t="shared" si="76"/>
        <v>0</v>
      </c>
      <c r="AY1655" s="46">
        <f t="shared" si="77"/>
        <v>0</v>
      </c>
      <c r="AZ1655" s="46">
        <f t="shared" si="78"/>
        <v>0</v>
      </c>
    </row>
    <row r="1656" spans="50:52">
      <c r="AX1656" s="46">
        <f t="shared" si="76"/>
        <v>0</v>
      </c>
      <c r="AY1656" s="46">
        <f t="shared" si="77"/>
        <v>0</v>
      </c>
      <c r="AZ1656" s="46">
        <f t="shared" si="78"/>
        <v>0</v>
      </c>
    </row>
    <row r="1657" spans="50:52">
      <c r="AX1657" s="46">
        <f t="shared" si="76"/>
        <v>0</v>
      </c>
      <c r="AY1657" s="46">
        <f t="shared" si="77"/>
        <v>0</v>
      </c>
      <c r="AZ1657" s="46">
        <f t="shared" si="78"/>
        <v>0</v>
      </c>
    </row>
    <row r="1658" spans="50:52">
      <c r="AX1658" s="46">
        <f t="shared" si="76"/>
        <v>0</v>
      </c>
      <c r="AY1658" s="46">
        <f t="shared" si="77"/>
        <v>0</v>
      </c>
      <c r="AZ1658" s="46">
        <f t="shared" si="78"/>
        <v>0</v>
      </c>
    </row>
    <row r="1659" spans="50:52">
      <c r="AX1659" s="46">
        <f t="shared" si="76"/>
        <v>0</v>
      </c>
      <c r="AY1659" s="46">
        <f t="shared" si="77"/>
        <v>0</v>
      </c>
      <c r="AZ1659" s="46">
        <f t="shared" si="78"/>
        <v>0</v>
      </c>
    </row>
    <row r="1660" spans="50:52">
      <c r="AX1660" s="46">
        <f t="shared" si="76"/>
        <v>0</v>
      </c>
      <c r="AY1660" s="46">
        <f t="shared" si="77"/>
        <v>0</v>
      </c>
      <c r="AZ1660" s="46">
        <f t="shared" si="78"/>
        <v>0</v>
      </c>
    </row>
    <row r="1661" spans="50:52">
      <c r="AX1661" s="46">
        <f t="shared" si="76"/>
        <v>0</v>
      </c>
      <c r="AY1661" s="46">
        <f t="shared" si="77"/>
        <v>0</v>
      </c>
      <c r="AZ1661" s="46">
        <f t="shared" si="78"/>
        <v>0</v>
      </c>
    </row>
    <row r="1662" spans="50:52">
      <c r="AX1662" s="46">
        <f t="shared" si="76"/>
        <v>0</v>
      </c>
      <c r="AY1662" s="46">
        <f t="shared" si="77"/>
        <v>0</v>
      </c>
      <c r="AZ1662" s="46">
        <f t="shared" si="78"/>
        <v>0</v>
      </c>
    </row>
    <row r="1663" spans="50:52">
      <c r="AX1663" s="46">
        <f t="shared" si="76"/>
        <v>0</v>
      </c>
      <c r="AY1663" s="46">
        <f t="shared" si="77"/>
        <v>0</v>
      </c>
      <c r="AZ1663" s="46">
        <f t="shared" si="78"/>
        <v>0</v>
      </c>
    </row>
    <row r="1664" spans="50:52">
      <c r="AX1664" s="46">
        <f t="shared" si="76"/>
        <v>0</v>
      </c>
      <c r="AY1664" s="46">
        <f t="shared" si="77"/>
        <v>0</v>
      </c>
      <c r="AZ1664" s="46">
        <f t="shared" si="78"/>
        <v>0</v>
      </c>
    </row>
    <row r="1665" spans="50:52">
      <c r="AX1665" s="46">
        <f t="shared" si="76"/>
        <v>0</v>
      </c>
      <c r="AY1665" s="46">
        <f t="shared" si="77"/>
        <v>0</v>
      </c>
      <c r="AZ1665" s="46">
        <f t="shared" si="78"/>
        <v>0</v>
      </c>
    </row>
    <row r="1666" spans="50:52">
      <c r="AX1666" s="46">
        <f t="shared" si="76"/>
        <v>0</v>
      </c>
      <c r="AY1666" s="46">
        <f t="shared" si="77"/>
        <v>0</v>
      </c>
      <c r="AZ1666" s="46">
        <f t="shared" si="78"/>
        <v>0</v>
      </c>
    </row>
    <row r="1667" spans="50:52">
      <c r="AX1667" s="46">
        <f t="shared" si="76"/>
        <v>0</v>
      </c>
      <c r="AY1667" s="46">
        <f t="shared" si="77"/>
        <v>0</v>
      </c>
      <c r="AZ1667" s="46">
        <f t="shared" si="78"/>
        <v>0</v>
      </c>
    </row>
    <row r="1668" spans="50:52">
      <c r="AX1668" s="46">
        <f t="shared" si="76"/>
        <v>0</v>
      </c>
      <c r="AY1668" s="46">
        <f t="shared" si="77"/>
        <v>0</v>
      </c>
      <c r="AZ1668" s="46">
        <f t="shared" si="78"/>
        <v>0</v>
      </c>
    </row>
    <row r="1669" spans="50:52">
      <c r="AX1669" s="46">
        <f t="shared" si="76"/>
        <v>0</v>
      </c>
      <c r="AY1669" s="46">
        <f t="shared" si="77"/>
        <v>0</v>
      </c>
      <c r="AZ1669" s="46">
        <f t="shared" si="78"/>
        <v>0</v>
      </c>
    </row>
    <row r="1670" spans="50:52">
      <c r="AX1670" s="46">
        <f t="shared" si="76"/>
        <v>0</v>
      </c>
      <c r="AY1670" s="46">
        <f t="shared" si="77"/>
        <v>0</v>
      </c>
      <c r="AZ1670" s="46">
        <f t="shared" si="78"/>
        <v>0</v>
      </c>
    </row>
    <row r="1671" spans="50:52">
      <c r="AX1671" s="46">
        <f t="shared" si="76"/>
        <v>0</v>
      </c>
      <c r="AY1671" s="46">
        <f t="shared" si="77"/>
        <v>0</v>
      </c>
      <c r="AZ1671" s="46">
        <f t="shared" si="78"/>
        <v>0</v>
      </c>
    </row>
    <row r="1672" spans="50:52">
      <c r="AX1672" s="46">
        <f t="shared" si="76"/>
        <v>0</v>
      </c>
      <c r="AY1672" s="46">
        <f t="shared" si="77"/>
        <v>0</v>
      </c>
      <c r="AZ1672" s="46">
        <f t="shared" si="78"/>
        <v>0</v>
      </c>
    </row>
    <row r="1673" spans="50:52">
      <c r="AX1673" s="46">
        <f t="shared" si="76"/>
        <v>0</v>
      </c>
      <c r="AY1673" s="46">
        <f t="shared" si="77"/>
        <v>0</v>
      </c>
      <c r="AZ1673" s="46">
        <f t="shared" si="78"/>
        <v>0</v>
      </c>
    </row>
    <row r="1674" spans="50:52">
      <c r="AX1674" s="46">
        <f t="shared" si="76"/>
        <v>0</v>
      </c>
      <c r="AY1674" s="46">
        <f t="shared" si="77"/>
        <v>0</v>
      </c>
      <c r="AZ1674" s="46">
        <f t="shared" si="78"/>
        <v>0</v>
      </c>
    </row>
    <row r="1675" spans="50:52">
      <c r="AX1675" s="46">
        <f t="shared" ref="AX1675:AX1738" si="79">IFERROR(SUM(Q1675:AS1675)-SUM(AT1675:AU1675)+AV1675,"-")</f>
        <v>0</v>
      </c>
      <c r="AY1675" s="46">
        <f t="shared" ref="AY1675:AY1738" si="80">IFERROR(SUM(Q1675:AS1675)-SUM(AT1675:AT1675),"-")</f>
        <v>0</v>
      </c>
      <c r="AZ1675" s="46">
        <f t="shared" ref="AZ1675:AZ1738" si="81">SUM(Q1675:AS1675)</f>
        <v>0</v>
      </c>
    </row>
    <row r="1676" spans="50:52">
      <c r="AX1676" s="46">
        <f t="shared" si="79"/>
        <v>0</v>
      </c>
      <c r="AY1676" s="46">
        <f t="shared" si="80"/>
        <v>0</v>
      </c>
      <c r="AZ1676" s="46">
        <f t="shared" si="81"/>
        <v>0</v>
      </c>
    </row>
    <row r="1677" spans="50:52">
      <c r="AX1677" s="46">
        <f t="shared" si="79"/>
        <v>0</v>
      </c>
      <c r="AY1677" s="46">
        <f t="shared" si="80"/>
        <v>0</v>
      </c>
      <c r="AZ1677" s="46">
        <f t="shared" si="81"/>
        <v>0</v>
      </c>
    </row>
    <row r="1678" spans="50:52">
      <c r="AX1678" s="46">
        <f t="shared" si="79"/>
        <v>0</v>
      </c>
      <c r="AY1678" s="46">
        <f t="shared" si="80"/>
        <v>0</v>
      </c>
      <c r="AZ1678" s="46">
        <f t="shared" si="81"/>
        <v>0</v>
      </c>
    </row>
    <row r="1679" spans="50:52">
      <c r="AX1679" s="46">
        <f t="shared" si="79"/>
        <v>0</v>
      </c>
      <c r="AY1679" s="46">
        <f t="shared" si="80"/>
        <v>0</v>
      </c>
      <c r="AZ1679" s="46">
        <f t="shared" si="81"/>
        <v>0</v>
      </c>
    </row>
    <row r="1680" spans="50:52">
      <c r="AX1680" s="46">
        <f t="shared" si="79"/>
        <v>0</v>
      </c>
      <c r="AY1680" s="46">
        <f t="shared" si="80"/>
        <v>0</v>
      </c>
      <c r="AZ1680" s="46">
        <f t="shared" si="81"/>
        <v>0</v>
      </c>
    </row>
    <row r="1681" spans="50:52">
      <c r="AX1681" s="46">
        <f t="shared" si="79"/>
        <v>0</v>
      </c>
      <c r="AY1681" s="46">
        <f t="shared" si="80"/>
        <v>0</v>
      </c>
      <c r="AZ1681" s="46">
        <f t="shared" si="81"/>
        <v>0</v>
      </c>
    </row>
    <row r="1682" spans="50:52">
      <c r="AX1682" s="46">
        <f t="shared" si="79"/>
        <v>0</v>
      </c>
      <c r="AY1682" s="46">
        <f t="shared" si="80"/>
        <v>0</v>
      </c>
      <c r="AZ1682" s="46">
        <f t="shared" si="81"/>
        <v>0</v>
      </c>
    </row>
    <row r="1683" spans="50:52">
      <c r="AX1683" s="46">
        <f t="shared" si="79"/>
        <v>0</v>
      </c>
      <c r="AY1683" s="46">
        <f t="shared" si="80"/>
        <v>0</v>
      </c>
      <c r="AZ1683" s="46">
        <f t="shared" si="81"/>
        <v>0</v>
      </c>
    </row>
    <row r="1684" spans="50:52">
      <c r="AX1684" s="46">
        <f t="shared" si="79"/>
        <v>0</v>
      </c>
      <c r="AY1684" s="46">
        <f t="shared" si="80"/>
        <v>0</v>
      </c>
      <c r="AZ1684" s="46">
        <f t="shared" si="81"/>
        <v>0</v>
      </c>
    </row>
    <row r="1685" spans="50:52">
      <c r="AX1685" s="46">
        <f t="shared" si="79"/>
        <v>0</v>
      </c>
      <c r="AY1685" s="46">
        <f t="shared" si="80"/>
        <v>0</v>
      </c>
      <c r="AZ1685" s="46">
        <f t="shared" si="81"/>
        <v>0</v>
      </c>
    </row>
    <row r="1686" spans="50:52">
      <c r="AX1686" s="46">
        <f t="shared" si="79"/>
        <v>0</v>
      </c>
      <c r="AY1686" s="46">
        <f t="shared" si="80"/>
        <v>0</v>
      </c>
      <c r="AZ1686" s="46">
        <f t="shared" si="81"/>
        <v>0</v>
      </c>
    </row>
    <row r="1687" spans="50:52">
      <c r="AX1687" s="46">
        <f t="shared" si="79"/>
        <v>0</v>
      </c>
      <c r="AY1687" s="46">
        <f t="shared" si="80"/>
        <v>0</v>
      </c>
      <c r="AZ1687" s="46">
        <f t="shared" si="81"/>
        <v>0</v>
      </c>
    </row>
    <row r="1688" spans="50:52">
      <c r="AX1688" s="46">
        <f t="shared" si="79"/>
        <v>0</v>
      </c>
      <c r="AY1688" s="46">
        <f t="shared" si="80"/>
        <v>0</v>
      </c>
      <c r="AZ1688" s="46">
        <f t="shared" si="81"/>
        <v>0</v>
      </c>
    </row>
    <row r="1689" spans="50:52">
      <c r="AX1689" s="46">
        <f t="shared" si="79"/>
        <v>0</v>
      </c>
      <c r="AY1689" s="46">
        <f t="shared" si="80"/>
        <v>0</v>
      </c>
      <c r="AZ1689" s="46">
        <f t="shared" si="81"/>
        <v>0</v>
      </c>
    </row>
    <row r="1690" spans="50:52">
      <c r="AX1690" s="46">
        <f t="shared" si="79"/>
        <v>0</v>
      </c>
      <c r="AY1690" s="46">
        <f t="shared" si="80"/>
        <v>0</v>
      </c>
      <c r="AZ1690" s="46">
        <f t="shared" si="81"/>
        <v>0</v>
      </c>
    </row>
    <row r="1691" spans="50:52">
      <c r="AX1691" s="46">
        <f t="shared" si="79"/>
        <v>0</v>
      </c>
      <c r="AY1691" s="46">
        <f t="shared" si="80"/>
        <v>0</v>
      </c>
      <c r="AZ1691" s="46">
        <f t="shared" si="81"/>
        <v>0</v>
      </c>
    </row>
    <row r="1692" spans="50:52">
      <c r="AX1692" s="46">
        <f t="shared" si="79"/>
        <v>0</v>
      </c>
      <c r="AY1692" s="46">
        <f t="shared" si="80"/>
        <v>0</v>
      </c>
      <c r="AZ1692" s="46">
        <f t="shared" si="81"/>
        <v>0</v>
      </c>
    </row>
    <row r="1693" spans="50:52">
      <c r="AX1693" s="46">
        <f t="shared" si="79"/>
        <v>0</v>
      </c>
      <c r="AY1693" s="46">
        <f t="shared" si="80"/>
        <v>0</v>
      </c>
      <c r="AZ1693" s="46">
        <f t="shared" si="81"/>
        <v>0</v>
      </c>
    </row>
    <row r="1694" spans="50:52">
      <c r="AX1694" s="46">
        <f t="shared" si="79"/>
        <v>0</v>
      </c>
      <c r="AY1694" s="46">
        <f t="shared" si="80"/>
        <v>0</v>
      </c>
      <c r="AZ1694" s="46">
        <f t="shared" si="81"/>
        <v>0</v>
      </c>
    </row>
    <row r="1695" spans="50:52">
      <c r="AX1695" s="46">
        <f t="shared" si="79"/>
        <v>0</v>
      </c>
      <c r="AY1695" s="46">
        <f t="shared" si="80"/>
        <v>0</v>
      </c>
      <c r="AZ1695" s="46">
        <f t="shared" si="81"/>
        <v>0</v>
      </c>
    </row>
    <row r="1696" spans="50:52">
      <c r="AX1696" s="46">
        <f t="shared" si="79"/>
        <v>0</v>
      </c>
      <c r="AY1696" s="46">
        <f t="shared" si="80"/>
        <v>0</v>
      </c>
      <c r="AZ1696" s="46">
        <f t="shared" si="81"/>
        <v>0</v>
      </c>
    </row>
    <row r="1697" spans="50:52">
      <c r="AX1697" s="46">
        <f t="shared" si="79"/>
        <v>0</v>
      </c>
      <c r="AY1697" s="46">
        <f t="shared" si="80"/>
        <v>0</v>
      </c>
      <c r="AZ1697" s="46">
        <f t="shared" si="81"/>
        <v>0</v>
      </c>
    </row>
    <row r="1698" spans="50:52">
      <c r="AX1698" s="46">
        <f t="shared" si="79"/>
        <v>0</v>
      </c>
      <c r="AY1698" s="46">
        <f t="shared" si="80"/>
        <v>0</v>
      </c>
      <c r="AZ1698" s="46">
        <f t="shared" si="81"/>
        <v>0</v>
      </c>
    </row>
    <row r="1699" spans="50:52">
      <c r="AX1699" s="46">
        <f t="shared" si="79"/>
        <v>0</v>
      </c>
      <c r="AY1699" s="46">
        <f t="shared" si="80"/>
        <v>0</v>
      </c>
      <c r="AZ1699" s="46">
        <f t="shared" si="81"/>
        <v>0</v>
      </c>
    </row>
    <row r="1700" spans="50:52">
      <c r="AX1700" s="46">
        <f t="shared" si="79"/>
        <v>0</v>
      </c>
      <c r="AY1700" s="46">
        <f t="shared" si="80"/>
        <v>0</v>
      </c>
      <c r="AZ1700" s="46">
        <f t="shared" si="81"/>
        <v>0</v>
      </c>
    </row>
    <row r="1701" spans="50:52">
      <c r="AX1701" s="46">
        <f t="shared" si="79"/>
        <v>0</v>
      </c>
      <c r="AY1701" s="46">
        <f t="shared" si="80"/>
        <v>0</v>
      </c>
      <c r="AZ1701" s="46">
        <f t="shared" si="81"/>
        <v>0</v>
      </c>
    </row>
    <row r="1702" spans="50:52">
      <c r="AX1702" s="46">
        <f t="shared" si="79"/>
        <v>0</v>
      </c>
      <c r="AY1702" s="46">
        <f t="shared" si="80"/>
        <v>0</v>
      </c>
      <c r="AZ1702" s="46">
        <f t="shared" si="81"/>
        <v>0</v>
      </c>
    </row>
    <row r="1703" spans="50:52">
      <c r="AX1703" s="46">
        <f t="shared" si="79"/>
        <v>0</v>
      </c>
      <c r="AY1703" s="46">
        <f t="shared" si="80"/>
        <v>0</v>
      </c>
      <c r="AZ1703" s="46">
        <f t="shared" si="81"/>
        <v>0</v>
      </c>
    </row>
    <row r="1704" spans="50:52">
      <c r="AX1704" s="46">
        <f t="shared" si="79"/>
        <v>0</v>
      </c>
      <c r="AY1704" s="46">
        <f t="shared" si="80"/>
        <v>0</v>
      </c>
      <c r="AZ1704" s="46">
        <f t="shared" si="81"/>
        <v>0</v>
      </c>
    </row>
    <row r="1705" spans="50:52">
      <c r="AX1705" s="46">
        <f t="shared" si="79"/>
        <v>0</v>
      </c>
      <c r="AY1705" s="46">
        <f t="shared" si="80"/>
        <v>0</v>
      </c>
      <c r="AZ1705" s="46">
        <f t="shared" si="81"/>
        <v>0</v>
      </c>
    </row>
    <row r="1706" spans="50:52">
      <c r="AX1706" s="46">
        <f t="shared" si="79"/>
        <v>0</v>
      </c>
      <c r="AY1706" s="46">
        <f t="shared" si="80"/>
        <v>0</v>
      </c>
      <c r="AZ1706" s="46">
        <f t="shared" si="81"/>
        <v>0</v>
      </c>
    </row>
    <row r="1707" spans="50:52">
      <c r="AX1707" s="46">
        <f t="shared" si="79"/>
        <v>0</v>
      </c>
      <c r="AY1707" s="46">
        <f t="shared" si="80"/>
        <v>0</v>
      </c>
      <c r="AZ1707" s="46">
        <f t="shared" si="81"/>
        <v>0</v>
      </c>
    </row>
    <row r="1708" spans="50:52">
      <c r="AX1708" s="46">
        <f t="shared" si="79"/>
        <v>0</v>
      </c>
      <c r="AY1708" s="46">
        <f t="shared" si="80"/>
        <v>0</v>
      </c>
      <c r="AZ1708" s="46">
        <f t="shared" si="81"/>
        <v>0</v>
      </c>
    </row>
    <row r="1709" spans="50:52">
      <c r="AX1709" s="46">
        <f t="shared" si="79"/>
        <v>0</v>
      </c>
      <c r="AY1709" s="46">
        <f t="shared" si="80"/>
        <v>0</v>
      </c>
      <c r="AZ1709" s="46">
        <f t="shared" si="81"/>
        <v>0</v>
      </c>
    </row>
    <row r="1710" spans="50:52">
      <c r="AX1710" s="46">
        <f t="shared" si="79"/>
        <v>0</v>
      </c>
      <c r="AY1710" s="46">
        <f t="shared" si="80"/>
        <v>0</v>
      </c>
      <c r="AZ1710" s="46">
        <f t="shared" si="81"/>
        <v>0</v>
      </c>
    </row>
    <row r="1711" spans="50:52">
      <c r="AX1711" s="46">
        <f t="shared" si="79"/>
        <v>0</v>
      </c>
      <c r="AY1711" s="46">
        <f t="shared" si="80"/>
        <v>0</v>
      </c>
      <c r="AZ1711" s="46">
        <f t="shared" si="81"/>
        <v>0</v>
      </c>
    </row>
    <row r="1712" spans="50:52">
      <c r="AX1712" s="46">
        <f t="shared" si="79"/>
        <v>0</v>
      </c>
      <c r="AY1712" s="46">
        <f t="shared" si="80"/>
        <v>0</v>
      </c>
      <c r="AZ1712" s="46">
        <f t="shared" si="81"/>
        <v>0</v>
      </c>
    </row>
    <row r="1713" spans="50:52">
      <c r="AX1713" s="46">
        <f t="shared" si="79"/>
        <v>0</v>
      </c>
      <c r="AY1713" s="46">
        <f t="shared" si="80"/>
        <v>0</v>
      </c>
      <c r="AZ1713" s="46">
        <f t="shared" si="81"/>
        <v>0</v>
      </c>
    </row>
    <row r="1714" spans="50:52">
      <c r="AX1714" s="46">
        <f t="shared" si="79"/>
        <v>0</v>
      </c>
      <c r="AY1714" s="46">
        <f t="shared" si="80"/>
        <v>0</v>
      </c>
      <c r="AZ1714" s="46">
        <f t="shared" si="81"/>
        <v>0</v>
      </c>
    </row>
    <row r="1715" spans="50:52">
      <c r="AX1715" s="46">
        <f t="shared" si="79"/>
        <v>0</v>
      </c>
      <c r="AY1715" s="46">
        <f t="shared" si="80"/>
        <v>0</v>
      </c>
      <c r="AZ1715" s="46">
        <f t="shared" si="81"/>
        <v>0</v>
      </c>
    </row>
    <row r="1716" spans="50:52">
      <c r="AX1716" s="46">
        <f t="shared" si="79"/>
        <v>0</v>
      </c>
      <c r="AY1716" s="46">
        <f t="shared" si="80"/>
        <v>0</v>
      </c>
      <c r="AZ1716" s="46">
        <f t="shared" si="81"/>
        <v>0</v>
      </c>
    </row>
    <row r="1717" spans="50:52">
      <c r="AX1717" s="46">
        <f t="shared" si="79"/>
        <v>0</v>
      </c>
      <c r="AY1717" s="46">
        <f t="shared" si="80"/>
        <v>0</v>
      </c>
      <c r="AZ1717" s="46">
        <f t="shared" si="81"/>
        <v>0</v>
      </c>
    </row>
    <row r="1718" spans="50:52">
      <c r="AX1718" s="46">
        <f t="shared" si="79"/>
        <v>0</v>
      </c>
      <c r="AY1718" s="46">
        <f t="shared" si="80"/>
        <v>0</v>
      </c>
      <c r="AZ1718" s="46">
        <f t="shared" si="81"/>
        <v>0</v>
      </c>
    </row>
    <row r="1719" spans="50:52">
      <c r="AX1719" s="46">
        <f t="shared" si="79"/>
        <v>0</v>
      </c>
      <c r="AY1719" s="46">
        <f t="shared" si="80"/>
        <v>0</v>
      </c>
      <c r="AZ1719" s="46">
        <f t="shared" si="81"/>
        <v>0</v>
      </c>
    </row>
    <row r="1720" spans="50:52">
      <c r="AX1720" s="46">
        <f t="shared" si="79"/>
        <v>0</v>
      </c>
      <c r="AY1720" s="46">
        <f t="shared" si="80"/>
        <v>0</v>
      </c>
      <c r="AZ1720" s="46">
        <f t="shared" si="81"/>
        <v>0</v>
      </c>
    </row>
    <row r="1721" spans="50:52">
      <c r="AX1721" s="46">
        <f t="shared" si="79"/>
        <v>0</v>
      </c>
      <c r="AY1721" s="46">
        <f t="shared" si="80"/>
        <v>0</v>
      </c>
      <c r="AZ1721" s="46">
        <f t="shared" si="81"/>
        <v>0</v>
      </c>
    </row>
    <row r="1722" spans="50:52">
      <c r="AX1722" s="46">
        <f t="shared" si="79"/>
        <v>0</v>
      </c>
      <c r="AY1722" s="46">
        <f t="shared" si="80"/>
        <v>0</v>
      </c>
      <c r="AZ1722" s="46">
        <f t="shared" si="81"/>
        <v>0</v>
      </c>
    </row>
    <row r="1723" spans="50:52">
      <c r="AX1723" s="46">
        <f t="shared" si="79"/>
        <v>0</v>
      </c>
      <c r="AY1723" s="46">
        <f t="shared" si="80"/>
        <v>0</v>
      </c>
      <c r="AZ1723" s="46">
        <f t="shared" si="81"/>
        <v>0</v>
      </c>
    </row>
    <row r="1724" spans="50:52">
      <c r="AX1724" s="46">
        <f t="shared" si="79"/>
        <v>0</v>
      </c>
      <c r="AY1724" s="46">
        <f t="shared" si="80"/>
        <v>0</v>
      </c>
      <c r="AZ1724" s="46">
        <f t="shared" si="81"/>
        <v>0</v>
      </c>
    </row>
    <row r="1725" spans="50:52">
      <c r="AX1725" s="46">
        <f t="shared" si="79"/>
        <v>0</v>
      </c>
      <c r="AY1725" s="46">
        <f t="shared" si="80"/>
        <v>0</v>
      </c>
      <c r="AZ1725" s="46">
        <f t="shared" si="81"/>
        <v>0</v>
      </c>
    </row>
    <row r="1726" spans="50:52">
      <c r="AX1726" s="46">
        <f t="shared" si="79"/>
        <v>0</v>
      </c>
      <c r="AY1726" s="46">
        <f t="shared" si="80"/>
        <v>0</v>
      </c>
      <c r="AZ1726" s="46">
        <f t="shared" si="81"/>
        <v>0</v>
      </c>
    </row>
    <row r="1727" spans="50:52">
      <c r="AX1727" s="46">
        <f t="shared" si="79"/>
        <v>0</v>
      </c>
      <c r="AY1727" s="46">
        <f t="shared" si="80"/>
        <v>0</v>
      </c>
      <c r="AZ1727" s="46">
        <f t="shared" si="81"/>
        <v>0</v>
      </c>
    </row>
    <row r="1728" spans="50:52">
      <c r="AX1728" s="46">
        <f t="shared" si="79"/>
        <v>0</v>
      </c>
      <c r="AY1728" s="46">
        <f t="shared" si="80"/>
        <v>0</v>
      </c>
      <c r="AZ1728" s="46">
        <f t="shared" si="81"/>
        <v>0</v>
      </c>
    </row>
    <row r="1729" spans="50:52">
      <c r="AX1729" s="46">
        <f t="shared" si="79"/>
        <v>0</v>
      </c>
      <c r="AY1729" s="46">
        <f t="shared" si="80"/>
        <v>0</v>
      </c>
      <c r="AZ1729" s="46">
        <f t="shared" si="81"/>
        <v>0</v>
      </c>
    </row>
    <row r="1730" spans="50:52">
      <c r="AX1730" s="46">
        <f t="shared" si="79"/>
        <v>0</v>
      </c>
      <c r="AY1730" s="46">
        <f t="shared" si="80"/>
        <v>0</v>
      </c>
      <c r="AZ1730" s="46">
        <f t="shared" si="81"/>
        <v>0</v>
      </c>
    </row>
    <row r="1731" spans="50:52">
      <c r="AX1731" s="46">
        <f t="shared" si="79"/>
        <v>0</v>
      </c>
      <c r="AY1731" s="46">
        <f t="shared" si="80"/>
        <v>0</v>
      </c>
      <c r="AZ1731" s="46">
        <f t="shared" si="81"/>
        <v>0</v>
      </c>
    </row>
    <row r="1732" spans="50:52">
      <c r="AX1732" s="46">
        <f t="shared" si="79"/>
        <v>0</v>
      </c>
      <c r="AY1732" s="46">
        <f t="shared" si="80"/>
        <v>0</v>
      </c>
      <c r="AZ1732" s="46">
        <f t="shared" si="81"/>
        <v>0</v>
      </c>
    </row>
    <row r="1733" spans="50:52">
      <c r="AX1733" s="46">
        <f t="shared" si="79"/>
        <v>0</v>
      </c>
      <c r="AY1733" s="46">
        <f t="shared" si="80"/>
        <v>0</v>
      </c>
      <c r="AZ1733" s="46">
        <f t="shared" si="81"/>
        <v>0</v>
      </c>
    </row>
    <row r="1734" spans="50:52">
      <c r="AX1734" s="46">
        <f t="shared" si="79"/>
        <v>0</v>
      </c>
      <c r="AY1734" s="46">
        <f t="shared" si="80"/>
        <v>0</v>
      </c>
      <c r="AZ1734" s="46">
        <f t="shared" si="81"/>
        <v>0</v>
      </c>
    </row>
    <row r="1735" spans="50:52">
      <c r="AX1735" s="46">
        <f t="shared" si="79"/>
        <v>0</v>
      </c>
      <c r="AY1735" s="46">
        <f t="shared" si="80"/>
        <v>0</v>
      </c>
      <c r="AZ1735" s="46">
        <f t="shared" si="81"/>
        <v>0</v>
      </c>
    </row>
    <row r="1736" spans="50:52">
      <c r="AX1736" s="46">
        <f t="shared" si="79"/>
        <v>0</v>
      </c>
      <c r="AY1736" s="46">
        <f t="shared" si="80"/>
        <v>0</v>
      </c>
      <c r="AZ1736" s="46">
        <f t="shared" si="81"/>
        <v>0</v>
      </c>
    </row>
    <row r="1737" spans="50:52">
      <c r="AX1737" s="46">
        <f t="shared" si="79"/>
        <v>0</v>
      </c>
      <c r="AY1737" s="46">
        <f t="shared" si="80"/>
        <v>0</v>
      </c>
      <c r="AZ1737" s="46">
        <f t="shared" si="81"/>
        <v>0</v>
      </c>
    </row>
    <row r="1738" spans="50:52">
      <c r="AX1738" s="46">
        <f t="shared" si="79"/>
        <v>0</v>
      </c>
      <c r="AY1738" s="46">
        <f t="shared" si="80"/>
        <v>0</v>
      </c>
      <c r="AZ1738" s="46">
        <f t="shared" si="81"/>
        <v>0</v>
      </c>
    </row>
    <row r="1739" spans="50:52">
      <c r="AX1739" s="46">
        <f t="shared" ref="AX1739:AX1802" si="82">IFERROR(SUM(Q1739:AS1739)-SUM(AT1739:AU1739)+AV1739,"-")</f>
        <v>0</v>
      </c>
      <c r="AY1739" s="46">
        <f t="shared" ref="AY1739:AY1802" si="83">IFERROR(SUM(Q1739:AS1739)-SUM(AT1739:AT1739),"-")</f>
        <v>0</v>
      </c>
      <c r="AZ1739" s="46">
        <f t="shared" ref="AZ1739:AZ1802" si="84">SUM(Q1739:AS1739)</f>
        <v>0</v>
      </c>
    </row>
    <row r="1740" spans="50:52">
      <c r="AX1740" s="46">
        <f t="shared" si="82"/>
        <v>0</v>
      </c>
      <c r="AY1740" s="46">
        <f t="shared" si="83"/>
        <v>0</v>
      </c>
      <c r="AZ1740" s="46">
        <f t="shared" si="84"/>
        <v>0</v>
      </c>
    </row>
    <row r="1741" spans="50:52">
      <c r="AX1741" s="46">
        <f t="shared" si="82"/>
        <v>0</v>
      </c>
      <c r="AY1741" s="46">
        <f t="shared" si="83"/>
        <v>0</v>
      </c>
      <c r="AZ1741" s="46">
        <f t="shared" si="84"/>
        <v>0</v>
      </c>
    </row>
    <row r="1742" spans="50:52">
      <c r="AX1742" s="46">
        <f t="shared" si="82"/>
        <v>0</v>
      </c>
      <c r="AY1742" s="46">
        <f t="shared" si="83"/>
        <v>0</v>
      </c>
      <c r="AZ1742" s="46">
        <f t="shared" si="84"/>
        <v>0</v>
      </c>
    </row>
    <row r="1743" spans="50:52">
      <c r="AX1743" s="46">
        <f t="shared" si="82"/>
        <v>0</v>
      </c>
      <c r="AY1743" s="46">
        <f t="shared" si="83"/>
        <v>0</v>
      </c>
      <c r="AZ1743" s="46">
        <f t="shared" si="84"/>
        <v>0</v>
      </c>
    </row>
    <row r="1744" spans="50:52">
      <c r="AX1744" s="46">
        <f t="shared" si="82"/>
        <v>0</v>
      </c>
      <c r="AY1744" s="46">
        <f t="shared" si="83"/>
        <v>0</v>
      </c>
      <c r="AZ1744" s="46">
        <f t="shared" si="84"/>
        <v>0</v>
      </c>
    </row>
    <row r="1745" spans="50:52">
      <c r="AX1745" s="46">
        <f t="shared" si="82"/>
        <v>0</v>
      </c>
      <c r="AY1745" s="46">
        <f t="shared" si="83"/>
        <v>0</v>
      </c>
      <c r="AZ1745" s="46">
        <f t="shared" si="84"/>
        <v>0</v>
      </c>
    </row>
    <row r="1746" spans="50:52">
      <c r="AX1746" s="46">
        <f t="shared" si="82"/>
        <v>0</v>
      </c>
      <c r="AY1746" s="46">
        <f t="shared" si="83"/>
        <v>0</v>
      </c>
      <c r="AZ1746" s="46">
        <f t="shared" si="84"/>
        <v>0</v>
      </c>
    </row>
    <row r="1747" spans="50:52">
      <c r="AX1747" s="46">
        <f t="shared" si="82"/>
        <v>0</v>
      </c>
      <c r="AY1747" s="46">
        <f t="shared" si="83"/>
        <v>0</v>
      </c>
      <c r="AZ1747" s="46">
        <f t="shared" si="84"/>
        <v>0</v>
      </c>
    </row>
    <row r="1748" spans="50:52">
      <c r="AX1748" s="46">
        <f t="shared" si="82"/>
        <v>0</v>
      </c>
      <c r="AY1748" s="46">
        <f t="shared" si="83"/>
        <v>0</v>
      </c>
      <c r="AZ1748" s="46">
        <f t="shared" si="84"/>
        <v>0</v>
      </c>
    </row>
    <row r="1749" spans="50:52">
      <c r="AX1749" s="46">
        <f t="shared" si="82"/>
        <v>0</v>
      </c>
      <c r="AY1749" s="46">
        <f t="shared" si="83"/>
        <v>0</v>
      </c>
      <c r="AZ1749" s="46">
        <f t="shared" si="84"/>
        <v>0</v>
      </c>
    </row>
    <row r="1750" spans="50:52">
      <c r="AX1750" s="46">
        <f t="shared" si="82"/>
        <v>0</v>
      </c>
      <c r="AY1750" s="46">
        <f t="shared" si="83"/>
        <v>0</v>
      </c>
      <c r="AZ1750" s="46">
        <f t="shared" si="84"/>
        <v>0</v>
      </c>
    </row>
    <row r="1751" spans="50:52">
      <c r="AX1751" s="46">
        <f t="shared" si="82"/>
        <v>0</v>
      </c>
      <c r="AY1751" s="46">
        <f t="shared" si="83"/>
        <v>0</v>
      </c>
      <c r="AZ1751" s="46">
        <f t="shared" si="84"/>
        <v>0</v>
      </c>
    </row>
    <row r="1752" spans="50:52">
      <c r="AX1752" s="46">
        <f t="shared" si="82"/>
        <v>0</v>
      </c>
      <c r="AY1752" s="46">
        <f t="shared" si="83"/>
        <v>0</v>
      </c>
      <c r="AZ1752" s="46">
        <f t="shared" si="84"/>
        <v>0</v>
      </c>
    </row>
    <row r="1753" spans="50:52">
      <c r="AX1753" s="46">
        <f t="shared" si="82"/>
        <v>0</v>
      </c>
      <c r="AY1753" s="46">
        <f t="shared" si="83"/>
        <v>0</v>
      </c>
      <c r="AZ1753" s="46">
        <f t="shared" si="84"/>
        <v>0</v>
      </c>
    </row>
    <row r="1754" spans="50:52">
      <c r="AX1754" s="46">
        <f t="shared" si="82"/>
        <v>0</v>
      </c>
      <c r="AY1754" s="46">
        <f t="shared" si="83"/>
        <v>0</v>
      </c>
      <c r="AZ1754" s="46">
        <f t="shared" si="84"/>
        <v>0</v>
      </c>
    </row>
    <row r="1755" spans="50:52">
      <c r="AX1755" s="46">
        <f t="shared" si="82"/>
        <v>0</v>
      </c>
      <c r="AY1755" s="46">
        <f t="shared" si="83"/>
        <v>0</v>
      </c>
      <c r="AZ1755" s="46">
        <f t="shared" si="84"/>
        <v>0</v>
      </c>
    </row>
    <row r="1756" spans="50:52">
      <c r="AX1756" s="46">
        <f t="shared" si="82"/>
        <v>0</v>
      </c>
      <c r="AY1756" s="46">
        <f t="shared" si="83"/>
        <v>0</v>
      </c>
      <c r="AZ1756" s="46">
        <f t="shared" si="84"/>
        <v>0</v>
      </c>
    </row>
    <row r="1757" spans="50:52">
      <c r="AX1757" s="46">
        <f t="shared" si="82"/>
        <v>0</v>
      </c>
      <c r="AY1757" s="46">
        <f t="shared" si="83"/>
        <v>0</v>
      </c>
      <c r="AZ1757" s="46">
        <f t="shared" si="84"/>
        <v>0</v>
      </c>
    </row>
    <row r="1758" spans="50:52">
      <c r="AX1758" s="46">
        <f t="shared" si="82"/>
        <v>0</v>
      </c>
      <c r="AY1758" s="46">
        <f t="shared" si="83"/>
        <v>0</v>
      </c>
      <c r="AZ1758" s="46">
        <f t="shared" si="84"/>
        <v>0</v>
      </c>
    </row>
    <row r="1759" spans="50:52">
      <c r="AX1759" s="46">
        <f t="shared" si="82"/>
        <v>0</v>
      </c>
      <c r="AY1759" s="46">
        <f t="shared" si="83"/>
        <v>0</v>
      </c>
      <c r="AZ1759" s="46">
        <f t="shared" si="84"/>
        <v>0</v>
      </c>
    </row>
    <row r="1760" spans="50:52">
      <c r="AX1760" s="46">
        <f t="shared" si="82"/>
        <v>0</v>
      </c>
      <c r="AY1760" s="46">
        <f t="shared" si="83"/>
        <v>0</v>
      </c>
      <c r="AZ1760" s="46">
        <f t="shared" si="84"/>
        <v>0</v>
      </c>
    </row>
    <row r="1761" spans="50:52">
      <c r="AX1761" s="46">
        <f t="shared" si="82"/>
        <v>0</v>
      </c>
      <c r="AY1761" s="46">
        <f t="shared" si="83"/>
        <v>0</v>
      </c>
      <c r="AZ1761" s="46">
        <f t="shared" si="84"/>
        <v>0</v>
      </c>
    </row>
    <row r="1762" spans="50:52">
      <c r="AX1762" s="46">
        <f t="shared" si="82"/>
        <v>0</v>
      </c>
      <c r="AY1762" s="46">
        <f t="shared" si="83"/>
        <v>0</v>
      </c>
      <c r="AZ1762" s="46">
        <f t="shared" si="84"/>
        <v>0</v>
      </c>
    </row>
    <row r="1763" spans="50:52">
      <c r="AX1763" s="46">
        <f t="shared" si="82"/>
        <v>0</v>
      </c>
      <c r="AY1763" s="46">
        <f t="shared" si="83"/>
        <v>0</v>
      </c>
      <c r="AZ1763" s="46">
        <f t="shared" si="84"/>
        <v>0</v>
      </c>
    </row>
    <row r="1764" spans="50:52">
      <c r="AX1764" s="46">
        <f t="shared" si="82"/>
        <v>0</v>
      </c>
      <c r="AY1764" s="46">
        <f t="shared" si="83"/>
        <v>0</v>
      </c>
      <c r="AZ1764" s="46">
        <f t="shared" si="84"/>
        <v>0</v>
      </c>
    </row>
    <row r="1765" spans="50:52">
      <c r="AX1765" s="46">
        <f t="shared" si="82"/>
        <v>0</v>
      </c>
      <c r="AY1765" s="46">
        <f t="shared" si="83"/>
        <v>0</v>
      </c>
      <c r="AZ1765" s="46">
        <f t="shared" si="84"/>
        <v>0</v>
      </c>
    </row>
    <row r="1766" spans="50:52">
      <c r="AX1766" s="46">
        <f t="shared" si="82"/>
        <v>0</v>
      </c>
      <c r="AY1766" s="46">
        <f t="shared" si="83"/>
        <v>0</v>
      </c>
      <c r="AZ1766" s="46">
        <f t="shared" si="84"/>
        <v>0</v>
      </c>
    </row>
    <row r="1767" spans="50:52">
      <c r="AX1767" s="46">
        <f t="shared" si="82"/>
        <v>0</v>
      </c>
      <c r="AY1767" s="46">
        <f t="shared" si="83"/>
        <v>0</v>
      </c>
      <c r="AZ1767" s="46">
        <f t="shared" si="84"/>
        <v>0</v>
      </c>
    </row>
    <row r="1768" spans="50:52">
      <c r="AX1768" s="46">
        <f t="shared" si="82"/>
        <v>0</v>
      </c>
      <c r="AY1768" s="46">
        <f t="shared" si="83"/>
        <v>0</v>
      </c>
      <c r="AZ1768" s="46">
        <f t="shared" si="84"/>
        <v>0</v>
      </c>
    </row>
    <row r="1769" spans="50:52">
      <c r="AX1769" s="46">
        <f t="shared" si="82"/>
        <v>0</v>
      </c>
      <c r="AY1769" s="46">
        <f t="shared" si="83"/>
        <v>0</v>
      </c>
      <c r="AZ1769" s="46">
        <f t="shared" si="84"/>
        <v>0</v>
      </c>
    </row>
    <row r="1770" spans="50:52">
      <c r="AX1770" s="46">
        <f t="shared" si="82"/>
        <v>0</v>
      </c>
      <c r="AY1770" s="46">
        <f t="shared" si="83"/>
        <v>0</v>
      </c>
      <c r="AZ1770" s="46">
        <f t="shared" si="84"/>
        <v>0</v>
      </c>
    </row>
    <row r="1771" spans="50:52">
      <c r="AX1771" s="46">
        <f t="shared" si="82"/>
        <v>0</v>
      </c>
      <c r="AY1771" s="46">
        <f t="shared" si="83"/>
        <v>0</v>
      </c>
      <c r="AZ1771" s="46">
        <f t="shared" si="84"/>
        <v>0</v>
      </c>
    </row>
    <row r="1772" spans="50:52">
      <c r="AX1772" s="46">
        <f t="shared" si="82"/>
        <v>0</v>
      </c>
      <c r="AY1772" s="46">
        <f t="shared" si="83"/>
        <v>0</v>
      </c>
      <c r="AZ1772" s="46">
        <f t="shared" si="84"/>
        <v>0</v>
      </c>
    </row>
    <row r="1773" spans="50:52">
      <c r="AX1773" s="46">
        <f t="shared" si="82"/>
        <v>0</v>
      </c>
      <c r="AY1773" s="46">
        <f t="shared" si="83"/>
        <v>0</v>
      </c>
      <c r="AZ1773" s="46">
        <f t="shared" si="84"/>
        <v>0</v>
      </c>
    </row>
    <row r="1774" spans="50:52">
      <c r="AX1774" s="46">
        <f t="shared" si="82"/>
        <v>0</v>
      </c>
      <c r="AY1774" s="46">
        <f t="shared" si="83"/>
        <v>0</v>
      </c>
      <c r="AZ1774" s="46">
        <f t="shared" si="84"/>
        <v>0</v>
      </c>
    </row>
    <row r="1775" spans="50:52">
      <c r="AX1775" s="46">
        <f t="shared" si="82"/>
        <v>0</v>
      </c>
      <c r="AY1775" s="46">
        <f t="shared" si="83"/>
        <v>0</v>
      </c>
      <c r="AZ1775" s="46">
        <f t="shared" si="84"/>
        <v>0</v>
      </c>
    </row>
    <row r="1776" spans="50:52">
      <c r="AX1776" s="46">
        <f t="shared" si="82"/>
        <v>0</v>
      </c>
      <c r="AY1776" s="46">
        <f t="shared" si="83"/>
        <v>0</v>
      </c>
      <c r="AZ1776" s="46">
        <f t="shared" si="84"/>
        <v>0</v>
      </c>
    </row>
    <row r="1777" spans="50:52">
      <c r="AX1777" s="46">
        <f t="shared" si="82"/>
        <v>0</v>
      </c>
      <c r="AY1777" s="46">
        <f t="shared" si="83"/>
        <v>0</v>
      </c>
      <c r="AZ1777" s="46">
        <f t="shared" si="84"/>
        <v>0</v>
      </c>
    </row>
    <row r="1778" spans="50:52">
      <c r="AX1778" s="46">
        <f t="shared" si="82"/>
        <v>0</v>
      </c>
      <c r="AY1778" s="46">
        <f t="shared" si="83"/>
        <v>0</v>
      </c>
      <c r="AZ1778" s="46">
        <f t="shared" si="84"/>
        <v>0</v>
      </c>
    </row>
    <row r="1779" spans="50:52">
      <c r="AX1779" s="46">
        <f t="shared" si="82"/>
        <v>0</v>
      </c>
      <c r="AY1779" s="46">
        <f t="shared" si="83"/>
        <v>0</v>
      </c>
      <c r="AZ1779" s="46">
        <f t="shared" si="84"/>
        <v>0</v>
      </c>
    </row>
    <row r="1780" spans="50:52">
      <c r="AX1780" s="46">
        <f t="shared" si="82"/>
        <v>0</v>
      </c>
      <c r="AY1780" s="46">
        <f t="shared" si="83"/>
        <v>0</v>
      </c>
      <c r="AZ1780" s="46">
        <f t="shared" si="84"/>
        <v>0</v>
      </c>
    </row>
    <row r="1781" spans="50:52">
      <c r="AX1781" s="46">
        <f t="shared" si="82"/>
        <v>0</v>
      </c>
      <c r="AY1781" s="46">
        <f t="shared" si="83"/>
        <v>0</v>
      </c>
      <c r="AZ1781" s="46">
        <f t="shared" si="84"/>
        <v>0</v>
      </c>
    </row>
    <row r="1782" spans="50:52">
      <c r="AX1782" s="46">
        <f t="shared" si="82"/>
        <v>0</v>
      </c>
      <c r="AY1782" s="46">
        <f t="shared" si="83"/>
        <v>0</v>
      </c>
      <c r="AZ1782" s="46">
        <f t="shared" si="84"/>
        <v>0</v>
      </c>
    </row>
    <row r="1783" spans="50:52">
      <c r="AX1783" s="46">
        <f t="shared" si="82"/>
        <v>0</v>
      </c>
      <c r="AY1783" s="46">
        <f t="shared" si="83"/>
        <v>0</v>
      </c>
      <c r="AZ1783" s="46">
        <f t="shared" si="84"/>
        <v>0</v>
      </c>
    </row>
    <row r="1784" spans="50:52">
      <c r="AX1784" s="46">
        <f t="shared" si="82"/>
        <v>0</v>
      </c>
      <c r="AY1784" s="46">
        <f t="shared" si="83"/>
        <v>0</v>
      </c>
      <c r="AZ1784" s="46">
        <f t="shared" si="84"/>
        <v>0</v>
      </c>
    </row>
    <row r="1785" spans="50:52">
      <c r="AX1785" s="46">
        <f t="shared" si="82"/>
        <v>0</v>
      </c>
      <c r="AY1785" s="46">
        <f t="shared" si="83"/>
        <v>0</v>
      </c>
      <c r="AZ1785" s="46">
        <f t="shared" si="84"/>
        <v>0</v>
      </c>
    </row>
    <row r="1786" spans="50:52">
      <c r="AX1786" s="46">
        <f t="shared" si="82"/>
        <v>0</v>
      </c>
      <c r="AY1786" s="46">
        <f t="shared" si="83"/>
        <v>0</v>
      </c>
      <c r="AZ1786" s="46">
        <f t="shared" si="84"/>
        <v>0</v>
      </c>
    </row>
    <row r="1787" spans="50:52">
      <c r="AX1787" s="46">
        <f t="shared" si="82"/>
        <v>0</v>
      </c>
      <c r="AY1787" s="46">
        <f t="shared" si="83"/>
        <v>0</v>
      </c>
      <c r="AZ1787" s="46">
        <f t="shared" si="84"/>
        <v>0</v>
      </c>
    </row>
    <row r="1788" spans="50:52">
      <c r="AX1788" s="46">
        <f t="shared" si="82"/>
        <v>0</v>
      </c>
      <c r="AY1788" s="46">
        <f t="shared" si="83"/>
        <v>0</v>
      </c>
      <c r="AZ1788" s="46">
        <f t="shared" si="84"/>
        <v>0</v>
      </c>
    </row>
    <row r="1789" spans="50:52">
      <c r="AX1789" s="46">
        <f t="shared" si="82"/>
        <v>0</v>
      </c>
      <c r="AY1789" s="46">
        <f t="shared" si="83"/>
        <v>0</v>
      </c>
      <c r="AZ1789" s="46">
        <f t="shared" si="84"/>
        <v>0</v>
      </c>
    </row>
    <row r="1790" spans="50:52">
      <c r="AX1790" s="46">
        <f t="shared" si="82"/>
        <v>0</v>
      </c>
      <c r="AY1790" s="46">
        <f t="shared" si="83"/>
        <v>0</v>
      </c>
      <c r="AZ1790" s="46">
        <f t="shared" si="84"/>
        <v>0</v>
      </c>
    </row>
    <row r="1791" spans="50:52">
      <c r="AX1791" s="46">
        <f t="shared" si="82"/>
        <v>0</v>
      </c>
      <c r="AY1791" s="46">
        <f t="shared" si="83"/>
        <v>0</v>
      </c>
      <c r="AZ1791" s="46">
        <f t="shared" si="84"/>
        <v>0</v>
      </c>
    </row>
    <row r="1792" spans="50:52">
      <c r="AX1792" s="46">
        <f t="shared" si="82"/>
        <v>0</v>
      </c>
      <c r="AY1792" s="46">
        <f t="shared" si="83"/>
        <v>0</v>
      </c>
      <c r="AZ1792" s="46">
        <f t="shared" si="84"/>
        <v>0</v>
      </c>
    </row>
    <row r="1793" spans="50:52">
      <c r="AX1793" s="46">
        <f t="shared" si="82"/>
        <v>0</v>
      </c>
      <c r="AY1793" s="46">
        <f t="shared" si="83"/>
        <v>0</v>
      </c>
      <c r="AZ1793" s="46">
        <f t="shared" si="84"/>
        <v>0</v>
      </c>
    </row>
    <row r="1794" spans="50:52">
      <c r="AX1794" s="46">
        <f t="shared" si="82"/>
        <v>0</v>
      </c>
      <c r="AY1794" s="46">
        <f t="shared" si="83"/>
        <v>0</v>
      </c>
      <c r="AZ1794" s="46">
        <f t="shared" si="84"/>
        <v>0</v>
      </c>
    </row>
    <row r="1795" spans="50:52">
      <c r="AX1795" s="46">
        <f t="shared" si="82"/>
        <v>0</v>
      </c>
      <c r="AY1795" s="46">
        <f t="shared" si="83"/>
        <v>0</v>
      </c>
      <c r="AZ1795" s="46">
        <f t="shared" si="84"/>
        <v>0</v>
      </c>
    </row>
    <row r="1796" spans="50:52">
      <c r="AX1796" s="46">
        <f t="shared" si="82"/>
        <v>0</v>
      </c>
      <c r="AY1796" s="46">
        <f t="shared" si="83"/>
        <v>0</v>
      </c>
      <c r="AZ1796" s="46">
        <f t="shared" si="84"/>
        <v>0</v>
      </c>
    </row>
    <row r="1797" spans="50:52">
      <c r="AX1797" s="46">
        <f t="shared" si="82"/>
        <v>0</v>
      </c>
      <c r="AY1797" s="46">
        <f t="shared" si="83"/>
        <v>0</v>
      </c>
      <c r="AZ1797" s="46">
        <f t="shared" si="84"/>
        <v>0</v>
      </c>
    </row>
    <row r="1798" spans="50:52">
      <c r="AX1798" s="46">
        <f t="shared" si="82"/>
        <v>0</v>
      </c>
      <c r="AY1798" s="46">
        <f t="shared" si="83"/>
        <v>0</v>
      </c>
      <c r="AZ1798" s="46">
        <f t="shared" si="84"/>
        <v>0</v>
      </c>
    </row>
    <row r="1799" spans="50:52">
      <c r="AX1799" s="46">
        <f t="shared" si="82"/>
        <v>0</v>
      </c>
      <c r="AY1799" s="46">
        <f t="shared" si="83"/>
        <v>0</v>
      </c>
      <c r="AZ1799" s="46">
        <f t="shared" si="84"/>
        <v>0</v>
      </c>
    </row>
    <row r="1800" spans="50:52">
      <c r="AX1800" s="46">
        <f t="shared" si="82"/>
        <v>0</v>
      </c>
      <c r="AY1800" s="46">
        <f t="shared" si="83"/>
        <v>0</v>
      </c>
      <c r="AZ1800" s="46">
        <f t="shared" si="84"/>
        <v>0</v>
      </c>
    </row>
    <row r="1801" spans="50:52">
      <c r="AX1801" s="46">
        <f t="shared" si="82"/>
        <v>0</v>
      </c>
      <c r="AY1801" s="46">
        <f t="shared" si="83"/>
        <v>0</v>
      </c>
      <c r="AZ1801" s="46">
        <f t="shared" si="84"/>
        <v>0</v>
      </c>
    </row>
    <row r="1802" spans="50:52">
      <c r="AX1802" s="46">
        <f t="shared" si="82"/>
        <v>0</v>
      </c>
      <c r="AY1802" s="46">
        <f t="shared" si="83"/>
        <v>0</v>
      </c>
      <c r="AZ1802" s="46">
        <f t="shared" si="84"/>
        <v>0</v>
      </c>
    </row>
    <row r="1803" spans="50:52">
      <c r="AX1803" s="46">
        <f t="shared" ref="AX1803:AX1866" si="85">IFERROR(SUM(Q1803:AS1803)-SUM(AT1803:AU1803)+AV1803,"-")</f>
        <v>0</v>
      </c>
      <c r="AY1803" s="46">
        <f t="shared" ref="AY1803:AY1866" si="86">IFERROR(SUM(Q1803:AS1803)-SUM(AT1803:AT1803),"-")</f>
        <v>0</v>
      </c>
      <c r="AZ1803" s="46">
        <f t="shared" ref="AZ1803:AZ1866" si="87">SUM(Q1803:AS1803)</f>
        <v>0</v>
      </c>
    </row>
    <row r="1804" spans="50:52">
      <c r="AX1804" s="46">
        <f t="shared" si="85"/>
        <v>0</v>
      </c>
      <c r="AY1804" s="46">
        <f t="shared" si="86"/>
        <v>0</v>
      </c>
      <c r="AZ1804" s="46">
        <f t="shared" si="87"/>
        <v>0</v>
      </c>
    </row>
    <row r="1805" spans="50:52">
      <c r="AX1805" s="46">
        <f t="shared" si="85"/>
        <v>0</v>
      </c>
      <c r="AY1805" s="46">
        <f t="shared" si="86"/>
        <v>0</v>
      </c>
      <c r="AZ1805" s="46">
        <f t="shared" si="87"/>
        <v>0</v>
      </c>
    </row>
    <row r="1806" spans="50:52">
      <c r="AX1806" s="46">
        <f t="shared" si="85"/>
        <v>0</v>
      </c>
      <c r="AY1806" s="46">
        <f t="shared" si="86"/>
        <v>0</v>
      </c>
      <c r="AZ1806" s="46">
        <f t="shared" si="87"/>
        <v>0</v>
      </c>
    </row>
    <row r="1807" spans="50:52">
      <c r="AX1807" s="46">
        <f t="shared" si="85"/>
        <v>0</v>
      </c>
      <c r="AY1807" s="46">
        <f t="shared" si="86"/>
        <v>0</v>
      </c>
      <c r="AZ1807" s="46">
        <f t="shared" si="87"/>
        <v>0</v>
      </c>
    </row>
    <row r="1808" spans="50:52">
      <c r="AX1808" s="46">
        <f t="shared" si="85"/>
        <v>0</v>
      </c>
      <c r="AY1808" s="46">
        <f t="shared" si="86"/>
        <v>0</v>
      </c>
      <c r="AZ1808" s="46">
        <f t="shared" si="87"/>
        <v>0</v>
      </c>
    </row>
    <row r="1809" spans="50:52">
      <c r="AX1809" s="46">
        <f t="shared" si="85"/>
        <v>0</v>
      </c>
      <c r="AY1809" s="46">
        <f t="shared" si="86"/>
        <v>0</v>
      </c>
      <c r="AZ1809" s="46">
        <f t="shared" si="87"/>
        <v>0</v>
      </c>
    </row>
    <row r="1810" spans="50:52">
      <c r="AX1810" s="46">
        <f t="shared" si="85"/>
        <v>0</v>
      </c>
      <c r="AY1810" s="46">
        <f t="shared" si="86"/>
        <v>0</v>
      </c>
      <c r="AZ1810" s="46">
        <f t="shared" si="87"/>
        <v>0</v>
      </c>
    </row>
    <row r="1811" spans="50:52">
      <c r="AX1811" s="46">
        <f t="shared" si="85"/>
        <v>0</v>
      </c>
      <c r="AY1811" s="46">
        <f t="shared" si="86"/>
        <v>0</v>
      </c>
      <c r="AZ1811" s="46">
        <f t="shared" si="87"/>
        <v>0</v>
      </c>
    </row>
    <row r="1812" spans="50:52">
      <c r="AX1812" s="46">
        <f t="shared" si="85"/>
        <v>0</v>
      </c>
      <c r="AY1812" s="46">
        <f t="shared" si="86"/>
        <v>0</v>
      </c>
      <c r="AZ1812" s="46">
        <f t="shared" si="87"/>
        <v>0</v>
      </c>
    </row>
    <row r="1813" spans="50:52">
      <c r="AX1813" s="46">
        <f t="shared" si="85"/>
        <v>0</v>
      </c>
      <c r="AY1813" s="46">
        <f t="shared" si="86"/>
        <v>0</v>
      </c>
      <c r="AZ1813" s="46">
        <f t="shared" si="87"/>
        <v>0</v>
      </c>
    </row>
    <row r="1814" spans="50:52">
      <c r="AX1814" s="46">
        <f t="shared" si="85"/>
        <v>0</v>
      </c>
      <c r="AY1814" s="46">
        <f t="shared" si="86"/>
        <v>0</v>
      </c>
      <c r="AZ1814" s="46">
        <f t="shared" si="87"/>
        <v>0</v>
      </c>
    </row>
    <row r="1815" spans="50:52">
      <c r="AX1815" s="46">
        <f t="shared" si="85"/>
        <v>0</v>
      </c>
      <c r="AY1815" s="46">
        <f t="shared" si="86"/>
        <v>0</v>
      </c>
      <c r="AZ1815" s="46">
        <f t="shared" si="87"/>
        <v>0</v>
      </c>
    </row>
    <row r="1816" spans="50:52">
      <c r="AX1816" s="46">
        <f t="shared" si="85"/>
        <v>0</v>
      </c>
      <c r="AY1816" s="46">
        <f t="shared" si="86"/>
        <v>0</v>
      </c>
      <c r="AZ1816" s="46">
        <f t="shared" si="87"/>
        <v>0</v>
      </c>
    </row>
    <row r="1817" spans="50:52">
      <c r="AX1817" s="46">
        <f t="shared" si="85"/>
        <v>0</v>
      </c>
      <c r="AY1817" s="46">
        <f t="shared" si="86"/>
        <v>0</v>
      </c>
      <c r="AZ1817" s="46">
        <f t="shared" si="87"/>
        <v>0</v>
      </c>
    </row>
    <row r="1818" spans="50:52">
      <c r="AX1818" s="46">
        <f t="shared" si="85"/>
        <v>0</v>
      </c>
      <c r="AY1818" s="46">
        <f t="shared" si="86"/>
        <v>0</v>
      </c>
      <c r="AZ1818" s="46">
        <f t="shared" si="87"/>
        <v>0</v>
      </c>
    </row>
    <row r="1819" spans="50:52">
      <c r="AX1819" s="46">
        <f t="shared" si="85"/>
        <v>0</v>
      </c>
      <c r="AY1819" s="46">
        <f t="shared" si="86"/>
        <v>0</v>
      </c>
      <c r="AZ1819" s="46">
        <f t="shared" si="87"/>
        <v>0</v>
      </c>
    </row>
    <row r="1820" spans="50:52">
      <c r="AX1820" s="46">
        <f t="shared" si="85"/>
        <v>0</v>
      </c>
      <c r="AY1820" s="46">
        <f t="shared" si="86"/>
        <v>0</v>
      </c>
      <c r="AZ1820" s="46">
        <f t="shared" si="87"/>
        <v>0</v>
      </c>
    </row>
    <row r="1821" spans="50:52">
      <c r="AX1821" s="46">
        <f t="shared" si="85"/>
        <v>0</v>
      </c>
      <c r="AY1821" s="46">
        <f t="shared" si="86"/>
        <v>0</v>
      </c>
      <c r="AZ1821" s="46">
        <f t="shared" si="87"/>
        <v>0</v>
      </c>
    </row>
    <row r="1822" spans="50:52">
      <c r="AX1822" s="46">
        <f t="shared" si="85"/>
        <v>0</v>
      </c>
      <c r="AY1822" s="46">
        <f t="shared" si="86"/>
        <v>0</v>
      </c>
      <c r="AZ1822" s="46">
        <f t="shared" si="87"/>
        <v>0</v>
      </c>
    </row>
    <row r="1823" spans="50:52">
      <c r="AX1823" s="46">
        <f t="shared" si="85"/>
        <v>0</v>
      </c>
      <c r="AY1823" s="46">
        <f t="shared" si="86"/>
        <v>0</v>
      </c>
      <c r="AZ1823" s="46">
        <f t="shared" si="87"/>
        <v>0</v>
      </c>
    </row>
    <row r="1824" spans="50:52">
      <c r="AX1824" s="46">
        <f t="shared" si="85"/>
        <v>0</v>
      </c>
      <c r="AY1824" s="46">
        <f t="shared" si="86"/>
        <v>0</v>
      </c>
      <c r="AZ1824" s="46">
        <f t="shared" si="87"/>
        <v>0</v>
      </c>
    </row>
    <row r="1825" spans="50:52">
      <c r="AX1825" s="46">
        <f t="shared" si="85"/>
        <v>0</v>
      </c>
      <c r="AY1825" s="46">
        <f t="shared" si="86"/>
        <v>0</v>
      </c>
      <c r="AZ1825" s="46">
        <f t="shared" si="87"/>
        <v>0</v>
      </c>
    </row>
    <row r="1826" spans="50:52">
      <c r="AX1826" s="46">
        <f t="shared" si="85"/>
        <v>0</v>
      </c>
      <c r="AY1826" s="46">
        <f t="shared" si="86"/>
        <v>0</v>
      </c>
      <c r="AZ1826" s="46">
        <f t="shared" si="87"/>
        <v>0</v>
      </c>
    </row>
    <row r="1827" spans="50:52">
      <c r="AX1827" s="46">
        <f t="shared" si="85"/>
        <v>0</v>
      </c>
      <c r="AY1827" s="46">
        <f t="shared" si="86"/>
        <v>0</v>
      </c>
      <c r="AZ1827" s="46">
        <f t="shared" si="87"/>
        <v>0</v>
      </c>
    </row>
    <row r="1828" spans="50:52">
      <c r="AX1828" s="46">
        <f t="shared" si="85"/>
        <v>0</v>
      </c>
      <c r="AY1828" s="46">
        <f t="shared" si="86"/>
        <v>0</v>
      </c>
      <c r="AZ1828" s="46">
        <f t="shared" si="87"/>
        <v>0</v>
      </c>
    </row>
    <row r="1829" spans="50:52">
      <c r="AX1829" s="46">
        <f t="shared" si="85"/>
        <v>0</v>
      </c>
      <c r="AY1829" s="46">
        <f t="shared" si="86"/>
        <v>0</v>
      </c>
      <c r="AZ1829" s="46">
        <f t="shared" si="87"/>
        <v>0</v>
      </c>
    </row>
    <row r="1830" spans="50:52">
      <c r="AX1830" s="46">
        <f t="shared" si="85"/>
        <v>0</v>
      </c>
      <c r="AY1830" s="46">
        <f t="shared" si="86"/>
        <v>0</v>
      </c>
      <c r="AZ1830" s="46">
        <f t="shared" si="87"/>
        <v>0</v>
      </c>
    </row>
    <row r="1831" spans="50:52">
      <c r="AX1831" s="46">
        <f t="shared" si="85"/>
        <v>0</v>
      </c>
      <c r="AY1831" s="46">
        <f t="shared" si="86"/>
        <v>0</v>
      </c>
      <c r="AZ1831" s="46">
        <f t="shared" si="87"/>
        <v>0</v>
      </c>
    </row>
    <row r="1832" spans="50:52">
      <c r="AX1832" s="46">
        <f t="shared" si="85"/>
        <v>0</v>
      </c>
      <c r="AY1832" s="46">
        <f t="shared" si="86"/>
        <v>0</v>
      </c>
      <c r="AZ1832" s="46">
        <f t="shared" si="87"/>
        <v>0</v>
      </c>
    </row>
    <row r="1833" spans="50:52">
      <c r="AX1833" s="46">
        <f t="shared" si="85"/>
        <v>0</v>
      </c>
      <c r="AY1833" s="46">
        <f t="shared" si="86"/>
        <v>0</v>
      </c>
      <c r="AZ1833" s="46">
        <f t="shared" si="87"/>
        <v>0</v>
      </c>
    </row>
    <row r="1834" spans="50:52">
      <c r="AX1834" s="46">
        <f t="shared" si="85"/>
        <v>0</v>
      </c>
      <c r="AY1834" s="46">
        <f t="shared" si="86"/>
        <v>0</v>
      </c>
      <c r="AZ1834" s="46">
        <f t="shared" si="87"/>
        <v>0</v>
      </c>
    </row>
    <row r="1835" spans="50:52">
      <c r="AX1835" s="46">
        <f t="shared" si="85"/>
        <v>0</v>
      </c>
      <c r="AY1835" s="46">
        <f t="shared" si="86"/>
        <v>0</v>
      </c>
      <c r="AZ1835" s="46">
        <f t="shared" si="87"/>
        <v>0</v>
      </c>
    </row>
    <row r="1836" spans="50:52">
      <c r="AX1836" s="46">
        <f t="shared" si="85"/>
        <v>0</v>
      </c>
      <c r="AY1836" s="46">
        <f t="shared" si="86"/>
        <v>0</v>
      </c>
      <c r="AZ1836" s="46">
        <f t="shared" si="87"/>
        <v>0</v>
      </c>
    </row>
    <row r="1837" spans="50:52">
      <c r="AX1837" s="46">
        <f t="shared" si="85"/>
        <v>0</v>
      </c>
      <c r="AY1837" s="46">
        <f t="shared" si="86"/>
        <v>0</v>
      </c>
      <c r="AZ1837" s="46">
        <f t="shared" si="87"/>
        <v>0</v>
      </c>
    </row>
    <row r="1838" spans="50:52">
      <c r="AX1838" s="46">
        <f t="shared" si="85"/>
        <v>0</v>
      </c>
      <c r="AY1838" s="46">
        <f t="shared" si="86"/>
        <v>0</v>
      </c>
      <c r="AZ1838" s="46">
        <f t="shared" si="87"/>
        <v>0</v>
      </c>
    </row>
    <row r="1839" spans="50:52">
      <c r="AX1839" s="46">
        <f t="shared" si="85"/>
        <v>0</v>
      </c>
      <c r="AY1839" s="46">
        <f t="shared" si="86"/>
        <v>0</v>
      </c>
      <c r="AZ1839" s="46">
        <f t="shared" si="87"/>
        <v>0</v>
      </c>
    </row>
    <row r="1840" spans="50:52">
      <c r="AX1840" s="46">
        <f t="shared" si="85"/>
        <v>0</v>
      </c>
      <c r="AY1840" s="46">
        <f t="shared" si="86"/>
        <v>0</v>
      </c>
      <c r="AZ1840" s="46">
        <f t="shared" si="87"/>
        <v>0</v>
      </c>
    </row>
    <row r="1841" spans="50:52">
      <c r="AX1841" s="46">
        <f t="shared" si="85"/>
        <v>0</v>
      </c>
      <c r="AY1841" s="46">
        <f t="shared" si="86"/>
        <v>0</v>
      </c>
      <c r="AZ1841" s="46">
        <f t="shared" si="87"/>
        <v>0</v>
      </c>
    </row>
    <row r="1842" spans="50:52">
      <c r="AX1842" s="46">
        <f t="shared" si="85"/>
        <v>0</v>
      </c>
      <c r="AY1842" s="46">
        <f t="shared" si="86"/>
        <v>0</v>
      </c>
      <c r="AZ1842" s="46">
        <f t="shared" si="87"/>
        <v>0</v>
      </c>
    </row>
    <row r="1843" spans="50:52">
      <c r="AX1843" s="46">
        <f t="shared" si="85"/>
        <v>0</v>
      </c>
      <c r="AY1843" s="46">
        <f t="shared" si="86"/>
        <v>0</v>
      </c>
      <c r="AZ1843" s="46">
        <f t="shared" si="87"/>
        <v>0</v>
      </c>
    </row>
    <row r="1844" spans="50:52">
      <c r="AX1844" s="46">
        <f t="shared" si="85"/>
        <v>0</v>
      </c>
      <c r="AY1844" s="46">
        <f t="shared" si="86"/>
        <v>0</v>
      </c>
      <c r="AZ1844" s="46">
        <f t="shared" si="87"/>
        <v>0</v>
      </c>
    </row>
    <row r="1845" spans="50:52">
      <c r="AX1845" s="46">
        <f t="shared" si="85"/>
        <v>0</v>
      </c>
      <c r="AY1845" s="46">
        <f t="shared" si="86"/>
        <v>0</v>
      </c>
      <c r="AZ1845" s="46">
        <f t="shared" si="87"/>
        <v>0</v>
      </c>
    </row>
    <row r="1846" spans="50:52">
      <c r="AX1846" s="46">
        <f t="shared" si="85"/>
        <v>0</v>
      </c>
      <c r="AY1846" s="46">
        <f t="shared" si="86"/>
        <v>0</v>
      </c>
      <c r="AZ1846" s="46">
        <f t="shared" si="87"/>
        <v>0</v>
      </c>
    </row>
    <row r="1847" spans="50:52">
      <c r="AX1847" s="46">
        <f t="shared" si="85"/>
        <v>0</v>
      </c>
      <c r="AY1847" s="46">
        <f t="shared" si="86"/>
        <v>0</v>
      </c>
      <c r="AZ1847" s="46">
        <f t="shared" si="87"/>
        <v>0</v>
      </c>
    </row>
    <row r="1848" spans="50:52">
      <c r="AX1848" s="46">
        <f t="shared" si="85"/>
        <v>0</v>
      </c>
      <c r="AY1848" s="46">
        <f t="shared" si="86"/>
        <v>0</v>
      </c>
      <c r="AZ1848" s="46">
        <f t="shared" si="87"/>
        <v>0</v>
      </c>
    </row>
    <row r="1849" spans="50:52">
      <c r="AX1849" s="46">
        <f t="shared" si="85"/>
        <v>0</v>
      </c>
      <c r="AY1849" s="46">
        <f t="shared" si="86"/>
        <v>0</v>
      </c>
      <c r="AZ1849" s="46">
        <f t="shared" si="87"/>
        <v>0</v>
      </c>
    </row>
    <row r="1850" spans="50:52">
      <c r="AX1850" s="46">
        <f t="shared" si="85"/>
        <v>0</v>
      </c>
      <c r="AY1850" s="46">
        <f t="shared" si="86"/>
        <v>0</v>
      </c>
      <c r="AZ1850" s="46">
        <f t="shared" si="87"/>
        <v>0</v>
      </c>
    </row>
    <row r="1851" spans="50:52">
      <c r="AX1851" s="46">
        <f t="shared" si="85"/>
        <v>0</v>
      </c>
      <c r="AY1851" s="46">
        <f t="shared" si="86"/>
        <v>0</v>
      </c>
      <c r="AZ1851" s="46">
        <f t="shared" si="87"/>
        <v>0</v>
      </c>
    </row>
    <row r="1852" spans="50:52">
      <c r="AX1852" s="46">
        <f t="shared" si="85"/>
        <v>0</v>
      </c>
      <c r="AY1852" s="46">
        <f t="shared" si="86"/>
        <v>0</v>
      </c>
      <c r="AZ1852" s="46">
        <f t="shared" si="87"/>
        <v>0</v>
      </c>
    </row>
    <row r="1853" spans="50:52">
      <c r="AX1853" s="46">
        <f t="shared" si="85"/>
        <v>0</v>
      </c>
      <c r="AY1853" s="46">
        <f t="shared" si="86"/>
        <v>0</v>
      </c>
      <c r="AZ1853" s="46">
        <f t="shared" si="87"/>
        <v>0</v>
      </c>
    </row>
    <row r="1854" spans="50:52">
      <c r="AX1854" s="46">
        <f t="shared" si="85"/>
        <v>0</v>
      </c>
      <c r="AY1854" s="46">
        <f t="shared" si="86"/>
        <v>0</v>
      </c>
      <c r="AZ1854" s="46">
        <f t="shared" si="87"/>
        <v>0</v>
      </c>
    </row>
    <row r="1855" spans="50:52">
      <c r="AX1855" s="46">
        <f t="shared" si="85"/>
        <v>0</v>
      </c>
      <c r="AY1855" s="46">
        <f t="shared" si="86"/>
        <v>0</v>
      </c>
      <c r="AZ1855" s="46">
        <f t="shared" si="87"/>
        <v>0</v>
      </c>
    </row>
    <row r="1856" spans="50:52">
      <c r="AX1856" s="46">
        <f t="shared" si="85"/>
        <v>0</v>
      </c>
      <c r="AY1856" s="46">
        <f t="shared" si="86"/>
        <v>0</v>
      </c>
      <c r="AZ1856" s="46">
        <f t="shared" si="87"/>
        <v>0</v>
      </c>
    </row>
    <row r="1857" spans="50:52">
      <c r="AX1857" s="46">
        <f t="shared" si="85"/>
        <v>0</v>
      </c>
      <c r="AY1857" s="46">
        <f t="shared" si="86"/>
        <v>0</v>
      </c>
      <c r="AZ1857" s="46">
        <f t="shared" si="87"/>
        <v>0</v>
      </c>
    </row>
    <row r="1858" spans="50:52">
      <c r="AX1858" s="46">
        <f t="shared" si="85"/>
        <v>0</v>
      </c>
      <c r="AY1858" s="46">
        <f t="shared" si="86"/>
        <v>0</v>
      </c>
      <c r="AZ1858" s="46">
        <f t="shared" si="87"/>
        <v>0</v>
      </c>
    </row>
    <row r="1859" spans="50:52">
      <c r="AX1859" s="46">
        <f t="shared" si="85"/>
        <v>0</v>
      </c>
      <c r="AY1859" s="46">
        <f t="shared" si="86"/>
        <v>0</v>
      </c>
      <c r="AZ1859" s="46">
        <f t="shared" si="87"/>
        <v>0</v>
      </c>
    </row>
    <row r="1860" spans="50:52">
      <c r="AX1860" s="46">
        <f t="shared" si="85"/>
        <v>0</v>
      </c>
      <c r="AY1860" s="46">
        <f t="shared" si="86"/>
        <v>0</v>
      </c>
      <c r="AZ1860" s="46">
        <f t="shared" si="87"/>
        <v>0</v>
      </c>
    </row>
    <row r="1861" spans="50:52">
      <c r="AX1861" s="46">
        <f t="shared" si="85"/>
        <v>0</v>
      </c>
      <c r="AY1861" s="46">
        <f t="shared" si="86"/>
        <v>0</v>
      </c>
      <c r="AZ1861" s="46">
        <f t="shared" si="87"/>
        <v>0</v>
      </c>
    </row>
    <row r="1862" spans="50:52">
      <c r="AX1862" s="46">
        <f t="shared" si="85"/>
        <v>0</v>
      </c>
      <c r="AY1862" s="46">
        <f t="shared" si="86"/>
        <v>0</v>
      </c>
      <c r="AZ1862" s="46">
        <f t="shared" si="87"/>
        <v>0</v>
      </c>
    </row>
    <row r="1863" spans="50:52">
      <c r="AX1863" s="46">
        <f t="shared" si="85"/>
        <v>0</v>
      </c>
      <c r="AY1863" s="46">
        <f t="shared" si="86"/>
        <v>0</v>
      </c>
      <c r="AZ1863" s="46">
        <f t="shared" si="87"/>
        <v>0</v>
      </c>
    </row>
    <row r="1864" spans="50:52">
      <c r="AX1864" s="46">
        <f t="shared" si="85"/>
        <v>0</v>
      </c>
      <c r="AY1864" s="46">
        <f t="shared" si="86"/>
        <v>0</v>
      </c>
      <c r="AZ1864" s="46">
        <f t="shared" si="87"/>
        <v>0</v>
      </c>
    </row>
    <row r="1865" spans="50:52">
      <c r="AX1865" s="46">
        <f t="shared" si="85"/>
        <v>0</v>
      </c>
      <c r="AY1865" s="46">
        <f t="shared" si="86"/>
        <v>0</v>
      </c>
      <c r="AZ1865" s="46">
        <f t="shared" si="87"/>
        <v>0</v>
      </c>
    </row>
    <row r="1866" spans="50:52">
      <c r="AX1866" s="46">
        <f t="shared" si="85"/>
        <v>0</v>
      </c>
      <c r="AY1866" s="46">
        <f t="shared" si="86"/>
        <v>0</v>
      </c>
      <c r="AZ1866" s="46">
        <f t="shared" si="87"/>
        <v>0</v>
      </c>
    </row>
    <row r="1867" spans="50:52">
      <c r="AX1867" s="46">
        <f t="shared" ref="AX1867:AX1930" si="88">IFERROR(SUM(Q1867:AS1867)-SUM(AT1867:AU1867)+AV1867,"-")</f>
        <v>0</v>
      </c>
      <c r="AY1867" s="46">
        <f t="shared" ref="AY1867:AY1930" si="89">IFERROR(SUM(Q1867:AS1867)-SUM(AT1867:AT1867),"-")</f>
        <v>0</v>
      </c>
      <c r="AZ1867" s="46">
        <f t="shared" ref="AZ1867:AZ1930" si="90">SUM(Q1867:AS1867)</f>
        <v>0</v>
      </c>
    </row>
    <row r="1868" spans="50:52">
      <c r="AX1868" s="46">
        <f t="shared" si="88"/>
        <v>0</v>
      </c>
      <c r="AY1868" s="46">
        <f t="shared" si="89"/>
        <v>0</v>
      </c>
      <c r="AZ1868" s="46">
        <f t="shared" si="90"/>
        <v>0</v>
      </c>
    </row>
    <row r="1869" spans="50:52">
      <c r="AX1869" s="46">
        <f t="shared" si="88"/>
        <v>0</v>
      </c>
      <c r="AY1869" s="46">
        <f t="shared" si="89"/>
        <v>0</v>
      </c>
      <c r="AZ1869" s="46">
        <f t="shared" si="90"/>
        <v>0</v>
      </c>
    </row>
    <row r="1870" spans="50:52">
      <c r="AX1870" s="46">
        <f t="shared" si="88"/>
        <v>0</v>
      </c>
      <c r="AY1870" s="46">
        <f t="shared" si="89"/>
        <v>0</v>
      </c>
      <c r="AZ1870" s="46">
        <f t="shared" si="90"/>
        <v>0</v>
      </c>
    </row>
    <row r="1871" spans="50:52">
      <c r="AX1871" s="46">
        <f t="shared" si="88"/>
        <v>0</v>
      </c>
      <c r="AY1871" s="46">
        <f t="shared" si="89"/>
        <v>0</v>
      </c>
      <c r="AZ1871" s="46">
        <f t="shared" si="90"/>
        <v>0</v>
      </c>
    </row>
    <row r="1872" spans="50:52">
      <c r="AX1872" s="46">
        <f t="shared" si="88"/>
        <v>0</v>
      </c>
      <c r="AY1872" s="46">
        <f t="shared" si="89"/>
        <v>0</v>
      </c>
      <c r="AZ1872" s="46">
        <f t="shared" si="90"/>
        <v>0</v>
      </c>
    </row>
    <row r="1873" spans="50:52">
      <c r="AX1873" s="46">
        <f t="shared" si="88"/>
        <v>0</v>
      </c>
      <c r="AY1873" s="46">
        <f t="shared" si="89"/>
        <v>0</v>
      </c>
      <c r="AZ1873" s="46">
        <f t="shared" si="90"/>
        <v>0</v>
      </c>
    </row>
    <row r="1874" spans="50:52">
      <c r="AX1874" s="46">
        <f t="shared" si="88"/>
        <v>0</v>
      </c>
      <c r="AY1874" s="46">
        <f t="shared" si="89"/>
        <v>0</v>
      </c>
      <c r="AZ1874" s="46">
        <f t="shared" si="90"/>
        <v>0</v>
      </c>
    </row>
    <row r="1875" spans="50:52">
      <c r="AX1875" s="46">
        <f t="shared" si="88"/>
        <v>0</v>
      </c>
      <c r="AY1875" s="46">
        <f t="shared" si="89"/>
        <v>0</v>
      </c>
      <c r="AZ1875" s="46">
        <f t="shared" si="90"/>
        <v>0</v>
      </c>
    </row>
    <row r="1876" spans="50:52">
      <c r="AX1876" s="46">
        <f t="shared" si="88"/>
        <v>0</v>
      </c>
      <c r="AY1876" s="46">
        <f t="shared" si="89"/>
        <v>0</v>
      </c>
      <c r="AZ1876" s="46">
        <f t="shared" si="90"/>
        <v>0</v>
      </c>
    </row>
    <row r="1877" spans="50:52">
      <c r="AX1877" s="46">
        <f t="shared" si="88"/>
        <v>0</v>
      </c>
      <c r="AY1877" s="46">
        <f t="shared" si="89"/>
        <v>0</v>
      </c>
      <c r="AZ1877" s="46">
        <f t="shared" si="90"/>
        <v>0</v>
      </c>
    </row>
    <row r="1878" spans="50:52">
      <c r="AX1878" s="46">
        <f t="shared" si="88"/>
        <v>0</v>
      </c>
      <c r="AY1878" s="46">
        <f t="shared" si="89"/>
        <v>0</v>
      </c>
      <c r="AZ1878" s="46">
        <f t="shared" si="90"/>
        <v>0</v>
      </c>
    </row>
    <row r="1879" spans="50:52">
      <c r="AX1879" s="46">
        <f t="shared" si="88"/>
        <v>0</v>
      </c>
      <c r="AY1879" s="46">
        <f t="shared" si="89"/>
        <v>0</v>
      </c>
      <c r="AZ1879" s="46">
        <f t="shared" si="90"/>
        <v>0</v>
      </c>
    </row>
    <row r="1880" spans="50:52">
      <c r="AX1880" s="46">
        <f t="shared" si="88"/>
        <v>0</v>
      </c>
      <c r="AY1880" s="46">
        <f t="shared" si="89"/>
        <v>0</v>
      </c>
      <c r="AZ1880" s="46">
        <f t="shared" si="90"/>
        <v>0</v>
      </c>
    </row>
    <row r="1881" spans="50:52">
      <c r="AX1881" s="46">
        <f t="shared" si="88"/>
        <v>0</v>
      </c>
      <c r="AY1881" s="46">
        <f t="shared" si="89"/>
        <v>0</v>
      </c>
      <c r="AZ1881" s="46">
        <f t="shared" si="90"/>
        <v>0</v>
      </c>
    </row>
    <row r="1882" spans="50:52">
      <c r="AX1882" s="46">
        <f t="shared" si="88"/>
        <v>0</v>
      </c>
      <c r="AY1882" s="46">
        <f t="shared" si="89"/>
        <v>0</v>
      </c>
      <c r="AZ1882" s="46">
        <f t="shared" si="90"/>
        <v>0</v>
      </c>
    </row>
    <row r="1883" spans="50:52">
      <c r="AX1883" s="46">
        <f t="shared" si="88"/>
        <v>0</v>
      </c>
      <c r="AY1883" s="46">
        <f t="shared" si="89"/>
        <v>0</v>
      </c>
      <c r="AZ1883" s="46">
        <f t="shared" si="90"/>
        <v>0</v>
      </c>
    </row>
    <row r="1884" spans="50:52">
      <c r="AX1884" s="46">
        <f t="shared" si="88"/>
        <v>0</v>
      </c>
      <c r="AY1884" s="46">
        <f t="shared" si="89"/>
        <v>0</v>
      </c>
      <c r="AZ1884" s="46">
        <f t="shared" si="90"/>
        <v>0</v>
      </c>
    </row>
    <row r="1885" spans="50:52">
      <c r="AX1885" s="46">
        <f t="shared" si="88"/>
        <v>0</v>
      </c>
      <c r="AY1885" s="46">
        <f t="shared" si="89"/>
        <v>0</v>
      </c>
      <c r="AZ1885" s="46">
        <f t="shared" si="90"/>
        <v>0</v>
      </c>
    </row>
    <row r="1886" spans="50:52">
      <c r="AX1886" s="46">
        <f t="shared" si="88"/>
        <v>0</v>
      </c>
      <c r="AY1886" s="46">
        <f t="shared" si="89"/>
        <v>0</v>
      </c>
      <c r="AZ1886" s="46">
        <f t="shared" si="90"/>
        <v>0</v>
      </c>
    </row>
    <row r="1887" spans="50:52">
      <c r="AX1887" s="46">
        <f t="shared" si="88"/>
        <v>0</v>
      </c>
      <c r="AY1887" s="46">
        <f t="shared" si="89"/>
        <v>0</v>
      </c>
      <c r="AZ1887" s="46">
        <f t="shared" si="90"/>
        <v>0</v>
      </c>
    </row>
    <row r="1888" spans="50:52">
      <c r="AX1888" s="46">
        <f t="shared" si="88"/>
        <v>0</v>
      </c>
      <c r="AY1888" s="46">
        <f t="shared" si="89"/>
        <v>0</v>
      </c>
      <c r="AZ1888" s="46">
        <f t="shared" si="90"/>
        <v>0</v>
      </c>
    </row>
    <row r="1889" spans="50:52">
      <c r="AX1889" s="46">
        <f t="shared" si="88"/>
        <v>0</v>
      </c>
      <c r="AY1889" s="46">
        <f t="shared" si="89"/>
        <v>0</v>
      </c>
      <c r="AZ1889" s="46">
        <f t="shared" si="90"/>
        <v>0</v>
      </c>
    </row>
    <row r="1890" spans="50:52">
      <c r="AX1890" s="46">
        <f t="shared" si="88"/>
        <v>0</v>
      </c>
      <c r="AY1890" s="46">
        <f t="shared" si="89"/>
        <v>0</v>
      </c>
      <c r="AZ1890" s="46">
        <f t="shared" si="90"/>
        <v>0</v>
      </c>
    </row>
    <row r="1891" spans="50:52">
      <c r="AX1891" s="46">
        <f t="shared" si="88"/>
        <v>0</v>
      </c>
      <c r="AY1891" s="46">
        <f t="shared" si="89"/>
        <v>0</v>
      </c>
      <c r="AZ1891" s="46">
        <f t="shared" si="90"/>
        <v>0</v>
      </c>
    </row>
    <row r="1892" spans="50:52">
      <c r="AX1892" s="46">
        <f t="shared" si="88"/>
        <v>0</v>
      </c>
      <c r="AY1892" s="46">
        <f t="shared" si="89"/>
        <v>0</v>
      </c>
      <c r="AZ1892" s="46">
        <f t="shared" si="90"/>
        <v>0</v>
      </c>
    </row>
    <row r="1893" spans="50:52">
      <c r="AX1893" s="46">
        <f t="shared" si="88"/>
        <v>0</v>
      </c>
      <c r="AY1893" s="46">
        <f t="shared" si="89"/>
        <v>0</v>
      </c>
      <c r="AZ1893" s="46">
        <f t="shared" si="90"/>
        <v>0</v>
      </c>
    </row>
    <row r="1894" spans="50:52">
      <c r="AX1894" s="46">
        <f t="shared" si="88"/>
        <v>0</v>
      </c>
      <c r="AY1894" s="46">
        <f t="shared" si="89"/>
        <v>0</v>
      </c>
      <c r="AZ1894" s="46">
        <f t="shared" si="90"/>
        <v>0</v>
      </c>
    </row>
    <row r="1895" spans="50:52">
      <c r="AX1895" s="46">
        <f t="shared" si="88"/>
        <v>0</v>
      </c>
      <c r="AY1895" s="46">
        <f t="shared" si="89"/>
        <v>0</v>
      </c>
      <c r="AZ1895" s="46">
        <f t="shared" si="90"/>
        <v>0</v>
      </c>
    </row>
    <row r="1896" spans="50:52">
      <c r="AX1896" s="46">
        <f t="shared" si="88"/>
        <v>0</v>
      </c>
      <c r="AY1896" s="46">
        <f t="shared" si="89"/>
        <v>0</v>
      </c>
      <c r="AZ1896" s="46">
        <f t="shared" si="90"/>
        <v>0</v>
      </c>
    </row>
    <row r="1897" spans="50:52">
      <c r="AX1897" s="46">
        <f t="shared" si="88"/>
        <v>0</v>
      </c>
      <c r="AY1897" s="46">
        <f t="shared" si="89"/>
        <v>0</v>
      </c>
      <c r="AZ1897" s="46">
        <f t="shared" si="90"/>
        <v>0</v>
      </c>
    </row>
    <row r="1898" spans="50:52">
      <c r="AX1898" s="46">
        <f t="shared" si="88"/>
        <v>0</v>
      </c>
      <c r="AY1898" s="46">
        <f t="shared" si="89"/>
        <v>0</v>
      </c>
      <c r="AZ1898" s="46">
        <f t="shared" si="90"/>
        <v>0</v>
      </c>
    </row>
    <row r="1899" spans="50:52">
      <c r="AX1899" s="46">
        <f t="shared" si="88"/>
        <v>0</v>
      </c>
      <c r="AY1899" s="46">
        <f t="shared" si="89"/>
        <v>0</v>
      </c>
      <c r="AZ1899" s="46">
        <f t="shared" si="90"/>
        <v>0</v>
      </c>
    </row>
    <row r="1900" spans="50:52">
      <c r="AX1900" s="46">
        <f t="shared" si="88"/>
        <v>0</v>
      </c>
      <c r="AY1900" s="46">
        <f t="shared" si="89"/>
        <v>0</v>
      </c>
      <c r="AZ1900" s="46">
        <f t="shared" si="90"/>
        <v>0</v>
      </c>
    </row>
    <row r="1901" spans="50:52">
      <c r="AX1901" s="46">
        <f t="shared" si="88"/>
        <v>0</v>
      </c>
      <c r="AY1901" s="46">
        <f t="shared" si="89"/>
        <v>0</v>
      </c>
      <c r="AZ1901" s="46">
        <f t="shared" si="90"/>
        <v>0</v>
      </c>
    </row>
    <row r="1902" spans="50:52">
      <c r="AX1902" s="46">
        <f t="shared" si="88"/>
        <v>0</v>
      </c>
      <c r="AY1902" s="46">
        <f t="shared" si="89"/>
        <v>0</v>
      </c>
      <c r="AZ1902" s="46">
        <f t="shared" si="90"/>
        <v>0</v>
      </c>
    </row>
    <row r="1903" spans="50:52">
      <c r="AX1903" s="46">
        <f t="shared" si="88"/>
        <v>0</v>
      </c>
      <c r="AY1903" s="46">
        <f t="shared" si="89"/>
        <v>0</v>
      </c>
      <c r="AZ1903" s="46">
        <f t="shared" si="90"/>
        <v>0</v>
      </c>
    </row>
    <row r="1904" spans="50:52">
      <c r="AX1904" s="46">
        <f t="shared" si="88"/>
        <v>0</v>
      </c>
      <c r="AY1904" s="46">
        <f t="shared" si="89"/>
        <v>0</v>
      </c>
      <c r="AZ1904" s="46">
        <f t="shared" si="90"/>
        <v>0</v>
      </c>
    </row>
    <row r="1905" spans="50:52">
      <c r="AX1905" s="46">
        <f t="shared" si="88"/>
        <v>0</v>
      </c>
      <c r="AY1905" s="46">
        <f t="shared" si="89"/>
        <v>0</v>
      </c>
      <c r="AZ1905" s="46">
        <f t="shared" si="90"/>
        <v>0</v>
      </c>
    </row>
    <row r="1906" spans="50:52">
      <c r="AX1906" s="46">
        <f t="shared" si="88"/>
        <v>0</v>
      </c>
      <c r="AY1906" s="46">
        <f t="shared" si="89"/>
        <v>0</v>
      </c>
      <c r="AZ1906" s="46">
        <f t="shared" si="90"/>
        <v>0</v>
      </c>
    </row>
    <row r="1907" spans="50:52">
      <c r="AX1907" s="46">
        <f t="shared" si="88"/>
        <v>0</v>
      </c>
      <c r="AY1907" s="46">
        <f t="shared" si="89"/>
        <v>0</v>
      </c>
      <c r="AZ1907" s="46">
        <f t="shared" si="90"/>
        <v>0</v>
      </c>
    </row>
    <row r="1908" spans="50:52">
      <c r="AX1908" s="46">
        <f t="shared" si="88"/>
        <v>0</v>
      </c>
      <c r="AY1908" s="46">
        <f t="shared" si="89"/>
        <v>0</v>
      </c>
      <c r="AZ1908" s="46">
        <f t="shared" si="90"/>
        <v>0</v>
      </c>
    </row>
    <row r="1909" spans="50:52">
      <c r="AX1909" s="46">
        <f t="shared" si="88"/>
        <v>0</v>
      </c>
      <c r="AY1909" s="46">
        <f t="shared" si="89"/>
        <v>0</v>
      </c>
      <c r="AZ1909" s="46">
        <f t="shared" si="90"/>
        <v>0</v>
      </c>
    </row>
    <row r="1910" spans="50:52">
      <c r="AX1910" s="46">
        <f t="shared" si="88"/>
        <v>0</v>
      </c>
      <c r="AY1910" s="46">
        <f t="shared" si="89"/>
        <v>0</v>
      </c>
      <c r="AZ1910" s="46">
        <f t="shared" si="90"/>
        <v>0</v>
      </c>
    </row>
    <row r="1911" spans="50:52">
      <c r="AX1911" s="46">
        <f t="shared" si="88"/>
        <v>0</v>
      </c>
      <c r="AY1911" s="46">
        <f t="shared" si="89"/>
        <v>0</v>
      </c>
      <c r="AZ1911" s="46">
        <f t="shared" si="90"/>
        <v>0</v>
      </c>
    </row>
    <row r="1912" spans="50:52">
      <c r="AX1912" s="46">
        <f t="shared" si="88"/>
        <v>0</v>
      </c>
      <c r="AY1912" s="46">
        <f t="shared" si="89"/>
        <v>0</v>
      </c>
      <c r="AZ1912" s="46">
        <f t="shared" si="90"/>
        <v>0</v>
      </c>
    </row>
    <row r="1913" spans="50:52">
      <c r="AX1913" s="46">
        <f t="shared" si="88"/>
        <v>0</v>
      </c>
      <c r="AY1913" s="46">
        <f t="shared" si="89"/>
        <v>0</v>
      </c>
      <c r="AZ1913" s="46">
        <f t="shared" si="90"/>
        <v>0</v>
      </c>
    </row>
    <row r="1914" spans="50:52">
      <c r="AX1914" s="46">
        <f t="shared" si="88"/>
        <v>0</v>
      </c>
      <c r="AY1914" s="46">
        <f t="shared" si="89"/>
        <v>0</v>
      </c>
      <c r="AZ1914" s="46">
        <f t="shared" si="90"/>
        <v>0</v>
      </c>
    </row>
    <row r="1915" spans="50:52">
      <c r="AX1915" s="46">
        <f t="shared" si="88"/>
        <v>0</v>
      </c>
      <c r="AY1915" s="46">
        <f t="shared" si="89"/>
        <v>0</v>
      </c>
      <c r="AZ1915" s="46">
        <f t="shared" si="90"/>
        <v>0</v>
      </c>
    </row>
    <row r="1916" spans="50:52">
      <c r="AX1916" s="46">
        <f t="shared" si="88"/>
        <v>0</v>
      </c>
      <c r="AY1916" s="46">
        <f t="shared" si="89"/>
        <v>0</v>
      </c>
      <c r="AZ1916" s="46">
        <f t="shared" si="90"/>
        <v>0</v>
      </c>
    </row>
    <row r="1917" spans="50:52">
      <c r="AX1917" s="46">
        <f t="shared" si="88"/>
        <v>0</v>
      </c>
      <c r="AY1917" s="46">
        <f t="shared" si="89"/>
        <v>0</v>
      </c>
      <c r="AZ1917" s="46">
        <f t="shared" si="90"/>
        <v>0</v>
      </c>
    </row>
    <row r="1918" spans="50:52">
      <c r="AX1918" s="46">
        <f t="shared" si="88"/>
        <v>0</v>
      </c>
      <c r="AY1918" s="46">
        <f t="shared" si="89"/>
        <v>0</v>
      </c>
      <c r="AZ1918" s="46">
        <f t="shared" si="90"/>
        <v>0</v>
      </c>
    </row>
    <row r="1919" spans="50:52">
      <c r="AX1919" s="46">
        <f t="shared" si="88"/>
        <v>0</v>
      </c>
      <c r="AY1919" s="46">
        <f t="shared" si="89"/>
        <v>0</v>
      </c>
      <c r="AZ1919" s="46">
        <f t="shared" si="90"/>
        <v>0</v>
      </c>
    </row>
    <row r="1920" spans="50:52">
      <c r="AX1920" s="46">
        <f t="shared" si="88"/>
        <v>0</v>
      </c>
      <c r="AY1920" s="46">
        <f t="shared" si="89"/>
        <v>0</v>
      </c>
      <c r="AZ1920" s="46">
        <f t="shared" si="90"/>
        <v>0</v>
      </c>
    </row>
    <row r="1921" spans="50:52">
      <c r="AX1921" s="46">
        <f t="shared" si="88"/>
        <v>0</v>
      </c>
      <c r="AY1921" s="46">
        <f t="shared" si="89"/>
        <v>0</v>
      </c>
      <c r="AZ1921" s="46">
        <f t="shared" si="90"/>
        <v>0</v>
      </c>
    </row>
    <row r="1922" spans="50:52">
      <c r="AX1922" s="46">
        <f t="shared" si="88"/>
        <v>0</v>
      </c>
      <c r="AY1922" s="46">
        <f t="shared" si="89"/>
        <v>0</v>
      </c>
      <c r="AZ1922" s="46">
        <f t="shared" si="90"/>
        <v>0</v>
      </c>
    </row>
    <row r="1923" spans="50:52">
      <c r="AX1923" s="46">
        <f t="shared" si="88"/>
        <v>0</v>
      </c>
      <c r="AY1923" s="46">
        <f t="shared" si="89"/>
        <v>0</v>
      </c>
      <c r="AZ1923" s="46">
        <f t="shared" si="90"/>
        <v>0</v>
      </c>
    </row>
    <row r="1924" spans="50:52">
      <c r="AX1924" s="46">
        <f t="shared" si="88"/>
        <v>0</v>
      </c>
      <c r="AY1924" s="46">
        <f t="shared" si="89"/>
        <v>0</v>
      </c>
      <c r="AZ1924" s="46">
        <f t="shared" si="90"/>
        <v>0</v>
      </c>
    </row>
    <row r="1925" spans="50:52">
      <c r="AX1925" s="46">
        <f t="shared" si="88"/>
        <v>0</v>
      </c>
      <c r="AY1925" s="46">
        <f t="shared" si="89"/>
        <v>0</v>
      </c>
      <c r="AZ1925" s="46">
        <f t="shared" si="90"/>
        <v>0</v>
      </c>
    </row>
    <row r="1926" spans="50:52">
      <c r="AX1926" s="46">
        <f t="shared" si="88"/>
        <v>0</v>
      </c>
      <c r="AY1926" s="46">
        <f t="shared" si="89"/>
        <v>0</v>
      </c>
      <c r="AZ1926" s="46">
        <f t="shared" si="90"/>
        <v>0</v>
      </c>
    </row>
    <row r="1927" spans="50:52">
      <c r="AX1927" s="46">
        <f t="shared" si="88"/>
        <v>0</v>
      </c>
      <c r="AY1927" s="46">
        <f t="shared" si="89"/>
        <v>0</v>
      </c>
      <c r="AZ1927" s="46">
        <f t="shared" si="90"/>
        <v>0</v>
      </c>
    </row>
    <row r="1928" spans="50:52">
      <c r="AX1928" s="46">
        <f t="shared" si="88"/>
        <v>0</v>
      </c>
      <c r="AY1928" s="46">
        <f t="shared" si="89"/>
        <v>0</v>
      </c>
      <c r="AZ1928" s="46">
        <f t="shared" si="90"/>
        <v>0</v>
      </c>
    </row>
    <row r="1929" spans="50:52">
      <c r="AX1929" s="46">
        <f t="shared" si="88"/>
        <v>0</v>
      </c>
      <c r="AY1929" s="46">
        <f t="shared" si="89"/>
        <v>0</v>
      </c>
      <c r="AZ1929" s="46">
        <f t="shared" si="90"/>
        <v>0</v>
      </c>
    </row>
    <row r="1930" spans="50:52">
      <c r="AX1930" s="46">
        <f t="shared" si="88"/>
        <v>0</v>
      </c>
      <c r="AY1930" s="46">
        <f t="shared" si="89"/>
        <v>0</v>
      </c>
      <c r="AZ1930" s="46">
        <f t="shared" si="90"/>
        <v>0</v>
      </c>
    </row>
    <row r="1931" spans="50:52">
      <c r="AX1931" s="46">
        <f t="shared" ref="AX1931:AX1994" si="91">IFERROR(SUM(Q1931:AS1931)-SUM(AT1931:AU1931)+AV1931,"-")</f>
        <v>0</v>
      </c>
      <c r="AY1931" s="46">
        <f t="shared" ref="AY1931:AY1994" si="92">IFERROR(SUM(Q1931:AS1931)-SUM(AT1931:AT1931),"-")</f>
        <v>0</v>
      </c>
      <c r="AZ1931" s="46">
        <f t="shared" ref="AZ1931:AZ1994" si="93">SUM(Q1931:AS1931)</f>
        <v>0</v>
      </c>
    </row>
    <row r="1932" spans="50:52">
      <c r="AX1932" s="46">
        <f t="shared" si="91"/>
        <v>0</v>
      </c>
      <c r="AY1932" s="46">
        <f t="shared" si="92"/>
        <v>0</v>
      </c>
      <c r="AZ1932" s="46">
        <f t="shared" si="93"/>
        <v>0</v>
      </c>
    </row>
    <row r="1933" spans="50:52">
      <c r="AX1933" s="46">
        <f t="shared" si="91"/>
        <v>0</v>
      </c>
      <c r="AY1933" s="46">
        <f t="shared" si="92"/>
        <v>0</v>
      </c>
      <c r="AZ1933" s="46">
        <f t="shared" si="93"/>
        <v>0</v>
      </c>
    </row>
    <row r="1934" spans="50:52">
      <c r="AX1934" s="46">
        <f t="shared" si="91"/>
        <v>0</v>
      </c>
      <c r="AY1934" s="46">
        <f t="shared" si="92"/>
        <v>0</v>
      </c>
      <c r="AZ1934" s="46">
        <f t="shared" si="93"/>
        <v>0</v>
      </c>
    </row>
    <row r="1935" spans="50:52">
      <c r="AX1935" s="46">
        <f t="shared" si="91"/>
        <v>0</v>
      </c>
      <c r="AY1935" s="46">
        <f t="shared" si="92"/>
        <v>0</v>
      </c>
      <c r="AZ1935" s="46">
        <f t="shared" si="93"/>
        <v>0</v>
      </c>
    </row>
    <row r="1936" spans="50:52">
      <c r="AX1936" s="46">
        <f t="shared" si="91"/>
        <v>0</v>
      </c>
      <c r="AY1936" s="46">
        <f t="shared" si="92"/>
        <v>0</v>
      </c>
      <c r="AZ1936" s="46">
        <f t="shared" si="93"/>
        <v>0</v>
      </c>
    </row>
    <row r="1937" spans="50:52">
      <c r="AX1937" s="46">
        <f t="shared" si="91"/>
        <v>0</v>
      </c>
      <c r="AY1937" s="46">
        <f t="shared" si="92"/>
        <v>0</v>
      </c>
      <c r="AZ1937" s="46">
        <f t="shared" si="93"/>
        <v>0</v>
      </c>
    </row>
    <row r="1938" spans="50:52">
      <c r="AX1938" s="46">
        <f t="shared" si="91"/>
        <v>0</v>
      </c>
      <c r="AY1938" s="46">
        <f t="shared" si="92"/>
        <v>0</v>
      </c>
      <c r="AZ1938" s="46">
        <f t="shared" si="93"/>
        <v>0</v>
      </c>
    </row>
    <row r="1939" spans="50:52">
      <c r="AX1939" s="46">
        <f t="shared" si="91"/>
        <v>0</v>
      </c>
      <c r="AY1939" s="46">
        <f t="shared" si="92"/>
        <v>0</v>
      </c>
      <c r="AZ1939" s="46">
        <f t="shared" si="93"/>
        <v>0</v>
      </c>
    </row>
    <row r="1940" spans="50:52">
      <c r="AX1940" s="46">
        <f t="shared" si="91"/>
        <v>0</v>
      </c>
      <c r="AY1940" s="46">
        <f t="shared" si="92"/>
        <v>0</v>
      </c>
      <c r="AZ1940" s="46">
        <f t="shared" si="93"/>
        <v>0</v>
      </c>
    </row>
    <row r="1941" spans="50:52">
      <c r="AX1941" s="46">
        <f t="shared" si="91"/>
        <v>0</v>
      </c>
      <c r="AY1941" s="46">
        <f t="shared" si="92"/>
        <v>0</v>
      </c>
      <c r="AZ1941" s="46">
        <f t="shared" si="93"/>
        <v>0</v>
      </c>
    </row>
    <row r="1942" spans="50:52">
      <c r="AX1942" s="46">
        <f t="shared" si="91"/>
        <v>0</v>
      </c>
      <c r="AY1942" s="46">
        <f t="shared" si="92"/>
        <v>0</v>
      </c>
      <c r="AZ1942" s="46">
        <f t="shared" si="93"/>
        <v>0</v>
      </c>
    </row>
    <row r="1943" spans="50:52">
      <c r="AX1943" s="46">
        <f t="shared" si="91"/>
        <v>0</v>
      </c>
      <c r="AY1943" s="46">
        <f t="shared" si="92"/>
        <v>0</v>
      </c>
      <c r="AZ1943" s="46">
        <f t="shared" si="93"/>
        <v>0</v>
      </c>
    </row>
    <row r="1944" spans="50:52">
      <c r="AX1944" s="46">
        <f t="shared" si="91"/>
        <v>0</v>
      </c>
      <c r="AY1944" s="46">
        <f t="shared" si="92"/>
        <v>0</v>
      </c>
      <c r="AZ1944" s="46">
        <f t="shared" si="93"/>
        <v>0</v>
      </c>
    </row>
    <row r="1945" spans="50:52">
      <c r="AX1945" s="46">
        <f t="shared" si="91"/>
        <v>0</v>
      </c>
      <c r="AY1945" s="46">
        <f t="shared" si="92"/>
        <v>0</v>
      </c>
      <c r="AZ1945" s="46">
        <f t="shared" si="93"/>
        <v>0</v>
      </c>
    </row>
    <row r="1946" spans="50:52">
      <c r="AX1946" s="46">
        <f t="shared" si="91"/>
        <v>0</v>
      </c>
      <c r="AY1946" s="46">
        <f t="shared" si="92"/>
        <v>0</v>
      </c>
      <c r="AZ1946" s="46">
        <f t="shared" si="93"/>
        <v>0</v>
      </c>
    </row>
    <row r="1947" spans="50:52">
      <c r="AX1947" s="46">
        <f t="shared" si="91"/>
        <v>0</v>
      </c>
      <c r="AY1947" s="46">
        <f t="shared" si="92"/>
        <v>0</v>
      </c>
      <c r="AZ1947" s="46">
        <f t="shared" si="93"/>
        <v>0</v>
      </c>
    </row>
    <row r="1948" spans="50:52">
      <c r="AX1948" s="46">
        <f t="shared" si="91"/>
        <v>0</v>
      </c>
      <c r="AY1948" s="46">
        <f t="shared" si="92"/>
        <v>0</v>
      </c>
      <c r="AZ1948" s="46">
        <f t="shared" si="93"/>
        <v>0</v>
      </c>
    </row>
    <row r="1949" spans="50:52">
      <c r="AX1949" s="46">
        <f t="shared" si="91"/>
        <v>0</v>
      </c>
      <c r="AY1949" s="46">
        <f t="shared" si="92"/>
        <v>0</v>
      </c>
      <c r="AZ1949" s="46">
        <f t="shared" si="93"/>
        <v>0</v>
      </c>
    </row>
    <row r="1950" spans="50:52">
      <c r="AX1950" s="46">
        <f t="shared" si="91"/>
        <v>0</v>
      </c>
      <c r="AY1950" s="46">
        <f t="shared" si="92"/>
        <v>0</v>
      </c>
      <c r="AZ1950" s="46">
        <f t="shared" si="93"/>
        <v>0</v>
      </c>
    </row>
    <row r="1951" spans="50:52">
      <c r="AX1951" s="46">
        <f t="shared" si="91"/>
        <v>0</v>
      </c>
      <c r="AY1951" s="46">
        <f t="shared" si="92"/>
        <v>0</v>
      </c>
      <c r="AZ1951" s="46">
        <f t="shared" si="93"/>
        <v>0</v>
      </c>
    </row>
    <row r="1952" spans="50:52">
      <c r="AX1952" s="46">
        <f t="shared" si="91"/>
        <v>0</v>
      </c>
      <c r="AY1952" s="46">
        <f t="shared" si="92"/>
        <v>0</v>
      </c>
      <c r="AZ1952" s="46">
        <f t="shared" si="93"/>
        <v>0</v>
      </c>
    </row>
    <row r="1953" spans="50:52">
      <c r="AX1953" s="46">
        <f t="shared" si="91"/>
        <v>0</v>
      </c>
      <c r="AY1953" s="46">
        <f t="shared" si="92"/>
        <v>0</v>
      </c>
      <c r="AZ1953" s="46">
        <f t="shared" si="93"/>
        <v>0</v>
      </c>
    </row>
    <row r="1954" spans="50:52">
      <c r="AX1954" s="46">
        <f t="shared" si="91"/>
        <v>0</v>
      </c>
      <c r="AY1954" s="46">
        <f t="shared" si="92"/>
        <v>0</v>
      </c>
      <c r="AZ1954" s="46">
        <f t="shared" si="93"/>
        <v>0</v>
      </c>
    </row>
    <row r="1955" spans="50:52">
      <c r="AX1955" s="46">
        <f t="shared" si="91"/>
        <v>0</v>
      </c>
      <c r="AY1955" s="46">
        <f t="shared" si="92"/>
        <v>0</v>
      </c>
      <c r="AZ1955" s="46">
        <f t="shared" si="93"/>
        <v>0</v>
      </c>
    </row>
    <row r="1956" spans="50:52">
      <c r="AX1956" s="46">
        <f t="shared" si="91"/>
        <v>0</v>
      </c>
      <c r="AY1956" s="46">
        <f t="shared" si="92"/>
        <v>0</v>
      </c>
      <c r="AZ1956" s="46">
        <f t="shared" si="93"/>
        <v>0</v>
      </c>
    </row>
    <row r="1957" spans="50:52">
      <c r="AX1957" s="46">
        <f t="shared" si="91"/>
        <v>0</v>
      </c>
      <c r="AY1957" s="46">
        <f t="shared" si="92"/>
        <v>0</v>
      </c>
      <c r="AZ1957" s="46">
        <f t="shared" si="93"/>
        <v>0</v>
      </c>
    </row>
    <row r="1958" spans="50:52">
      <c r="AX1958" s="46">
        <f t="shared" si="91"/>
        <v>0</v>
      </c>
      <c r="AY1958" s="46">
        <f t="shared" si="92"/>
        <v>0</v>
      </c>
      <c r="AZ1958" s="46">
        <f t="shared" si="93"/>
        <v>0</v>
      </c>
    </row>
    <row r="1959" spans="50:52">
      <c r="AX1959" s="46">
        <f t="shared" si="91"/>
        <v>0</v>
      </c>
      <c r="AY1959" s="46">
        <f t="shared" si="92"/>
        <v>0</v>
      </c>
      <c r="AZ1959" s="46">
        <f t="shared" si="93"/>
        <v>0</v>
      </c>
    </row>
    <row r="1960" spans="50:52">
      <c r="AX1960" s="46">
        <f t="shared" si="91"/>
        <v>0</v>
      </c>
      <c r="AY1960" s="46">
        <f t="shared" si="92"/>
        <v>0</v>
      </c>
      <c r="AZ1960" s="46">
        <f t="shared" si="93"/>
        <v>0</v>
      </c>
    </row>
    <row r="1961" spans="50:52">
      <c r="AX1961" s="46">
        <f t="shared" si="91"/>
        <v>0</v>
      </c>
      <c r="AY1961" s="46">
        <f t="shared" si="92"/>
        <v>0</v>
      </c>
      <c r="AZ1961" s="46">
        <f t="shared" si="93"/>
        <v>0</v>
      </c>
    </row>
    <row r="1962" spans="50:52">
      <c r="AX1962" s="46">
        <f t="shared" si="91"/>
        <v>0</v>
      </c>
      <c r="AY1962" s="46">
        <f t="shared" si="92"/>
        <v>0</v>
      </c>
      <c r="AZ1962" s="46">
        <f t="shared" si="93"/>
        <v>0</v>
      </c>
    </row>
    <row r="1963" spans="50:52">
      <c r="AX1963" s="46">
        <f t="shared" si="91"/>
        <v>0</v>
      </c>
      <c r="AY1963" s="46">
        <f t="shared" si="92"/>
        <v>0</v>
      </c>
      <c r="AZ1963" s="46">
        <f t="shared" si="93"/>
        <v>0</v>
      </c>
    </row>
    <row r="1964" spans="50:52">
      <c r="AX1964" s="46">
        <f t="shared" si="91"/>
        <v>0</v>
      </c>
      <c r="AY1964" s="46">
        <f t="shared" si="92"/>
        <v>0</v>
      </c>
      <c r="AZ1964" s="46">
        <f t="shared" si="93"/>
        <v>0</v>
      </c>
    </row>
    <row r="1965" spans="50:52">
      <c r="AX1965" s="46">
        <f t="shared" si="91"/>
        <v>0</v>
      </c>
      <c r="AY1965" s="46">
        <f t="shared" si="92"/>
        <v>0</v>
      </c>
      <c r="AZ1965" s="46">
        <f t="shared" si="93"/>
        <v>0</v>
      </c>
    </row>
    <row r="1966" spans="50:52">
      <c r="AX1966" s="46">
        <f t="shared" si="91"/>
        <v>0</v>
      </c>
      <c r="AY1966" s="46">
        <f t="shared" si="92"/>
        <v>0</v>
      </c>
      <c r="AZ1966" s="46">
        <f t="shared" si="93"/>
        <v>0</v>
      </c>
    </row>
    <row r="1967" spans="50:52">
      <c r="AX1967" s="46">
        <f t="shared" si="91"/>
        <v>0</v>
      </c>
      <c r="AY1967" s="46">
        <f t="shared" si="92"/>
        <v>0</v>
      </c>
      <c r="AZ1967" s="46">
        <f t="shared" si="93"/>
        <v>0</v>
      </c>
    </row>
    <row r="1968" spans="50:52">
      <c r="AX1968" s="46">
        <f t="shared" si="91"/>
        <v>0</v>
      </c>
      <c r="AY1968" s="46">
        <f t="shared" si="92"/>
        <v>0</v>
      </c>
      <c r="AZ1968" s="46">
        <f t="shared" si="93"/>
        <v>0</v>
      </c>
    </row>
    <row r="1969" spans="50:52">
      <c r="AX1969" s="46">
        <f t="shared" si="91"/>
        <v>0</v>
      </c>
      <c r="AY1969" s="46">
        <f t="shared" si="92"/>
        <v>0</v>
      </c>
      <c r="AZ1969" s="46">
        <f t="shared" si="93"/>
        <v>0</v>
      </c>
    </row>
    <row r="1970" spans="50:52">
      <c r="AX1970" s="46">
        <f t="shared" si="91"/>
        <v>0</v>
      </c>
      <c r="AY1970" s="46">
        <f t="shared" si="92"/>
        <v>0</v>
      </c>
      <c r="AZ1970" s="46">
        <f t="shared" si="93"/>
        <v>0</v>
      </c>
    </row>
    <row r="1971" spans="50:52">
      <c r="AX1971" s="46">
        <f t="shared" si="91"/>
        <v>0</v>
      </c>
      <c r="AY1971" s="46">
        <f t="shared" si="92"/>
        <v>0</v>
      </c>
      <c r="AZ1971" s="46">
        <f t="shared" si="93"/>
        <v>0</v>
      </c>
    </row>
    <row r="1972" spans="50:52">
      <c r="AX1972" s="46">
        <f t="shared" si="91"/>
        <v>0</v>
      </c>
      <c r="AY1972" s="46">
        <f t="shared" si="92"/>
        <v>0</v>
      </c>
      <c r="AZ1972" s="46">
        <f t="shared" si="93"/>
        <v>0</v>
      </c>
    </row>
    <row r="1973" spans="50:52">
      <c r="AX1973" s="46">
        <f t="shared" si="91"/>
        <v>0</v>
      </c>
      <c r="AY1973" s="46">
        <f t="shared" si="92"/>
        <v>0</v>
      </c>
      <c r="AZ1973" s="46">
        <f t="shared" si="93"/>
        <v>0</v>
      </c>
    </row>
    <row r="1974" spans="50:52">
      <c r="AX1974" s="46">
        <f t="shared" si="91"/>
        <v>0</v>
      </c>
      <c r="AY1974" s="46">
        <f t="shared" si="92"/>
        <v>0</v>
      </c>
      <c r="AZ1974" s="46">
        <f t="shared" si="93"/>
        <v>0</v>
      </c>
    </row>
    <row r="1975" spans="50:52">
      <c r="AX1975" s="46">
        <f t="shared" si="91"/>
        <v>0</v>
      </c>
      <c r="AY1975" s="46">
        <f t="shared" si="92"/>
        <v>0</v>
      </c>
      <c r="AZ1975" s="46">
        <f t="shared" si="93"/>
        <v>0</v>
      </c>
    </row>
    <row r="1976" spans="50:52">
      <c r="AX1976" s="46">
        <f t="shared" si="91"/>
        <v>0</v>
      </c>
      <c r="AY1976" s="46">
        <f t="shared" si="92"/>
        <v>0</v>
      </c>
      <c r="AZ1976" s="46">
        <f t="shared" si="93"/>
        <v>0</v>
      </c>
    </row>
    <row r="1977" spans="50:52">
      <c r="AX1977" s="46">
        <f t="shared" si="91"/>
        <v>0</v>
      </c>
      <c r="AY1977" s="46">
        <f t="shared" si="92"/>
        <v>0</v>
      </c>
      <c r="AZ1977" s="46">
        <f t="shared" si="93"/>
        <v>0</v>
      </c>
    </row>
    <row r="1978" spans="50:52">
      <c r="AX1978" s="46">
        <f t="shared" si="91"/>
        <v>0</v>
      </c>
      <c r="AY1978" s="46">
        <f t="shared" si="92"/>
        <v>0</v>
      </c>
      <c r="AZ1978" s="46">
        <f t="shared" si="93"/>
        <v>0</v>
      </c>
    </row>
    <row r="1979" spans="50:52">
      <c r="AX1979" s="46">
        <f t="shared" si="91"/>
        <v>0</v>
      </c>
      <c r="AY1979" s="46">
        <f t="shared" si="92"/>
        <v>0</v>
      </c>
      <c r="AZ1979" s="46">
        <f t="shared" si="93"/>
        <v>0</v>
      </c>
    </row>
    <row r="1980" spans="50:52">
      <c r="AX1980" s="46">
        <f t="shared" si="91"/>
        <v>0</v>
      </c>
      <c r="AY1980" s="46">
        <f t="shared" si="92"/>
        <v>0</v>
      </c>
      <c r="AZ1980" s="46">
        <f t="shared" si="93"/>
        <v>0</v>
      </c>
    </row>
    <row r="1981" spans="50:52">
      <c r="AX1981" s="46">
        <f t="shared" si="91"/>
        <v>0</v>
      </c>
      <c r="AY1981" s="46">
        <f t="shared" si="92"/>
        <v>0</v>
      </c>
      <c r="AZ1981" s="46">
        <f t="shared" si="93"/>
        <v>0</v>
      </c>
    </row>
    <row r="1982" spans="50:52">
      <c r="AX1982" s="46">
        <f t="shared" si="91"/>
        <v>0</v>
      </c>
      <c r="AY1982" s="46">
        <f t="shared" si="92"/>
        <v>0</v>
      </c>
      <c r="AZ1982" s="46">
        <f t="shared" si="93"/>
        <v>0</v>
      </c>
    </row>
    <row r="1983" spans="50:52">
      <c r="AX1983" s="46">
        <f t="shared" si="91"/>
        <v>0</v>
      </c>
      <c r="AY1983" s="46">
        <f t="shared" si="92"/>
        <v>0</v>
      </c>
      <c r="AZ1983" s="46">
        <f t="shared" si="93"/>
        <v>0</v>
      </c>
    </row>
    <row r="1984" spans="50:52">
      <c r="AX1984" s="46">
        <f t="shared" si="91"/>
        <v>0</v>
      </c>
      <c r="AY1984" s="46">
        <f t="shared" si="92"/>
        <v>0</v>
      </c>
      <c r="AZ1984" s="46">
        <f t="shared" si="93"/>
        <v>0</v>
      </c>
    </row>
    <row r="1985" spans="50:52">
      <c r="AX1985" s="46">
        <f t="shared" si="91"/>
        <v>0</v>
      </c>
      <c r="AY1985" s="46">
        <f t="shared" si="92"/>
        <v>0</v>
      </c>
      <c r="AZ1985" s="46">
        <f t="shared" si="93"/>
        <v>0</v>
      </c>
    </row>
    <row r="1986" spans="50:52">
      <c r="AX1986" s="46">
        <f t="shared" si="91"/>
        <v>0</v>
      </c>
      <c r="AY1986" s="46">
        <f t="shared" si="92"/>
        <v>0</v>
      </c>
      <c r="AZ1986" s="46">
        <f t="shared" si="93"/>
        <v>0</v>
      </c>
    </row>
    <row r="1987" spans="50:52">
      <c r="AX1987" s="46">
        <f t="shared" si="91"/>
        <v>0</v>
      </c>
      <c r="AY1987" s="46">
        <f t="shared" si="92"/>
        <v>0</v>
      </c>
      <c r="AZ1987" s="46">
        <f t="shared" si="93"/>
        <v>0</v>
      </c>
    </row>
    <row r="1988" spans="50:52">
      <c r="AX1988" s="46">
        <f t="shared" si="91"/>
        <v>0</v>
      </c>
      <c r="AY1988" s="46">
        <f t="shared" si="92"/>
        <v>0</v>
      </c>
      <c r="AZ1988" s="46">
        <f t="shared" si="93"/>
        <v>0</v>
      </c>
    </row>
    <row r="1989" spans="50:52">
      <c r="AX1989" s="46">
        <f t="shared" si="91"/>
        <v>0</v>
      </c>
      <c r="AY1989" s="46">
        <f t="shared" si="92"/>
        <v>0</v>
      </c>
      <c r="AZ1989" s="46">
        <f t="shared" si="93"/>
        <v>0</v>
      </c>
    </row>
    <row r="1990" spans="50:52">
      <c r="AX1990" s="46">
        <f t="shared" si="91"/>
        <v>0</v>
      </c>
      <c r="AY1990" s="46">
        <f t="shared" si="92"/>
        <v>0</v>
      </c>
      <c r="AZ1990" s="46">
        <f t="shared" si="93"/>
        <v>0</v>
      </c>
    </row>
    <row r="1991" spans="50:52">
      <c r="AX1991" s="46">
        <f t="shared" si="91"/>
        <v>0</v>
      </c>
      <c r="AY1991" s="46">
        <f t="shared" si="92"/>
        <v>0</v>
      </c>
      <c r="AZ1991" s="46">
        <f t="shared" si="93"/>
        <v>0</v>
      </c>
    </row>
    <row r="1992" spans="50:52">
      <c r="AX1992" s="46">
        <f t="shared" si="91"/>
        <v>0</v>
      </c>
      <c r="AY1992" s="46">
        <f t="shared" si="92"/>
        <v>0</v>
      </c>
      <c r="AZ1992" s="46">
        <f t="shared" si="93"/>
        <v>0</v>
      </c>
    </row>
    <row r="1993" spans="50:52">
      <c r="AX1993" s="46">
        <f t="shared" si="91"/>
        <v>0</v>
      </c>
      <c r="AY1993" s="46">
        <f t="shared" si="92"/>
        <v>0</v>
      </c>
      <c r="AZ1993" s="46">
        <f t="shared" si="93"/>
        <v>0</v>
      </c>
    </row>
    <row r="1994" spans="50:52">
      <c r="AX1994" s="46">
        <f t="shared" si="91"/>
        <v>0</v>
      </c>
      <c r="AY1994" s="46">
        <f t="shared" si="92"/>
        <v>0</v>
      </c>
      <c r="AZ1994" s="46">
        <f t="shared" si="93"/>
        <v>0</v>
      </c>
    </row>
    <row r="1995" spans="50:52">
      <c r="AX1995" s="46">
        <f t="shared" ref="AX1995:AX2058" si="94">IFERROR(SUM(Q1995:AS1995)-SUM(AT1995:AU1995)+AV1995,"-")</f>
        <v>0</v>
      </c>
      <c r="AY1995" s="46">
        <f t="shared" ref="AY1995:AY2058" si="95">IFERROR(SUM(Q1995:AS1995)-SUM(AT1995:AT1995),"-")</f>
        <v>0</v>
      </c>
      <c r="AZ1995" s="46">
        <f t="shared" ref="AZ1995:AZ2058" si="96">SUM(Q1995:AS1995)</f>
        <v>0</v>
      </c>
    </row>
    <row r="1996" spans="50:52">
      <c r="AX1996" s="46">
        <f t="shared" si="94"/>
        <v>0</v>
      </c>
      <c r="AY1996" s="46">
        <f t="shared" si="95"/>
        <v>0</v>
      </c>
      <c r="AZ1996" s="46">
        <f t="shared" si="96"/>
        <v>0</v>
      </c>
    </row>
    <row r="1997" spans="50:52">
      <c r="AX1997" s="46">
        <f t="shared" si="94"/>
        <v>0</v>
      </c>
      <c r="AY1997" s="46">
        <f t="shared" si="95"/>
        <v>0</v>
      </c>
      <c r="AZ1997" s="46">
        <f t="shared" si="96"/>
        <v>0</v>
      </c>
    </row>
    <row r="1998" spans="50:52">
      <c r="AX1998" s="46">
        <f t="shared" si="94"/>
        <v>0</v>
      </c>
      <c r="AY1998" s="46">
        <f t="shared" si="95"/>
        <v>0</v>
      </c>
      <c r="AZ1998" s="46">
        <f t="shared" si="96"/>
        <v>0</v>
      </c>
    </row>
    <row r="1999" spans="50:52">
      <c r="AX1999" s="46">
        <f t="shared" si="94"/>
        <v>0</v>
      </c>
      <c r="AY1999" s="46">
        <f t="shared" si="95"/>
        <v>0</v>
      </c>
      <c r="AZ1999" s="46">
        <f t="shared" si="96"/>
        <v>0</v>
      </c>
    </row>
    <row r="2000" spans="50:52">
      <c r="AX2000" s="46">
        <f t="shared" si="94"/>
        <v>0</v>
      </c>
      <c r="AY2000" s="46">
        <f t="shared" si="95"/>
        <v>0</v>
      </c>
      <c r="AZ2000" s="46">
        <f t="shared" si="96"/>
        <v>0</v>
      </c>
    </row>
    <row r="2001" spans="50:52">
      <c r="AX2001" s="46">
        <f t="shared" si="94"/>
        <v>0</v>
      </c>
      <c r="AY2001" s="46">
        <f t="shared" si="95"/>
        <v>0</v>
      </c>
      <c r="AZ2001" s="46">
        <f t="shared" si="96"/>
        <v>0</v>
      </c>
    </row>
    <row r="2002" spans="50:52">
      <c r="AX2002" s="46">
        <f t="shared" si="94"/>
        <v>0</v>
      </c>
      <c r="AY2002" s="46">
        <f t="shared" si="95"/>
        <v>0</v>
      </c>
      <c r="AZ2002" s="46">
        <f t="shared" si="96"/>
        <v>0</v>
      </c>
    </row>
    <row r="2003" spans="50:52">
      <c r="AX2003" s="46">
        <f t="shared" si="94"/>
        <v>0</v>
      </c>
      <c r="AY2003" s="46">
        <f t="shared" si="95"/>
        <v>0</v>
      </c>
      <c r="AZ2003" s="46">
        <f t="shared" si="96"/>
        <v>0</v>
      </c>
    </row>
    <row r="2004" spans="50:52">
      <c r="AX2004" s="46">
        <f t="shared" si="94"/>
        <v>0</v>
      </c>
      <c r="AY2004" s="46">
        <f t="shared" si="95"/>
        <v>0</v>
      </c>
      <c r="AZ2004" s="46">
        <f t="shared" si="96"/>
        <v>0</v>
      </c>
    </row>
    <row r="2005" spans="50:52">
      <c r="AX2005" s="46">
        <f t="shared" si="94"/>
        <v>0</v>
      </c>
      <c r="AY2005" s="46">
        <f t="shared" si="95"/>
        <v>0</v>
      </c>
      <c r="AZ2005" s="46">
        <f t="shared" si="96"/>
        <v>0</v>
      </c>
    </row>
    <row r="2006" spans="50:52">
      <c r="AX2006" s="46">
        <f t="shared" si="94"/>
        <v>0</v>
      </c>
      <c r="AY2006" s="46">
        <f t="shared" si="95"/>
        <v>0</v>
      </c>
      <c r="AZ2006" s="46">
        <f t="shared" si="96"/>
        <v>0</v>
      </c>
    </row>
    <row r="2007" spans="50:52">
      <c r="AX2007" s="46">
        <f t="shared" si="94"/>
        <v>0</v>
      </c>
      <c r="AY2007" s="46">
        <f t="shared" si="95"/>
        <v>0</v>
      </c>
      <c r="AZ2007" s="46">
        <f t="shared" si="96"/>
        <v>0</v>
      </c>
    </row>
    <row r="2008" spans="50:52">
      <c r="AX2008" s="46">
        <f t="shared" si="94"/>
        <v>0</v>
      </c>
      <c r="AY2008" s="46">
        <f t="shared" si="95"/>
        <v>0</v>
      </c>
      <c r="AZ2008" s="46">
        <f t="shared" si="96"/>
        <v>0</v>
      </c>
    </row>
    <row r="2009" spans="50:52">
      <c r="AX2009" s="46">
        <f t="shared" si="94"/>
        <v>0</v>
      </c>
      <c r="AY2009" s="46">
        <f t="shared" si="95"/>
        <v>0</v>
      </c>
      <c r="AZ2009" s="46">
        <f t="shared" si="96"/>
        <v>0</v>
      </c>
    </row>
    <row r="2010" spans="50:52">
      <c r="AX2010" s="46">
        <f t="shared" si="94"/>
        <v>0</v>
      </c>
      <c r="AY2010" s="46">
        <f t="shared" si="95"/>
        <v>0</v>
      </c>
      <c r="AZ2010" s="46">
        <f t="shared" si="96"/>
        <v>0</v>
      </c>
    </row>
    <row r="2011" spans="50:52">
      <c r="AX2011" s="46">
        <f t="shared" si="94"/>
        <v>0</v>
      </c>
      <c r="AY2011" s="46">
        <f t="shared" si="95"/>
        <v>0</v>
      </c>
      <c r="AZ2011" s="46">
        <f t="shared" si="96"/>
        <v>0</v>
      </c>
    </row>
    <row r="2012" spans="50:52">
      <c r="AX2012" s="46">
        <f t="shared" si="94"/>
        <v>0</v>
      </c>
      <c r="AY2012" s="46">
        <f t="shared" si="95"/>
        <v>0</v>
      </c>
      <c r="AZ2012" s="46">
        <f t="shared" si="96"/>
        <v>0</v>
      </c>
    </row>
    <row r="2013" spans="50:52">
      <c r="AX2013" s="46">
        <f t="shared" si="94"/>
        <v>0</v>
      </c>
      <c r="AY2013" s="46">
        <f t="shared" si="95"/>
        <v>0</v>
      </c>
      <c r="AZ2013" s="46">
        <f t="shared" si="96"/>
        <v>0</v>
      </c>
    </row>
    <row r="2014" spans="50:52">
      <c r="AX2014" s="46">
        <f t="shared" si="94"/>
        <v>0</v>
      </c>
      <c r="AY2014" s="46">
        <f t="shared" si="95"/>
        <v>0</v>
      </c>
      <c r="AZ2014" s="46">
        <f t="shared" si="96"/>
        <v>0</v>
      </c>
    </row>
    <row r="2015" spans="50:52">
      <c r="AX2015" s="46">
        <f t="shared" si="94"/>
        <v>0</v>
      </c>
      <c r="AY2015" s="46">
        <f t="shared" si="95"/>
        <v>0</v>
      </c>
      <c r="AZ2015" s="46">
        <f t="shared" si="96"/>
        <v>0</v>
      </c>
    </row>
    <row r="2016" spans="50:52">
      <c r="AX2016" s="46">
        <f t="shared" si="94"/>
        <v>0</v>
      </c>
      <c r="AY2016" s="46">
        <f t="shared" si="95"/>
        <v>0</v>
      </c>
      <c r="AZ2016" s="46">
        <f t="shared" si="96"/>
        <v>0</v>
      </c>
    </row>
    <row r="2017" spans="50:52">
      <c r="AX2017" s="46">
        <f t="shared" si="94"/>
        <v>0</v>
      </c>
      <c r="AY2017" s="46">
        <f t="shared" si="95"/>
        <v>0</v>
      </c>
      <c r="AZ2017" s="46">
        <f t="shared" si="96"/>
        <v>0</v>
      </c>
    </row>
    <row r="2018" spans="50:52">
      <c r="AX2018" s="46">
        <f t="shared" si="94"/>
        <v>0</v>
      </c>
      <c r="AY2018" s="46">
        <f t="shared" si="95"/>
        <v>0</v>
      </c>
      <c r="AZ2018" s="46">
        <f t="shared" si="96"/>
        <v>0</v>
      </c>
    </row>
    <row r="2019" spans="50:52">
      <c r="AX2019" s="46">
        <f t="shared" si="94"/>
        <v>0</v>
      </c>
      <c r="AY2019" s="46">
        <f t="shared" si="95"/>
        <v>0</v>
      </c>
      <c r="AZ2019" s="46">
        <f t="shared" si="96"/>
        <v>0</v>
      </c>
    </row>
    <row r="2020" spans="50:52">
      <c r="AX2020" s="46">
        <f t="shared" si="94"/>
        <v>0</v>
      </c>
      <c r="AY2020" s="46">
        <f t="shared" si="95"/>
        <v>0</v>
      </c>
      <c r="AZ2020" s="46">
        <f t="shared" si="96"/>
        <v>0</v>
      </c>
    </row>
    <row r="2021" spans="50:52">
      <c r="AX2021" s="46">
        <f t="shared" si="94"/>
        <v>0</v>
      </c>
      <c r="AY2021" s="46">
        <f t="shared" si="95"/>
        <v>0</v>
      </c>
      <c r="AZ2021" s="46">
        <f t="shared" si="96"/>
        <v>0</v>
      </c>
    </row>
    <row r="2022" spans="50:52">
      <c r="AX2022" s="46">
        <f t="shared" si="94"/>
        <v>0</v>
      </c>
      <c r="AY2022" s="46">
        <f t="shared" si="95"/>
        <v>0</v>
      </c>
      <c r="AZ2022" s="46">
        <f t="shared" si="96"/>
        <v>0</v>
      </c>
    </row>
    <row r="2023" spans="50:52">
      <c r="AX2023" s="46">
        <f t="shared" si="94"/>
        <v>0</v>
      </c>
      <c r="AY2023" s="46">
        <f t="shared" si="95"/>
        <v>0</v>
      </c>
      <c r="AZ2023" s="46">
        <f t="shared" si="96"/>
        <v>0</v>
      </c>
    </row>
    <row r="2024" spans="50:52">
      <c r="AX2024" s="46">
        <f t="shared" si="94"/>
        <v>0</v>
      </c>
      <c r="AY2024" s="46">
        <f t="shared" si="95"/>
        <v>0</v>
      </c>
      <c r="AZ2024" s="46">
        <f t="shared" si="96"/>
        <v>0</v>
      </c>
    </row>
    <row r="2025" spans="50:52">
      <c r="AX2025" s="46">
        <f t="shared" si="94"/>
        <v>0</v>
      </c>
      <c r="AY2025" s="46">
        <f t="shared" si="95"/>
        <v>0</v>
      </c>
      <c r="AZ2025" s="46">
        <f t="shared" si="96"/>
        <v>0</v>
      </c>
    </row>
    <row r="2026" spans="50:52">
      <c r="AX2026" s="46">
        <f t="shared" si="94"/>
        <v>0</v>
      </c>
      <c r="AY2026" s="46">
        <f t="shared" si="95"/>
        <v>0</v>
      </c>
      <c r="AZ2026" s="46">
        <f t="shared" si="96"/>
        <v>0</v>
      </c>
    </row>
    <row r="2027" spans="50:52">
      <c r="AX2027" s="46">
        <f t="shared" si="94"/>
        <v>0</v>
      </c>
      <c r="AY2027" s="46">
        <f t="shared" si="95"/>
        <v>0</v>
      </c>
      <c r="AZ2027" s="46">
        <f t="shared" si="96"/>
        <v>0</v>
      </c>
    </row>
    <row r="2028" spans="50:52">
      <c r="AX2028" s="46">
        <f t="shared" si="94"/>
        <v>0</v>
      </c>
      <c r="AY2028" s="46">
        <f t="shared" si="95"/>
        <v>0</v>
      </c>
      <c r="AZ2028" s="46">
        <f t="shared" si="96"/>
        <v>0</v>
      </c>
    </row>
    <row r="2029" spans="50:52">
      <c r="AX2029" s="46">
        <f t="shared" si="94"/>
        <v>0</v>
      </c>
      <c r="AY2029" s="46">
        <f t="shared" si="95"/>
        <v>0</v>
      </c>
      <c r="AZ2029" s="46">
        <f t="shared" si="96"/>
        <v>0</v>
      </c>
    </row>
    <row r="2030" spans="50:52">
      <c r="AX2030" s="46">
        <f t="shared" si="94"/>
        <v>0</v>
      </c>
      <c r="AY2030" s="46">
        <f t="shared" si="95"/>
        <v>0</v>
      </c>
      <c r="AZ2030" s="46">
        <f t="shared" si="96"/>
        <v>0</v>
      </c>
    </row>
    <row r="2031" spans="50:52">
      <c r="AX2031" s="46">
        <f t="shared" si="94"/>
        <v>0</v>
      </c>
      <c r="AY2031" s="46">
        <f t="shared" si="95"/>
        <v>0</v>
      </c>
      <c r="AZ2031" s="46">
        <f t="shared" si="96"/>
        <v>0</v>
      </c>
    </row>
    <row r="2032" spans="50:52">
      <c r="AX2032" s="46">
        <f t="shared" si="94"/>
        <v>0</v>
      </c>
      <c r="AY2032" s="46">
        <f t="shared" si="95"/>
        <v>0</v>
      </c>
      <c r="AZ2032" s="46">
        <f t="shared" si="96"/>
        <v>0</v>
      </c>
    </row>
    <row r="2033" spans="50:52">
      <c r="AX2033" s="46">
        <f t="shared" si="94"/>
        <v>0</v>
      </c>
      <c r="AY2033" s="46">
        <f t="shared" si="95"/>
        <v>0</v>
      </c>
      <c r="AZ2033" s="46">
        <f t="shared" si="96"/>
        <v>0</v>
      </c>
    </row>
    <row r="2034" spans="50:52">
      <c r="AX2034" s="46">
        <f t="shared" si="94"/>
        <v>0</v>
      </c>
      <c r="AY2034" s="46">
        <f t="shared" si="95"/>
        <v>0</v>
      </c>
      <c r="AZ2034" s="46">
        <f t="shared" si="96"/>
        <v>0</v>
      </c>
    </row>
    <row r="2035" spans="50:52">
      <c r="AX2035" s="46">
        <f t="shared" si="94"/>
        <v>0</v>
      </c>
      <c r="AY2035" s="46">
        <f t="shared" si="95"/>
        <v>0</v>
      </c>
      <c r="AZ2035" s="46">
        <f t="shared" si="96"/>
        <v>0</v>
      </c>
    </row>
    <row r="2036" spans="50:52">
      <c r="AX2036" s="46">
        <f t="shared" si="94"/>
        <v>0</v>
      </c>
      <c r="AY2036" s="46">
        <f t="shared" si="95"/>
        <v>0</v>
      </c>
      <c r="AZ2036" s="46">
        <f t="shared" si="96"/>
        <v>0</v>
      </c>
    </row>
    <row r="2037" spans="50:52">
      <c r="AX2037" s="46">
        <f t="shared" si="94"/>
        <v>0</v>
      </c>
      <c r="AY2037" s="46">
        <f t="shared" si="95"/>
        <v>0</v>
      </c>
      <c r="AZ2037" s="46">
        <f t="shared" si="96"/>
        <v>0</v>
      </c>
    </row>
    <row r="2038" spans="50:52">
      <c r="AX2038" s="46">
        <f t="shared" si="94"/>
        <v>0</v>
      </c>
      <c r="AY2038" s="46">
        <f t="shared" si="95"/>
        <v>0</v>
      </c>
      <c r="AZ2038" s="46">
        <f t="shared" si="96"/>
        <v>0</v>
      </c>
    </row>
    <row r="2039" spans="50:52">
      <c r="AX2039" s="46">
        <f t="shared" si="94"/>
        <v>0</v>
      </c>
      <c r="AY2039" s="46">
        <f t="shared" si="95"/>
        <v>0</v>
      </c>
      <c r="AZ2039" s="46">
        <f t="shared" si="96"/>
        <v>0</v>
      </c>
    </row>
    <row r="2040" spans="50:52">
      <c r="AX2040" s="46">
        <f t="shared" si="94"/>
        <v>0</v>
      </c>
      <c r="AY2040" s="46">
        <f t="shared" si="95"/>
        <v>0</v>
      </c>
      <c r="AZ2040" s="46">
        <f t="shared" si="96"/>
        <v>0</v>
      </c>
    </row>
    <row r="2041" spans="50:52">
      <c r="AX2041" s="46">
        <f t="shared" si="94"/>
        <v>0</v>
      </c>
      <c r="AY2041" s="46">
        <f t="shared" si="95"/>
        <v>0</v>
      </c>
      <c r="AZ2041" s="46">
        <f t="shared" si="96"/>
        <v>0</v>
      </c>
    </row>
    <row r="2042" spans="50:52">
      <c r="AX2042" s="46">
        <f t="shared" si="94"/>
        <v>0</v>
      </c>
      <c r="AY2042" s="46">
        <f t="shared" si="95"/>
        <v>0</v>
      </c>
      <c r="AZ2042" s="46">
        <f t="shared" si="96"/>
        <v>0</v>
      </c>
    </row>
    <row r="2043" spans="50:52">
      <c r="AX2043" s="46">
        <f t="shared" si="94"/>
        <v>0</v>
      </c>
      <c r="AY2043" s="46">
        <f t="shared" si="95"/>
        <v>0</v>
      </c>
      <c r="AZ2043" s="46">
        <f t="shared" si="96"/>
        <v>0</v>
      </c>
    </row>
    <row r="2044" spans="50:52">
      <c r="AX2044" s="46">
        <f t="shared" si="94"/>
        <v>0</v>
      </c>
      <c r="AY2044" s="46">
        <f t="shared" si="95"/>
        <v>0</v>
      </c>
      <c r="AZ2044" s="46">
        <f t="shared" si="96"/>
        <v>0</v>
      </c>
    </row>
    <row r="2045" spans="50:52">
      <c r="AX2045" s="46">
        <f t="shared" si="94"/>
        <v>0</v>
      </c>
      <c r="AY2045" s="46">
        <f t="shared" si="95"/>
        <v>0</v>
      </c>
      <c r="AZ2045" s="46">
        <f t="shared" si="96"/>
        <v>0</v>
      </c>
    </row>
    <row r="2046" spans="50:52">
      <c r="AX2046" s="46">
        <f t="shared" si="94"/>
        <v>0</v>
      </c>
      <c r="AY2046" s="46">
        <f t="shared" si="95"/>
        <v>0</v>
      </c>
      <c r="AZ2046" s="46">
        <f t="shared" si="96"/>
        <v>0</v>
      </c>
    </row>
    <row r="2047" spans="50:52">
      <c r="AX2047" s="46">
        <f t="shared" si="94"/>
        <v>0</v>
      </c>
      <c r="AY2047" s="46">
        <f t="shared" si="95"/>
        <v>0</v>
      </c>
      <c r="AZ2047" s="46">
        <f t="shared" si="96"/>
        <v>0</v>
      </c>
    </row>
    <row r="2048" spans="50:52">
      <c r="AX2048" s="46">
        <f t="shared" si="94"/>
        <v>0</v>
      </c>
      <c r="AY2048" s="46">
        <f t="shared" si="95"/>
        <v>0</v>
      </c>
      <c r="AZ2048" s="46">
        <f t="shared" si="96"/>
        <v>0</v>
      </c>
    </row>
    <row r="2049" spans="50:52">
      <c r="AX2049" s="46">
        <f t="shared" si="94"/>
        <v>0</v>
      </c>
      <c r="AY2049" s="46">
        <f t="shared" si="95"/>
        <v>0</v>
      </c>
      <c r="AZ2049" s="46">
        <f t="shared" si="96"/>
        <v>0</v>
      </c>
    </row>
    <row r="2050" spans="50:52">
      <c r="AX2050" s="46">
        <f t="shared" si="94"/>
        <v>0</v>
      </c>
      <c r="AY2050" s="46">
        <f t="shared" si="95"/>
        <v>0</v>
      </c>
      <c r="AZ2050" s="46">
        <f t="shared" si="96"/>
        <v>0</v>
      </c>
    </row>
    <row r="2051" spans="50:52">
      <c r="AX2051" s="46">
        <f t="shared" si="94"/>
        <v>0</v>
      </c>
      <c r="AY2051" s="46">
        <f t="shared" si="95"/>
        <v>0</v>
      </c>
      <c r="AZ2051" s="46">
        <f t="shared" si="96"/>
        <v>0</v>
      </c>
    </row>
    <row r="2052" spans="50:52">
      <c r="AX2052" s="46">
        <f t="shared" si="94"/>
        <v>0</v>
      </c>
      <c r="AY2052" s="46">
        <f t="shared" si="95"/>
        <v>0</v>
      </c>
      <c r="AZ2052" s="46">
        <f t="shared" si="96"/>
        <v>0</v>
      </c>
    </row>
    <row r="2053" spans="50:52">
      <c r="AX2053" s="46">
        <f t="shared" si="94"/>
        <v>0</v>
      </c>
      <c r="AY2053" s="46">
        <f t="shared" si="95"/>
        <v>0</v>
      </c>
      <c r="AZ2053" s="46">
        <f t="shared" si="96"/>
        <v>0</v>
      </c>
    </row>
    <row r="2054" spans="50:52">
      <c r="AX2054" s="46">
        <f t="shared" si="94"/>
        <v>0</v>
      </c>
      <c r="AY2054" s="46">
        <f t="shared" si="95"/>
        <v>0</v>
      </c>
      <c r="AZ2054" s="46">
        <f t="shared" si="96"/>
        <v>0</v>
      </c>
    </row>
    <row r="2055" spans="50:52">
      <c r="AX2055" s="46">
        <f t="shared" si="94"/>
        <v>0</v>
      </c>
      <c r="AY2055" s="46">
        <f t="shared" si="95"/>
        <v>0</v>
      </c>
      <c r="AZ2055" s="46">
        <f t="shared" si="96"/>
        <v>0</v>
      </c>
    </row>
    <row r="2056" spans="50:52">
      <c r="AX2056" s="46">
        <f t="shared" si="94"/>
        <v>0</v>
      </c>
      <c r="AY2056" s="46">
        <f t="shared" si="95"/>
        <v>0</v>
      </c>
      <c r="AZ2056" s="46">
        <f t="shared" si="96"/>
        <v>0</v>
      </c>
    </row>
    <row r="2057" spans="50:52">
      <c r="AX2057" s="46">
        <f t="shared" si="94"/>
        <v>0</v>
      </c>
      <c r="AY2057" s="46">
        <f t="shared" si="95"/>
        <v>0</v>
      </c>
      <c r="AZ2057" s="46">
        <f t="shared" si="96"/>
        <v>0</v>
      </c>
    </row>
    <row r="2058" spans="50:52">
      <c r="AX2058" s="46">
        <f t="shared" si="94"/>
        <v>0</v>
      </c>
      <c r="AY2058" s="46">
        <f t="shared" si="95"/>
        <v>0</v>
      </c>
      <c r="AZ2058" s="46">
        <f t="shared" si="96"/>
        <v>0</v>
      </c>
    </row>
    <row r="2059" spans="50:52">
      <c r="AX2059" s="46">
        <f t="shared" ref="AX2059:AX2122" si="97">IFERROR(SUM(Q2059:AS2059)-SUM(AT2059:AU2059)+AV2059,"-")</f>
        <v>0</v>
      </c>
      <c r="AY2059" s="46">
        <f t="shared" ref="AY2059:AY2122" si="98">IFERROR(SUM(Q2059:AS2059)-SUM(AT2059:AT2059),"-")</f>
        <v>0</v>
      </c>
      <c r="AZ2059" s="46">
        <f t="shared" ref="AZ2059:AZ2122" si="99">SUM(Q2059:AS2059)</f>
        <v>0</v>
      </c>
    </row>
    <row r="2060" spans="50:52">
      <c r="AX2060" s="46">
        <f t="shared" si="97"/>
        <v>0</v>
      </c>
      <c r="AY2060" s="46">
        <f t="shared" si="98"/>
        <v>0</v>
      </c>
      <c r="AZ2060" s="46">
        <f t="shared" si="99"/>
        <v>0</v>
      </c>
    </row>
    <row r="2061" spans="50:52">
      <c r="AX2061" s="46">
        <f t="shared" si="97"/>
        <v>0</v>
      </c>
      <c r="AY2061" s="46">
        <f t="shared" si="98"/>
        <v>0</v>
      </c>
      <c r="AZ2061" s="46">
        <f t="shared" si="99"/>
        <v>0</v>
      </c>
    </row>
    <row r="2062" spans="50:52">
      <c r="AX2062" s="46">
        <f t="shared" si="97"/>
        <v>0</v>
      </c>
      <c r="AY2062" s="46">
        <f t="shared" si="98"/>
        <v>0</v>
      </c>
      <c r="AZ2062" s="46">
        <f t="shared" si="99"/>
        <v>0</v>
      </c>
    </row>
    <row r="2063" spans="50:52">
      <c r="AX2063" s="46">
        <f t="shared" si="97"/>
        <v>0</v>
      </c>
      <c r="AY2063" s="46">
        <f t="shared" si="98"/>
        <v>0</v>
      </c>
      <c r="AZ2063" s="46">
        <f t="shared" si="99"/>
        <v>0</v>
      </c>
    </row>
    <row r="2064" spans="50:52">
      <c r="AX2064" s="46">
        <f t="shared" si="97"/>
        <v>0</v>
      </c>
      <c r="AY2064" s="46">
        <f t="shared" si="98"/>
        <v>0</v>
      </c>
      <c r="AZ2064" s="46">
        <f t="shared" si="99"/>
        <v>0</v>
      </c>
    </row>
    <row r="2065" spans="50:52">
      <c r="AX2065" s="46">
        <f t="shared" si="97"/>
        <v>0</v>
      </c>
      <c r="AY2065" s="46">
        <f t="shared" si="98"/>
        <v>0</v>
      </c>
      <c r="AZ2065" s="46">
        <f t="shared" si="99"/>
        <v>0</v>
      </c>
    </row>
    <row r="2066" spans="50:52">
      <c r="AX2066" s="46">
        <f t="shared" si="97"/>
        <v>0</v>
      </c>
      <c r="AY2066" s="46">
        <f t="shared" si="98"/>
        <v>0</v>
      </c>
      <c r="AZ2066" s="46">
        <f t="shared" si="99"/>
        <v>0</v>
      </c>
    </row>
    <row r="2067" spans="50:52">
      <c r="AX2067" s="46">
        <f t="shared" si="97"/>
        <v>0</v>
      </c>
      <c r="AY2067" s="46">
        <f t="shared" si="98"/>
        <v>0</v>
      </c>
      <c r="AZ2067" s="46">
        <f t="shared" si="99"/>
        <v>0</v>
      </c>
    </row>
    <row r="2068" spans="50:52">
      <c r="AX2068" s="46">
        <f t="shared" si="97"/>
        <v>0</v>
      </c>
      <c r="AY2068" s="46">
        <f t="shared" si="98"/>
        <v>0</v>
      </c>
      <c r="AZ2068" s="46">
        <f t="shared" si="99"/>
        <v>0</v>
      </c>
    </row>
    <row r="2069" spans="50:52">
      <c r="AX2069" s="46">
        <f t="shared" si="97"/>
        <v>0</v>
      </c>
      <c r="AY2069" s="46">
        <f t="shared" si="98"/>
        <v>0</v>
      </c>
      <c r="AZ2069" s="46">
        <f t="shared" si="99"/>
        <v>0</v>
      </c>
    </row>
    <row r="2070" spans="50:52">
      <c r="AX2070" s="46">
        <f t="shared" si="97"/>
        <v>0</v>
      </c>
      <c r="AY2070" s="46">
        <f t="shared" si="98"/>
        <v>0</v>
      </c>
      <c r="AZ2070" s="46">
        <f t="shared" si="99"/>
        <v>0</v>
      </c>
    </row>
    <row r="2071" spans="50:52">
      <c r="AX2071" s="46">
        <f t="shared" si="97"/>
        <v>0</v>
      </c>
      <c r="AY2071" s="46">
        <f t="shared" si="98"/>
        <v>0</v>
      </c>
      <c r="AZ2071" s="46">
        <f t="shared" si="99"/>
        <v>0</v>
      </c>
    </row>
    <row r="2072" spans="50:52">
      <c r="AX2072" s="46">
        <f t="shared" si="97"/>
        <v>0</v>
      </c>
      <c r="AY2072" s="46">
        <f t="shared" si="98"/>
        <v>0</v>
      </c>
      <c r="AZ2072" s="46">
        <f t="shared" si="99"/>
        <v>0</v>
      </c>
    </row>
    <row r="2073" spans="50:52">
      <c r="AX2073" s="46">
        <f t="shared" si="97"/>
        <v>0</v>
      </c>
      <c r="AY2073" s="46">
        <f t="shared" si="98"/>
        <v>0</v>
      </c>
      <c r="AZ2073" s="46">
        <f t="shared" si="99"/>
        <v>0</v>
      </c>
    </row>
    <row r="2074" spans="50:52">
      <c r="AX2074" s="46">
        <f t="shared" si="97"/>
        <v>0</v>
      </c>
      <c r="AY2074" s="46">
        <f t="shared" si="98"/>
        <v>0</v>
      </c>
      <c r="AZ2074" s="46">
        <f t="shared" si="99"/>
        <v>0</v>
      </c>
    </row>
    <row r="2075" spans="50:52">
      <c r="AX2075" s="46">
        <f t="shared" si="97"/>
        <v>0</v>
      </c>
      <c r="AY2075" s="46">
        <f t="shared" si="98"/>
        <v>0</v>
      </c>
      <c r="AZ2075" s="46">
        <f t="shared" si="99"/>
        <v>0</v>
      </c>
    </row>
    <row r="2076" spans="50:52">
      <c r="AX2076" s="46">
        <f t="shared" si="97"/>
        <v>0</v>
      </c>
      <c r="AY2076" s="46">
        <f t="shared" si="98"/>
        <v>0</v>
      </c>
      <c r="AZ2076" s="46">
        <f t="shared" si="99"/>
        <v>0</v>
      </c>
    </row>
    <row r="2077" spans="50:52">
      <c r="AX2077" s="46">
        <f t="shared" si="97"/>
        <v>0</v>
      </c>
      <c r="AY2077" s="46">
        <f t="shared" si="98"/>
        <v>0</v>
      </c>
      <c r="AZ2077" s="46">
        <f t="shared" si="99"/>
        <v>0</v>
      </c>
    </row>
    <row r="2078" spans="50:52">
      <c r="AX2078" s="46">
        <f t="shared" si="97"/>
        <v>0</v>
      </c>
      <c r="AY2078" s="46">
        <f t="shared" si="98"/>
        <v>0</v>
      </c>
      <c r="AZ2078" s="46">
        <f t="shared" si="99"/>
        <v>0</v>
      </c>
    </row>
    <row r="2079" spans="50:52">
      <c r="AX2079" s="46">
        <f t="shared" si="97"/>
        <v>0</v>
      </c>
      <c r="AY2079" s="46">
        <f t="shared" si="98"/>
        <v>0</v>
      </c>
      <c r="AZ2079" s="46">
        <f t="shared" si="99"/>
        <v>0</v>
      </c>
    </row>
    <row r="2080" spans="50:52">
      <c r="AX2080" s="46">
        <f t="shared" si="97"/>
        <v>0</v>
      </c>
      <c r="AY2080" s="46">
        <f t="shared" si="98"/>
        <v>0</v>
      </c>
      <c r="AZ2080" s="46">
        <f t="shared" si="99"/>
        <v>0</v>
      </c>
    </row>
    <row r="2081" spans="50:52">
      <c r="AX2081" s="46">
        <f t="shared" si="97"/>
        <v>0</v>
      </c>
      <c r="AY2081" s="46">
        <f t="shared" si="98"/>
        <v>0</v>
      </c>
      <c r="AZ2081" s="46">
        <f t="shared" si="99"/>
        <v>0</v>
      </c>
    </row>
    <row r="2082" spans="50:52">
      <c r="AX2082" s="46">
        <f t="shared" si="97"/>
        <v>0</v>
      </c>
      <c r="AY2082" s="46">
        <f t="shared" si="98"/>
        <v>0</v>
      </c>
      <c r="AZ2082" s="46">
        <f t="shared" si="99"/>
        <v>0</v>
      </c>
    </row>
    <row r="2083" spans="50:52">
      <c r="AX2083" s="46">
        <f t="shared" si="97"/>
        <v>0</v>
      </c>
      <c r="AY2083" s="46">
        <f t="shared" si="98"/>
        <v>0</v>
      </c>
      <c r="AZ2083" s="46">
        <f t="shared" si="99"/>
        <v>0</v>
      </c>
    </row>
    <row r="2084" spans="50:52">
      <c r="AX2084" s="46">
        <f t="shared" si="97"/>
        <v>0</v>
      </c>
      <c r="AY2084" s="46">
        <f t="shared" si="98"/>
        <v>0</v>
      </c>
      <c r="AZ2084" s="46">
        <f t="shared" si="99"/>
        <v>0</v>
      </c>
    </row>
    <row r="2085" spans="50:52">
      <c r="AX2085" s="46">
        <f t="shared" si="97"/>
        <v>0</v>
      </c>
      <c r="AY2085" s="46">
        <f t="shared" si="98"/>
        <v>0</v>
      </c>
      <c r="AZ2085" s="46">
        <f t="shared" si="99"/>
        <v>0</v>
      </c>
    </row>
    <row r="2086" spans="50:52">
      <c r="AX2086" s="46">
        <f t="shared" si="97"/>
        <v>0</v>
      </c>
      <c r="AY2086" s="46">
        <f t="shared" si="98"/>
        <v>0</v>
      </c>
      <c r="AZ2086" s="46">
        <f t="shared" si="99"/>
        <v>0</v>
      </c>
    </row>
    <row r="2087" spans="50:52">
      <c r="AX2087" s="46">
        <f t="shared" si="97"/>
        <v>0</v>
      </c>
      <c r="AY2087" s="46">
        <f t="shared" si="98"/>
        <v>0</v>
      </c>
      <c r="AZ2087" s="46">
        <f t="shared" si="99"/>
        <v>0</v>
      </c>
    </row>
    <row r="2088" spans="50:52">
      <c r="AX2088" s="46">
        <f t="shared" si="97"/>
        <v>0</v>
      </c>
      <c r="AY2088" s="46">
        <f t="shared" si="98"/>
        <v>0</v>
      </c>
      <c r="AZ2088" s="46">
        <f t="shared" si="99"/>
        <v>0</v>
      </c>
    </row>
    <row r="2089" spans="50:52">
      <c r="AX2089" s="46">
        <f t="shared" si="97"/>
        <v>0</v>
      </c>
      <c r="AY2089" s="46">
        <f t="shared" si="98"/>
        <v>0</v>
      </c>
      <c r="AZ2089" s="46">
        <f t="shared" si="99"/>
        <v>0</v>
      </c>
    </row>
    <row r="2090" spans="50:52">
      <c r="AX2090" s="46">
        <f t="shared" si="97"/>
        <v>0</v>
      </c>
      <c r="AY2090" s="46">
        <f t="shared" si="98"/>
        <v>0</v>
      </c>
      <c r="AZ2090" s="46">
        <f t="shared" si="99"/>
        <v>0</v>
      </c>
    </row>
    <row r="2091" spans="50:52">
      <c r="AX2091" s="46">
        <f t="shared" si="97"/>
        <v>0</v>
      </c>
      <c r="AY2091" s="46">
        <f t="shared" si="98"/>
        <v>0</v>
      </c>
      <c r="AZ2091" s="46">
        <f t="shared" si="99"/>
        <v>0</v>
      </c>
    </row>
    <row r="2092" spans="50:52">
      <c r="AX2092" s="46">
        <f t="shared" si="97"/>
        <v>0</v>
      </c>
      <c r="AY2092" s="46">
        <f t="shared" si="98"/>
        <v>0</v>
      </c>
      <c r="AZ2092" s="46">
        <f t="shared" si="99"/>
        <v>0</v>
      </c>
    </row>
    <row r="2093" spans="50:52">
      <c r="AX2093" s="46">
        <f t="shared" si="97"/>
        <v>0</v>
      </c>
      <c r="AY2093" s="46">
        <f t="shared" si="98"/>
        <v>0</v>
      </c>
      <c r="AZ2093" s="46">
        <f t="shared" si="99"/>
        <v>0</v>
      </c>
    </row>
    <row r="2094" spans="50:52">
      <c r="AX2094" s="46">
        <f t="shared" si="97"/>
        <v>0</v>
      </c>
      <c r="AY2094" s="46">
        <f t="shared" si="98"/>
        <v>0</v>
      </c>
      <c r="AZ2094" s="46">
        <f t="shared" si="99"/>
        <v>0</v>
      </c>
    </row>
    <row r="2095" spans="50:52">
      <c r="AX2095" s="46">
        <f t="shared" si="97"/>
        <v>0</v>
      </c>
      <c r="AY2095" s="46">
        <f t="shared" si="98"/>
        <v>0</v>
      </c>
      <c r="AZ2095" s="46">
        <f t="shared" si="99"/>
        <v>0</v>
      </c>
    </row>
    <row r="2096" spans="50:52">
      <c r="AX2096" s="46">
        <f t="shared" si="97"/>
        <v>0</v>
      </c>
      <c r="AY2096" s="46">
        <f t="shared" si="98"/>
        <v>0</v>
      </c>
      <c r="AZ2096" s="46">
        <f t="shared" si="99"/>
        <v>0</v>
      </c>
    </row>
    <row r="2097" spans="50:52">
      <c r="AX2097" s="46">
        <f t="shared" si="97"/>
        <v>0</v>
      </c>
      <c r="AY2097" s="46">
        <f t="shared" si="98"/>
        <v>0</v>
      </c>
      <c r="AZ2097" s="46">
        <f t="shared" si="99"/>
        <v>0</v>
      </c>
    </row>
    <row r="2098" spans="50:52">
      <c r="AX2098" s="46">
        <f t="shared" si="97"/>
        <v>0</v>
      </c>
      <c r="AY2098" s="46">
        <f t="shared" si="98"/>
        <v>0</v>
      </c>
      <c r="AZ2098" s="46">
        <f t="shared" si="99"/>
        <v>0</v>
      </c>
    </row>
    <row r="2099" spans="50:52">
      <c r="AX2099" s="46">
        <f t="shared" si="97"/>
        <v>0</v>
      </c>
      <c r="AY2099" s="46">
        <f t="shared" si="98"/>
        <v>0</v>
      </c>
      <c r="AZ2099" s="46">
        <f t="shared" si="99"/>
        <v>0</v>
      </c>
    </row>
    <row r="2100" spans="50:52">
      <c r="AX2100" s="46">
        <f t="shared" si="97"/>
        <v>0</v>
      </c>
      <c r="AY2100" s="46">
        <f t="shared" si="98"/>
        <v>0</v>
      </c>
      <c r="AZ2100" s="46">
        <f t="shared" si="99"/>
        <v>0</v>
      </c>
    </row>
    <row r="2101" spans="50:52">
      <c r="AX2101" s="46">
        <f t="shared" si="97"/>
        <v>0</v>
      </c>
      <c r="AY2101" s="46">
        <f t="shared" si="98"/>
        <v>0</v>
      </c>
      <c r="AZ2101" s="46">
        <f t="shared" si="99"/>
        <v>0</v>
      </c>
    </row>
    <row r="2102" spans="50:52">
      <c r="AX2102" s="46">
        <f t="shared" si="97"/>
        <v>0</v>
      </c>
      <c r="AY2102" s="46">
        <f t="shared" si="98"/>
        <v>0</v>
      </c>
      <c r="AZ2102" s="46">
        <f t="shared" si="99"/>
        <v>0</v>
      </c>
    </row>
    <row r="2103" spans="50:52">
      <c r="AX2103" s="46">
        <f t="shared" si="97"/>
        <v>0</v>
      </c>
      <c r="AY2103" s="46">
        <f t="shared" si="98"/>
        <v>0</v>
      </c>
      <c r="AZ2103" s="46">
        <f t="shared" si="99"/>
        <v>0</v>
      </c>
    </row>
    <row r="2104" spans="50:52">
      <c r="AX2104" s="46">
        <f t="shared" si="97"/>
        <v>0</v>
      </c>
      <c r="AY2104" s="46">
        <f t="shared" si="98"/>
        <v>0</v>
      </c>
      <c r="AZ2104" s="46">
        <f t="shared" si="99"/>
        <v>0</v>
      </c>
    </row>
    <row r="2105" spans="50:52">
      <c r="AX2105" s="46">
        <f t="shared" si="97"/>
        <v>0</v>
      </c>
      <c r="AY2105" s="46">
        <f t="shared" si="98"/>
        <v>0</v>
      </c>
      <c r="AZ2105" s="46">
        <f t="shared" si="99"/>
        <v>0</v>
      </c>
    </row>
    <row r="2106" spans="50:52">
      <c r="AX2106" s="46">
        <f t="shared" si="97"/>
        <v>0</v>
      </c>
      <c r="AY2106" s="46">
        <f t="shared" si="98"/>
        <v>0</v>
      </c>
      <c r="AZ2106" s="46">
        <f t="shared" si="99"/>
        <v>0</v>
      </c>
    </row>
    <row r="2107" spans="50:52">
      <c r="AX2107" s="46">
        <f t="shared" si="97"/>
        <v>0</v>
      </c>
      <c r="AY2107" s="46">
        <f t="shared" si="98"/>
        <v>0</v>
      </c>
      <c r="AZ2107" s="46">
        <f t="shared" si="99"/>
        <v>0</v>
      </c>
    </row>
    <row r="2108" spans="50:52">
      <c r="AX2108" s="46">
        <f t="shared" si="97"/>
        <v>0</v>
      </c>
      <c r="AY2108" s="46">
        <f t="shared" si="98"/>
        <v>0</v>
      </c>
      <c r="AZ2108" s="46">
        <f t="shared" si="99"/>
        <v>0</v>
      </c>
    </row>
    <row r="2109" spans="50:52">
      <c r="AX2109" s="46">
        <f t="shared" si="97"/>
        <v>0</v>
      </c>
      <c r="AY2109" s="46">
        <f t="shared" si="98"/>
        <v>0</v>
      </c>
      <c r="AZ2109" s="46">
        <f t="shared" si="99"/>
        <v>0</v>
      </c>
    </row>
    <row r="2110" spans="50:52">
      <c r="AX2110" s="46">
        <f t="shared" si="97"/>
        <v>0</v>
      </c>
      <c r="AY2110" s="46">
        <f t="shared" si="98"/>
        <v>0</v>
      </c>
      <c r="AZ2110" s="46">
        <f t="shared" si="99"/>
        <v>0</v>
      </c>
    </row>
    <row r="2111" spans="50:52">
      <c r="AX2111" s="46">
        <f t="shared" si="97"/>
        <v>0</v>
      </c>
      <c r="AY2111" s="46">
        <f t="shared" si="98"/>
        <v>0</v>
      </c>
      <c r="AZ2111" s="46">
        <f t="shared" si="99"/>
        <v>0</v>
      </c>
    </row>
    <row r="2112" spans="50:52">
      <c r="AX2112" s="46">
        <f t="shared" si="97"/>
        <v>0</v>
      </c>
      <c r="AY2112" s="46">
        <f t="shared" si="98"/>
        <v>0</v>
      </c>
      <c r="AZ2112" s="46">
        <f t="shared" si="99"/>
        <v>0</v>
      </c>
    </row>
    <row r="2113" spans="50:52">
      <c r="AX2113" s="46">
        <f t="shared" si="97"/>
        <v>0</v>
      </c>
      <c r="AY2113" s="46">
        <f t="shared" si="98"/>
        <v>0</v>
      </c>
      <c r="AZ2113" s="46">
        <f t="shared" si="99"/>
        <v>0</v>
      </c>
    </row>
    <row r="2114" spans="50:52">
      <c r="AX2114" s="46">
        <f t="shared" si="97"/>
        <v>0</v>
      </c>
      <c r="AY2114" s="46">
        <f t="shared" si="98"/>
        <v>0</v>
      </c>
      <c r="AZ2114" s="46">
        <f t="shared" si="99"/>
        <v>0</v>
      </c>
    </row>
    <row r="2115" spans="50:52">
      <c r="AX2115" s="46">
        <f t="shared" si="97"/>
        <v>0</v>
      </c>
      <c r="AY2115" s="46">
        <f t="shared" si="98"/>
        <v>0</v>
      </c>
      <c r="AZ2115" s="46">
        <f t="shared" si="99"/>
        <v>0</v>
      </c>
    </row>
    <row r="2116" spans="50:52">
      <c r="AX2116" s="46">
        <f t="shared" si="97"/>
        <v>0</v>
      </c>
      <c r="AY2116" s="46">
        <f t="shared" si="98"/>
        <v>0</v>
      </c>
      <c r="AZ2116" s="46">
        <f t="shared" si="99"/>
        <v>0</v>
      </c>
    </row>
    <row r="2117" spans="50:52">
      <c r="AX2117" s="46">
        <f t="shared" si="97"/>
        <v>0</v>
      </c>
      <c r="AY2117" s="46">
        <f t="shared" si="98"/>
        <v>0</v>
      </c>
      <c r="AZ2117" s="46">
        <f t="shared" si="99"/>
        <v>0</v>
      </c>
    </row>
    <row r="2118" spans="50:52">
      <c r="AX2118" s="46">
        <f t="shared" si="97"/>
        <v>0</v>
      </c>
      <c r="AY2118" s="46">
        <f t="shared" si="98"/>
        <v>0</v>
      </c>
      <c r="AZ2118" s="46">
        <f t="shared" si="99"/>
        <v>0</v>
      </c>
    </row>
    <row r="2119" spans="50:52">
      <c r="AX2119" s="46">
        <f t="shared" si="97"/>
        <v>0</v>
      </c>
      <c r="AY2119" s="46">
        <f t="shared" si="98"/>
        <v>0</v>
      </c>
      <c r="AZ2119" s="46">
        <f t="shared" si="99"/>
        <v>0</v>
      </c>
    </row>
    <row r="2120" spans="50:52">
      <c r="AX2120" s="46">
        <f t="shared" si="97"/>
        <v>0</v>
      </c>
      <c r="AY2120" s="46">
        <f t="shared" si="98"/>
        <v>0</v>
      </c>
      <c r="AZ2120" s="46">
        <f t="shared" si="99"/>
        <v>0</v>
      </c>
    </row>
    <row r="2121" spans="50:52">
      <c r="AX2121" s="46">
        <f t="shared" si="97"/>
        <v>0</v>
      </c>
      <c r="AY2121" s="46">
        <f t="shared" si="98"/>
        <v>0</v>
      </c>
      <c r="AZ2121" s="46">
        <f t="shared" si="99"/>
        <v>0</v>
      </c>
    </row>
    <row r="2122" spans="50:52">
      <c r="AX2122" s="46">
        <f t="shared" si="97"/>
        <v>0</v>
      </c>
      <c r="AY2122" s="46">
        <f t="shared" si="98"/>
        <v>0</v>
      </c>
      <c r="AZ2122" s="46">
        <f t="shared" si="99"/>
        <v>0</v>
      </c>
    </row>
    <row r="2123" spans="50:52">
      <c r="AX2123" s="46">
        <f t="shared" ref="AX2123:AX2186" si="100">IFERROR(SUM(Q2123:AS2123)-SUM(AT2123:AU2123)+AV2123,"-")</f>
        <v>0</v>
      </c>
      <c r="AY2123" s="46">
        <f t="shared" ref="AY2123:AY2186" si="101">IFERROR(SUM(Q2123:AS2123)-SUM(AT2123:AT2123),"-")</f>
        <v>0</v>
      </c>
      <c r="AZ2123" s="46">
        <f t="shared" ref="AZ2123:AZ2186" si="102">SUM(Q2123:AS2123)</f>
        <v>0</v>
      </c>
    </row>
    <row r="2124" spans="50:52">
      <c r="AX2124" s="46">
        <f t="shared" si="100"/>
        <v>0</v>
      </c>
      <c r="AY2124" s="46">
        <f t="shared" si="101"/>
        <v>0</v>
      </c>
      <c r="AZ2124" s="46">
        <f t="shared" si="102"/>
        <v>0</v>
      </c>
    </row>
    <row r="2125" spans="50:52">
      <c r="AX2125" s="46">
        <f t="shared" si="100"/>
        <v>0</v>
      </c>
      <c r="AY2125" s="46">
        <f t="shared" si="101"/>
        <v>0</v>
      </c>
      <c r="AZ2125" s="46">
        <f t="shared" si="102"/>
        <v>0</v>
      </c>
    </row>
    <row r="2126" spans="50:52">
      <c r="AX2126" s="46">
        <f t="shared" si="100"/>
        <v>0</v>
      </c>
      <c r="AY2126" s="46">
        <f t="shared" si="101"/>
        <v>0</v>
      </c>
      <c r="AZ2126" s="46">
        <f t="shared" si="102"/>
        <v>0</v>
      </c>
    </row>
    <row r="2127" spans="50:52">
      <c r="AX2127" s="46">
        <f t="shared" si="100"/>
        <v>0</v>
      </c>
      <c r="AY2127" s="46">
        <f t="shared" si="101"/>
        <v>0</v>
      </c>
      <c r="AZ2127" s="46">
        <f t="shared" si="102"/>
        <v>0</v>
      </c>
    </row>
    <row r="2128" spans="50:52">
      <c r="AX2128" s="46">
        <f t="shared" si="100"/>
        <v>0</v>
      </c>
      <c r="AY2128" s="46">
        <f t="shared" si="101"/>
        <v>0</v>
      </c>
      <c r="AZ2128" s="46">
        <f t="shared" si="102"/>
        <v>0</v>
      </c>
    </row>
    <row r="2129" spans="50:52">
      <c r="AX2129" s="46">
        <f t="shared" si="100"/>
        <v>0</v>
      </c>
      <c r="AY2129" s="46">
        <f t="shared" si="101"/>
        <v>0</v>
      </c>
      <c r="AZ2129" s="46">
        <f t="shared" si="102"/>
        <v>0</v>
      </c>
    </row>
    <row r="2130" spans="50:52">
      <c r="AX2130" s="46">
        <f t="shared" si="100"/>
        <v>0</v>
      </c>
      <c r="AY2130" s="46">
        <f t="shared" si="101"/>
        <v>0</v>
      </c>
      <c r="AZ2130" s="46">
        <f t="shared" si="102"/>
        <v>0</v>
      </c>
    </row>
    <row r="2131" spans="50:52">
      <c r="AX2131" s="46">
        <f t="shared" si="100"/>
        <v>0</v>
      </c>
      <c r="AY2131" s="46">
        <f t="shared" si="101"/>
        <v>0</v>
      </c>
      <c r="AZ2131" s="46">
        <f t="shared" si="102"/>
        <v>0</v>
      </c>
    </row>
    <row r="2132" spans="50:52">
      <c r="AX2132" s="46">
        <f t="shared" si="100"/>
        <v>0</v>
      </c>
      <c r="AY2132" s="46">
        <f t="shared" si="101"/>
        <v>0</v>
      </c>
      <c r="AZ2132" s="46">
        <f t="shared" si="102"/>
        <v>0</v>
      </c>
    </row>
    <row r="2133" spans="50:52">
      <c r="AX2133" s="46">
        <f t="shared" si="100"/>
        <v>0</v>
      </c>
      <c r="AY2133" s="46">
        <f t="shared" si="101"/>
        <v>0</v>
      </c>
      <c r="AZ2133" s="46">
        <f t="shared" si="102"/>
        <v>0</v>
      </c>
    </row>
    <row r="2134" spans="50:52">
      <c r="AX2134" s="46">
        <f t="shared" si="100"/>
        <v>0</v>
      </c>
      <c r="AY2134" s="46">
        <f t="shared" si="101"/>
        <v>0</v>
      </c>
      <c r="AZ2134" s="46">
        <f t="shared" si="102"/>
        <v>0</v>
      </c>
    </row>
    <row r="2135" spans="50:52">
      <c r="AX2135" s="46">
        <f t="shared" si="100"/>
        <v>0</v>
      </c>
      <c r="AY2135" s="46">
        <f t="shared" si="101"/>
        <v>0</v>
      </c>
      <c r="AZ2135" s="46">
        <f t="shared" si="102"/>
        <v>0</v>
      </c>
    </row>
    <row r="2136" spans="50:52">
      <c r="AX2136" s="46">
        <f t="shared" si="100"/>
        <v>0</v>
      </c>
      <c r="AY2136" s="46">
        <f t="shared" si="101"/>
        <v>0</v>
      </c>
      <c r="AZ2136" s="46">
        <f t="shared" si="102"/>
        <v>0</v>
      </c>
    </row>
    <row r="2137" spans="50:52">
      <c r="AX2137" s="46">
        <f t="shared" si="100"/>
        <v>0</v>
      </c>
      <c r="AY2137" s="46">
        <f t="shared" si="101"/>
        <v>0</v>
      </c>
      <c r="AZ2137" s="46">
        <f t="shared" si="102"/>
        <v>0</v>
      </c>
    </row>
    <row r="2138" spans="50:52">
      <c r="AX2138" s="46">
        <f t="shared" si="100"/>
        <v>0</v>
      </c>
      <c r="AY2138" s="46">
        <f t="shared" si="101"/>
        <v>0</v>
      </c>
      <c r="AZ2138" s="46">
        <f t="shared" si="102"/>
        <v>0</v>
      </c>
    </row>
    <row r="2139" spans="50:52">
      <c r="AX2139" s="46">
        <f t="shared" si="100"/>
        <v>0</v>
      </c>
      <c r="AY2139" s="46">
        <f t="shared" si="101"/>
        <v>0</v>
      </c>
      <c r="AZ2139" s="46">
        <f t="shared" si="102"/>
        <v>0</v>
      </c>
    </row>
    <row r="2140" spans="50:52">
      <c r="AX2140" s="46">
        <f t="shared" si="100"/>
        <v>0</v>
      </c>
      <c r="AY2140" s="46">
        <f t="shared" si="101"/>
        <v>0</v>
      </c>
      <c r="AZ2140" s="46">
        <f t="shared" si="102"/>
        <v>0</v>
      </c>
    </row>
    <row r="2141" spans="50:52">
      <c r="AX2141" s="46">
        <f t="shared" si="100"/>
        <v>0</v>
      </c>
      <c r="AY2141" s="46">
        <f t="shared" si="101"/>
        <v>0</v>
      </c>
      <c r="AZ2141" s="46">
        <f t="shared" si="102"/>
        <v>0</v>
      </c>
    </row>
    <row r="2142" spans="50:52">
      <c r="AX2142" s="46">
        <f t="shared" si="100"/>
        <v>0</v>
      </c>
      <c r="AY2142" s="46">
        <f t="shared" si="101"/>
        <v>0</v>
      </c>
      <c r="AZ2142" s="46">
        <f t="shared" si="102"/>
        <v>0</v>
      </c>
    </row>
    <row r="2143" spans="50:52">
      <c r="AX2143" s="46">
        <f t="shared" si="100"/>
        <v>0</v>
      </c>
      <c r="AY2143" s="46">
        <f t="shared" si="101"/>
        <v>0</v>
      </c>
      <c r="AZ2143" s="46">
        <f t="shared" si="102"/>
        <v>0</v>
      </c>
    </row>
    <row r="2144" spans="50:52">
      <c r="AX2144" s="46">
        <f t="shared" si="100"/>
        <v>0</v>
      </c>
      <c r="AY2144" s="46">
        <f t="shared" si="101"/>
        <v>0</v>
      </c>
      <c r="AZ2144" s="46">
        <f t="shared" si="102"/>
        <v>0</v>
      </c>
    </row>
    <row r="2145" spans="50:52">
      <c r="AX2145" s="46">
        <f t="shared" si="100"/>
        <v>0</v>
      </c>
      <c r="AY2145" s="46">
        <f t="shared" si="101"/>
        <v>0</v>
      </c>
      <c r="AZ2145" s="46">
        <f t="shared" si="102"/>
        <v>0</v>
      </c>
    </row>
    <row r="2146" spans="50:52">
      <c r="AX2146" s="46">
        <f t="shared" si="100"/>
        <v>0</v>
      </c>
      <c r="AY2146" s="46">
        <f t="shared" si="101"/>
        <v>0</v>
      </c>
      <c r="AZ2146" s="46">
        <f t="shared" si="102"/>
        <v>0</v>
      </c>
    </row>
    <row r="2147" spans="50:52">
      <c r="AX2147" s="46">
        <f t="shared" si="100"/>
        <v>0</v>
      </c>
      <c r="AY2147" s="46">
        <f t="shared" si="101"/>
        <v>0</v>
      </c>
      <c r="AZ2147" s="46">
        <f t="shared" si="102"/>
        <v>0</v>
      </c>
    </row>
    <row r="2148" spans="50:52">
      <c r="AX2148" s="46">
        <f t="shared" si="100"/>
        <v>0</v>
      </c>
      <c r="AY2148" s="46">
        <f t="shared" si="101"/>
        <v>0</v>
      </c>
      <c r="AZ2148" s="46">
        <f t="shared" si="102"/>
        <v>0</v>
      </c>
    </row>
    <row r="2149" spans="50:52">
      <c r="AX2149" s="46">
        <f t="shared" si="100"/>
        <v>0</v>
      </c>
      <c r="AY2149" s="46">
        <f t="shared" si="101"/>
        <v>0</v>
      </c>
      <c r="AZ2149" s="46">
        <f t="shared" si="102"/>
        <v>0</v>
      </c>
    </row>
    <row r="2150" spans="50:52">
      <c r="AX2150" s="46">
        <f t="shared" si="100"/>
        <v>0</v>
      </c>
      <c r="AY2150" s="46">
        <f t="shared" si="101"/>
        <v>0</v>
      </c>
      <c r="AZ2150" s="46">
        <f t="shared" si="102"/>
        <v>0</v>
      </c>
    </row>
    <row r="2151" spans="50:52">
      <c r="AX2151" s="46">
        <f t="shared" si="100"/>
        <v>0</v>
      </c>
      <c r="AY2151" s="46">
        <f t="shared" si="101"/>
        <v>0</v>
      </c>
      <c r="AZ2151" s="46">
        <f t="shared" si="102"/>
        <v>0</v>
      </c>
    </row>
    <row r="2152" spans="50:52">
      <c r="AX2152" s="46">
        <f t="shared" si="100"/>
        <v>0</v>
      </c>
      <c r="AY2152" s="46">
        <f t="shared" si="101"/>
        <v>0</v>
      </c>
      <c r="AZ2152" s="46">
        <f t="shared" si="102"/>
        <v>0</v>
      </c>
    </row>
    <row r="2153" spans="50:52">
      <c r="AX2153" s="46">
        <f t="shared" si="100"/>
        <v>0</v>
      </c>
      <c r="AY2153" s="46">
        <f t="shared" si="101"/>
        <v>0</v>
      </c>
      <c r="AZ2153" s="46">
        <f t="shared" si="102"/>
        <v>0</v>
      </c>
    </row>
    <row r="2154" spans="50:52">
      <c r="AX2154" s="46">
        <f t="shared" si="100"/>
        <v>0</v>
      </c>
      <c r="AY2154" s="46">
        <f t="shared" si="101"/>
        <v>0</v>
      </c>
      <c r="AZ2154" s="46">
        <f t="shared" si="102"/>
        <v>0</v>
      </c>
    </row>
    <row r="2155" spans="50:52">
      <c r="AX2155" s="46">
        <f t="shared" si="100"/>
        <v>0</v>
      </c>
      <c r="AY2155" s="46">
        <f t="shared" si="101"/>
        <v>0</v>
      </c>
      <c r="AZ2155" s="46">
        <f t="shared" si="102"/>
        <v>0</v>
      </c>
    </row>
    <row r="2156" spans="50:52">
      <c r="AX2156" s="46">
        <f t="shared" si="100"/>
        <v>0</v>
      </c>
      <c r="AY2156" s="46">
        <f t="shared" si="101"/>
        <v>0</v>
      </c>
      <c r="AZ2156" s="46">
        <f t="shared" si="102"/>
        <v>0</v>
      </c>
    </row>
    <row r="2157" spans="50:52">
      <c r="AX2157" s="46">
        <f t="shared" si="100"/>
        <v>0</v>
      </c>
      <c r="AY2157" s="46">
        <f t="shared" si="101"/>
        <v>0</v>
      </c>
      <c r="AZ2157" s="46">
        <f t="shared" si="102"/>
        <v>0</v>
      </c>
    </row>
    <row r="2158" spans="50:52">
      <c r="AX2158" s="46">
        <f t="shared" si="100"/>
        <v>0</v>
      </c>
      <c r="AY2158" s="46">
        <f t="shared" si="101"/>
        <v>0</v>
      </c>
      <c r="AZ2158" s="46">
        <f t="shared" si="102"/>
        <v>0</v>
      </c>
    </row>
    <row r="2159" spans="50:52">
      <c r="AX2159" s="46">
        <f t="shared" si="100"/>
        <v>0</v>
      </c>
      <c r="AY2159" s="46">
        <f t="shared" si="101"/>
        <v>0</v>
      </c>
      <c r="AZ2159" s="46">
        <f t="shared" si="102"/>
        <v>0</v>
      </c>
    </row>
    <row r="2160" spans="50:52">
      <c r="AX2160" s="46">
        <f t="shared" si="100"/>
        <v>0</v>
      </c>
      <c r="AY2160" s="46">
        <f t="shared" si="101"/>
        <v>0</v>
      </c>
      <c r="AZ2160" s="46">
        <f t="shared" si="102"/>
        <v>0</v>
      </c>
    </row>
    <row r="2161" spans="50:52">
      <c r="AX2161" s="46">
        <f t="shared" si="100"/>
        <v>0</v>
      </c>
      <c r="AY2161" s="46">
        <f t="shared" si="101"/>
        <v>0</v>
      </c>
      <c r="AZ2161" s="46">
        <f t="shared" si="102"/>
        <v>0</v>
      </c>
    </row>
    <row r="2162" spans="50:52">
      <c r="AX2162" s="46">
        <f t="shared" si="100"/>
        <v>0</v>
      </c>
      <c r="AY2162" s="46">
        <f t="shared" si="101"/>
        <v>0</v>
      </c>
      <c r="AZ2162" s="46">
        <f t="shared" si="102"/>
        <v>0</v>
      </c>
    </row>
    <row r="2163" spans="50:52">
      <c r="AX2163" s="46">
        <f t="shared" si="100"/>
        <v>0</v>
      </c>
      <c r="AY2163" s="46">
        <f t="shared" si="101"/>
        <v>0</v>
      </c>
      <c r="AZ2163" s="46">
        <f t="shared" si="102"/>
        <v>0</v>
      </c>
    </row>
    <row r="2164" spans="50:52">
      <c r="AX2164" s="46">
        <f t="shared" si="100"/>
        <v>0</v>
      </c>
      <c r="AY2164" s="46">
        <f t="shared" si="101"/>
        <v>0</v>
      </c>
      <c r="AZ2164" s="46">
        <f t="shared" si="102"/>
        <v>0</v>
      </c>
    </row>
    <row r="2165" spans="50:52">
      <c r="AX2165" s="46">
        <f t="shared" si="100"/>
        <v>0</v>
      </c>
      <c r="AY2165" s="46">
        <f t="shared" si="101"/>
        <v>0</v>
      </c>
      <c r="AZ2165" s="46">
        <f t="shared" si="102"/>
        <v>0</v>
      </c>
    </row>
    <row r="2166" spans="50:52">
      <c r="AX2166" s="46">
        <f t="shared" si="100"/>
        <v>0</v>
      </c>
      <c r="AY2166" s="46">
        <f t="shared" si="101"/>
        <v>0</v>
      </c>
      <c r="AZ2166" s="46">
        <f t="shared" si="102"/>
        <v>0</v>
      </c>
    </row>
    <row r="2167" spans="50:52">
      <c r="AX2167" s="46">
        <f t="shared" si="100"/>
        <v>0</v>
      </c>
      <c r="AY2167" s="46">
        <f t="shared" si="101"/>
        <v>0</v>
      </c>
      <c r="AZ2167" s="46">
        <f t="shared" si="102"/>
        <v>0</v>
      </c>
    </row>
    <row r="2168" spans="50:52">
      <c r="AX2168" s="46">
        <f t="shared" si="100"/>
        <v>0</v>
      </c>
      <c r="AY2168" s="46">
        <f t="shared" si="101"/>
        <v>0</v>
      </c>
      <c r="AZ2168" s="46">
        <f t="shared" si="102"/>
        <v>0</v>
      </c>
    </row>
    <row r="2169" spans="50:52">
      <c r="AX2169" s="46">
        <f t="shared" si="100"/>
        <v>0</v>
      </c>
      <c r="AY2169" s="46">
        <f t="shared" si="101"/>
        <v>0</v>
      </c>
      <c r="AZ2169" s="46">
        <f t="shared" si="102"/>
        <v>0</v>
      </c>
    </row>
    <row r="2170" spans="50:52">
      <c r="AX2170" s="46">
        <f t="shared" si="100"/>
        <v>0</v>
      </c>
      <c r="AY2170" s="46">
        <f t="shared" si="101"/>
        <v>0</v>
      </c>
      <c r="AZ2170" s="46">
        <f t="shared" si="102"/>
        <v>0</v>
      </c>
    </row>
    <row r="2171" spans="50:52">
      <c r="AX2171" s="46">
        <f t="shared" si="100"/>
        <v>0</v>
      </c>
      <c r="AY2171" s="46">
        <f t="shared" si="101"/>
        <v>0</v>
      </c>
      <c r="AZ2171" s="46">
        <f t="shared" si="102"/>
        <v>0</v>
      </c>
    </row>
    <row r="2172" spans="50:52">
      <c r="AX2172" s="46">
        <f t="shared" si="100"/>
        <v>0</v>
      </c>
      <c r="AY2172" s="46">
        <f t="shared" si="101"/>
        <v>0</v>
      </c>
      <c r="AZ2172" s="46">
        <f t="shared" si="102"/>
        <v>0</v>
      </c>
    </row>
    <row r="2173" spans="50:52">
      <c r="AX2173" s="46">
        <f t="shared" si="100"/>
        <v>0</v>
      </c>
      <c r="AY2173" s="46">
        <f t="shared" si="101"/>
        <v>0</v>
      </c>
      <c r="AZ2173" s="46">
        <f t="shared" si="102"/>
        <v>0</v>
      </c>
    </row>
    <row r="2174" spans="50:52">
      <c r="AX2174" s="46">
        <f t="shared" si="100"/>
        <v>0</v>
      </c>
      <c r="AY2174" s="46">
        <f t="shared" si="101"/>
        <v>0</v>
      </c>
      <c r="AZ2174" s="46">
        <f t="shared" si="102"/>
        <v>0</v>
      </c>
    </row>
    <row r="2175" spans="50:52">
      <c r="AX2175" s="46">
        <f t="shared" si="100"/>
        <v>0</v>
      </c>
      <c r="AY2175" s="46">
        <f t="shared" si="101"/>
        <v>0</v>
      </c>
      <c r="AZ2175" s="46">
        <f t="shared" si="102"/>
        <v>0</v>
      </c>
    </row>
    <row r="2176" spans="50:52">
      <c r="AX2176" s="46">
        <f t="shared" si="100"/>
        <v>0</v>
      </c>
      <c r="AY2176" s="46">
        <f t="shared" si="101"/>
        <v>0</v>
      </c>
      <c r="AZ2176" s="46">
        <f t="shared" si="102"/>
        <v>0</v>
      </c>
    </row>
    <row r="2177" spans="50:52">
      <c r="AX2177" s="46">
        <f t="shared" si="100"/>
        <v>0</v>
      </c>
      <c r="AY2177" s="46">
        <f t="shared" si="101"/>
        <v>0</v>
      </c>
      <c r="AZ2177" s="46">
        <f t="shared" si="102"/>
        <v>0</v>
      </c>
    </row>
    <row r="2178" spans="50:52">
      <c r="AX2178" s="46">
        <f t="shared" si="100"/>
        <v>0</v>
      </c>
      <c r="AY2178" s="46">
        <f t="shared" si="101"/>
        <v>0</v>
      </c>
      <c r="AZ2178" s="46">
        <f t="shared" si="102"/>
        <v>0</v>
      </c>
    </row>
    <row r="2179" spans="50:52">
      <c r="AX2179" s="46">
        <f t="shared" si="100"/>
        <v>0</v>
      </c>
      <c r="AY2179" s="46">
        <f t="shared" si="101"/>
        <v>0</v>
      </c>
      <c r="AZ2179" s="46">
        <f t="shared" si="102"/>
        <v>0</v>
      </c>
    </row>
    <row r="2180" spans="50:52">
      <c r="AX2180" s="46">
        <f t="shared" si="100"/>
        <v>0</v>
      </c>
      <c r="AY2180" s="46">
        <f t="shared" si="101"/>
        <v>0</v>
      </c>
      <c r="AZ2180" s="46">
        <f t="shared" si="102"/>
        <v>0</v>
      </c>
    </row>
    <row r="2181" spans="50:52">
      <c r="AX2181" s="46">
        <f t="shared" si="100"/>
        <v>0</v>
      </c>
      <c r="AY2181" s="46">
        <f t="shared" si="101"/>
        <v>0</v>
      </c>
      <c r="AZ2181" s="46">
        <f t="shared" si="102"/>
        <v>0</v>
      </c>
    </row>
    <row r="2182" spans="50:52">
      <c r="AX2182" s="46">
        <f t="shared" si="100"/>
        <v>0</v>
      </c>
      <c r="AY2182" s="46">
        <f t="shared" si="101"/>
        <v>0</v>
      </c>
      <c r="AZ2182" s="46">
        <f t="shared" si="102"/>
        <v>0</v>
      </c>
    </row>
    <row r="2183" spans="50:52">
      <c r="AX2183" s="46">
        <f t="shared" si="100"/>
        <v>0</v>
      </c>
      <c r="AY2183" s="46">
        <f t="shared" si="101"/>
        <v>0</v>
      </c>
      <c r="AZ2183" s="46">
        <f t="shared" si="102"/>
        <v>0</v>
      </c>
    </row>
    <row r="2184" spans="50:52">
      <c r="AX2184" s="46">
        <f t="shared" si="100"/>
        <v>0</v>
      </c>
      <c r="AY2184" s="46">
        <f t="shared" si="101"/>
        <v>0</v>
      </c>
      <c r="AZ2184" s="46">
        <f t="shared" si="102"/>
        <v>0</v>
      </c>
    </row>
    <row r="2185" spans="50:52">
      <c r="AX2185" s="46">
        <f t="shared" si="100"/>
        <v>0</v>
      </c>
      <c r="AY2185" s="46">
        <f t="shared" si="101"/>
        <v>0</v>
      </c>
      <c r="AZ2185" s="46">
        <f t="shared" si="102"/>
        <v>0</v>
      </c>
    </row>
    <row r="2186" spans="50:52">
      <c r="AX2186" s="46">
        <f t="shared" si="100"/>
        <v>0</v>
      </c>
      <c r="AY2186" s="46">
        <f t="shared" si="101"/>
        <v>0</v>
      </c>
      <c r="AZ2186" s="46">
        <f t="shared" si="102"/>
        <v>0</v>
      </c>
    </row>
    <row r="2187" spans="50:52">
      <c r="AX2187" s="46">
        <f t="shared" ref="AX2187:AX2250" si="103">IFERROR(SUM(Q2187:AS2187)-SUM(AT2187:AU2187)+AV2187,"-")</f>
        <v>0</v>
      </c>
      <c r="AY2187" s="46">
        <f t="shared" ref="AY2187:AY2250" si="104">IFERROR(SUM(Q2187:AS2187)-SUM(AT2187:AT2187),"-")</f>
        <v>0</v>
      </c>
      <c r="AZ2187" s="46">
        <f t="shared" ref="AZ2187:AZ2250" si="105">SUM(Q2187:AS2187)</f>
        <v>0</v>
      </c>
    </row>
    <row r="2188" spans="50:52">
      <c r="AX2188" s="46">
        <f t="shared" si="103"/>
        <v>0</v>
      </c>
      <c r="AY2188" s="46">
        <f t="shared" si="104"/>
        <v>0</v>
      </c>
      <c r="AZ2188" s="46">
        <f t="shared" si="105"/>
        <v>0</v>
      </c>
    </row>
    <row r="2189" spans="50:52">
      <c r="AX2189" s="46">
        <f t="shared" si="103"/>
        <v>0</v>
      </c>
      <c r="AY2189" s="46">
        <f t="shared" si="104"/>
        <v>0</v>
      </c>
      <c r="AZ2189" s="46">
        <f t="shared" si="105"/>
        <v>0</v>
      </c>
    </row>
    <row r="2190" spans="50:52">
      <c r="AX2190" s="46">
        <f t="shared" si="103"/>
        <v>0</v>
      </c>
      <c r="AY2190" s="46">
        <f t="shared" si="104"/>
        <v>0</v>
      </c>
      <c r="AZ2190" s="46">
        <f t="shared" si="105"/>
        <v>0</v>
      </c>
    </row>
    <row r="2191" spans="50:52">
      <c r="AX2191" s="46">
        <f t="shared" si="103"/>
        <v>0</v>
      </c>
      <c r="AY2191" s="46">
        <f t="shared" si="104"/>
        <v>0</v>
      </c>
      <c r="AZ2191" s="46">
        <f t="shared" si="105"/>
        <v>0</v>
      </c>
    </row>
    <row r="2192" spans="50:52">
      <c r="AX2192" s="46">
        <f t="shared" si="103"/>
        <v>0</v>
      </c>
      <c r="AY2192" s="46">
        <f t="shared" si="104"/>
        <v>0</v>
      </c>
      <c r="AZ2192" s="46">
        <f t="shared" si="105"/>
        <v>0</v>
      </c>
    </row>
    <row r="2193" spans="50:52">
      <c r="AX2193" s="46">
        <f t="shared" si="103"/>
        <v>0</v>
      </c>
      <c r="AY2193" s="46">
        <f t="shared" si="104"/>
        <v>0</v>
      </c>
      <c r="AZ2193" s="46">
        <f t="shared" si="105"/>
        <v>0</v>
      </c>
    </row>
    <row r="2194" spans="50:52">
      <c r="AX2194" s="46">
        <f t="shared" si="103"/>
        <v>0</v>
      </c>
      <c r="AY2194" s="46">
        <f t="shared" si="104"/>
        <v>0</v>
      </c>
      <c r="AZ2194" s="46">
        <f t="shared" si="105"/>
        <v>0</v>
      </c>
    </row>
    <row r="2195" spans="50:52">
      <c r="AX2195" s="46">
        <f t="shared" si="103"/>
        <v>0</v>
      </c>
      <c r="AY2195" s="46">
        <f t="shared" si="104"/>
        <v>0</v>
      </c>
      <c r="AZ2195" s="46">
        <f t="shared" si="105"/>
        <v>0</v>
      </c>
    </row>
    <row r="2196" spans="50:52">
      <c r="AX2196" s="46">
        <f t="shared" si="103"/>
        <v>0</v>
      </c>
      <c r="AY2196" s="46">
        <f t="shared" si="104"/>
        <v>0</v>
      </c>
      <c r="AZ2196" s="46">
        <f t="shared" si="105"/>
        <v>0</v>
      </c>
    </row>
    <row r="2197" spans="50:52">
      <c r="AX2197" s="46">
        <f t="shared" si="103"/>
        <v>0</v>
      </c>
      <c r="AY2197" s="46">
        <f t="shared" si="104"/>
        <v>0</v>
      </c>
      <c r="AZ2197" s="46">
        <f t="shared" si="105"/>
        <v>0</v>
      </c>
    </row>
    <row r="2198" spans="50:52">
      <c r="AX2198" s="46">
        <f t="shared" si="103"/>
        <v>0</v>
      </c>
      <c r="AY2198" s="46">
        <f t="shared" si="104"/>
        <v>0</v>
      </c>
      <c r="AZ2198" s="46">
        <f t="shared" si="105"/>
        <v>0</v>
      </c>
    </row>
    <row r="2199" spans="50:52">
      <c r="AX2199" s="46">
        <f t="shared" si="103"/>
        <v>0</v>
      </c>
      <c r="AY2199" s="46">
        <f t="shared" si="104"/>
        <v>0</v>
      </c>
      <c r="AZ2199" s="46">
        <f t="shared" si="105"/>
        <v>0</v>
      </c>
    </row>
    <row r="2200" spans="50:52">
      <c r="AX2200" s="46">
        <f t="shared" si="103"/>
        <v>0</v>
      </c>
      <c r="AY2200" s="46">
        <f t="shared" si="104"/>
        <v>0</v>
      </c>
      <c r="AZ2200" s="46">
        <f t="shared" si="105"/>
        <v>0</v>
      </c>
    </row>
    <row r="2201" spans="50:52">
      <c r="AX2201" s="46">
        <f t="shared" si="103"/>
        <v>0</v>
      </c>
      <c r="AY2201" s="46">
        <f t="shared" si="104"/>
        <v>0</v>
      </c>
      <c r="AZ2201" s="46">
        <f t="shared" si="105"/>
        <v>0</v>
      </c>
    </row>
    <row r="2202" spans="50:52">
      <c r="AX2202" s="46">
        <f t="shared" si="103"/>
        <v>0</v>
      </c>
      <c r="AY2202" s="46">
        <f t="shared" si="104"/>
        <v>0</v>
      </c>
      <c r="AZ2202" s="46">
        <f t="shared" si="105"/>
        <v>0</v>
      </c>
    </row>
    <row r="2203" spans="50:52">
      <c r="AX2203" s="46">
        <f t="shared" si="103"/>
        <v>0</v>
      </c>
      <c r="AY2203" s="46">
        <f t="shared" si="104"/>
        <v>0</v>
      </c>
      <c r="AZ2203" s="46">
        <f t="shared" si="105"/>
        <v>0</v>
      </c>
    </row>
    <row r="2204" spans="50:52">
      <c r="AX2204" s="46">
        <f t="shared" si="103"/>
        <v>0</v>
      </c>
      <c r="AY2204" s="46">
        <f t="shared" si="104"/>
        <v>0</v>
      </c>
      <c r="AZ2204" s="46">
        <f t="shared" si="105"/>
        <v>0</v>
      </c>
    </row>
    <row r="2205" spans="50:52">
      <c r="AX2205" s="46">
        <f t="shared" si="103"/>
        <v>0</v>
      </c>
      <c r="AY2205" s="46">
        <f t="shared" si="104"/>
        <v>0</v>
      </c>
      <c r="AZ2205" s="46">
        <f t="shared" si="105"/>
        <v>0</v>
      </c>
    </row>
    <row r="2206" spans="50:52">
      <c r="AX2206" s="46">
        <f t="shared" si="103"/>
        <v>0</v>
      </c>
      <c r="AY2206" s="46">
        <f t="shared" si="104"/>
        <v>0</v>
      </c>
      <c r="AZ2206" s="46">
        <f t="shared" si="105"/>
        <v>0</v>
      </c>
    </row>
    <row r="2207" spans="50:52">
      <c r="AX2207" s="46">
        <f t="shared" si="103"/>
        <v>0</v>
      </c>
      <c r="AY2207" s="46">
        <f t="shared" si="104"/>
        <v>0</v>
      </c>
      <c r="AZ2207" s="46">
        <f t="shared" si="105"/>
        <v>0</v>
      </c>
    </row>
    <row r="2208" spans="50:52">
      <c r="AX2208" s="46">
        <f t="shared" si="103"/>
        <v>0</v>
      </c>
      <c r="AY2208" s="46">
        <f t="shared" si="104"/>
        <v>0</v>
      </c>
      <c r="AZ2208" s="46">
        <f t="shared" si="105"/>
        <v>0</v>
      </c>
    </row>
    <row r="2209" spans="50:52">
      <c r="AX2209" s="46">
        <f t="shared" si="103"/>
        <v>0</v>
      </c>
      <c r="AY2209" s="46">
        <f t="shared" si="104"/>
        <v>0</v>
      </c>
      <c r="AZ2209" s="46">
        <f t="shared" si="105"/>
        <v>0</v>
      </c>
    </row>
    <row r="2210" spans="50:52">
      <c r="AX2210" s="46">
        <f t="shared" si="103"/>
        <v>0</v>
      </c>
      <c r="AY2210" s="46">
        <f t="shared" si="104"/>
        <v>0</v>
      </c>
      <c r="AZ2210" s="46">
        <f t="shared" si="105"/>
        <v>0</v>
      </c>
    </row>
    <row r="2211" spans="50:52">
      <c r="AX2211" s="46">
        <f t="shared" si="103"/>
        <v>0</v>
      </c>
      <c r="AY2211" s="46">
        <f t="shared" si="104"/>
        <v>0</v>
      </c>
      <c r="AZ2211" s="46">
        <f t="shared" si="105"/>
        <v>0</v>
      </c>
    </row>
    <row r="2212" spans="50:52">
      <c r="AX2212" s="46">
        <f t="shared" si="103"/>
        <v>0</v>
      </c>
      <c r="AY2212" s="46">
        <f t="shared" si="104"/>
        <v>0</v>
      </c>
      <c r="AZ2212" s="46">
        <f t="shared" si="105"/>
        <v>0</v>
      </c>
    </row>
    <row r="2213" spans="50:52">
      <c r="AX2213" s="46">
        <f t="shared" si="103"/>
        <v>0</v>
      </c>
      <c r="AY2213" s="46">
        <f t="shared" si="104"/>
        <v>0</v>
      </c>
      <c r="AZ2213" s="46">
        <f t="shared" si="105"/>
        <v>0</v>
      </c>
    </row>
    <row r="2214" spans="50:52">
      <c r="AX2214" s="46">
        <f t="shared" si="103"/>
        <v>0</v>
      </c>
      <c r="AY2214" s="46">
        <f t="shared" si="104"/>
        <v>0</v>
      </c>
      <c r="AZ2214" s="46">
        <f t="shared" si="105"/>
        <v>0</v>
      </c>
    </row>
    <row r="2215" spans="50:52">
      <c r="AX2215" s="46">
        <f t="shared" si="103"/>
        <v>0</v>
      </c>
      <c r="AY2215" s="46">
        <f t="shared" si="104"/>
        <v>0</v>
      </c>
      <c r="AZ2215" s="46">
        <f t="shared" si="105"/>
        <v>0</v>
      </c>
    </row>
    <row r="2216" spans="50:52">
      <c r="AX2216" s="46">
        <f t="shared" si="103"/>
        <v>0</v>
      </c>
      <c r="AY2216" s="46">
        <f t="shared" si="104"/>
        <v>0</v>
      </c>
      <c r="AZ2216" s="46">
        <f t="shared" si="105"/>
        <v>0</v>
      </c>
    </row>
    <row r="2217" spans="50:52">
      <c r="AX2217" s="46">
        <f t="shared" si="103"/>
        <v>0</v>
      </c>
      <c r="AY2217" s="46">
        <f t="shared" si="104"/>
        <v>0</v>
      </c>
      <c r="AZ2217" s="46">
        <f t="shared" si="105"/>
        <v>0</v>
      </c>
    </row>
    <row r="2218" spans="50:52">
      <c r="AX2218" s="46">
        <f t="shared" si="103"/>
        <v>0</v>
      </c>
      <c r="AY2218" s="46">
        <f t="shared" si="104"/>
        <v>0</v>
      </c>
      <c r="AZ2218" s="46">
        <f t="shared" si="105"/>
        <v>0</v>
      </c>
    </row>
    <row r="2219" spans="50:52">
      <c r="AX2219" s="46">
        <f t="shared" si="103"/>
        <v>0</v>
      </c>
      <c r="AY2219" s="46">
        <f t="shared" si="104"/>
        <v>0</v>
      </c>
      <c r="AZ2219" s="46">
        <f t="shared" si="105"/>
        <v>0</v>
      </c>
    </row>
    <row r="2220" spans="50:52">
      <c r="AX2220" s="46">
        <f t="shared" si="103"/>
        <v>0</v>
      </c>
      <c r="AY2220" s="46">
        <f t="shared" si="104"/>
        <v>0</v>
      </c>
      <c r="AZ2220" s="46">
        <f t="shared" si="105"/>
        <v>0</v>
      </c>
    </row>
    <row r="2221" spans="50:52">
      <c r="AX2221" s="46">
        <f t="shared" si="103"/>
        <v>0</v>
      </c>
      <c r="AY2221" s="46">
        <f t="shared" si="104"/>
        <v>0</v>
      </c>
      <c r="AZ2221" s="46">
        <f t="shared" si="105"/>
        <v>0</v>
      </c>
    </row>
    <row r="2222" spans="50:52">
      <c r="AX2222" s="46">
        <f t="shared" si="103"/>
        <v>0</v>
      </c>
      <c r="AY2222" s="46">
        <f t="shared" si="104"/>
        <v>0</v>
      </c>
      <c r="AZ2222" s="46">
        <f t="shared" si="105"/>
        <v>0</v>
      </c>
    </row>
    <row r="2223" spans="50:52">
      <c r="AX2223" s="46">
        <f t="shared" si="103"/>
        <v>0</v>
      </c>
      <c r="AY2223" s="46">
        <f t="shared" si="104"/>
        <v>0</v>
      </c>
      <c r="AZ2223" s="46">
        <f t="shared" si="105"/>
        <v>0</v>
      </c>
    </row>
    <row r="2224" spans="50:52">
      <c r="AX2224" s="46">
        <f t="shared" si="103"/>
        <v>0</v>
      </c>
      <c r="AY2224" s="46">
        <f t="shared" si="104"/>
        <v>0</v>
      </c>
      <c r="AZ2224" s="46">
        <f t="shared" si="105"/>
        <v>0</v>
      </c>
    </row>
    <row r="2225" spans="50:52">
      <c r="AX2225" s="46">
        <f t="shared" si="103"/>
        <v>0</v>
      </c>
      <c r="AY2225" s="46">
        <f t="shared" si="104"/>
        <v>0</v>
      </c>
      <c r="AZ2225" s="46">
        <f t="shared" si="105"/>
        <v>0</v>
      </c>
    </row>
    <row r="2226" spans="50:52">
      <c r="AX2226" s="46">
        <f t="shared" si="103"/>
        <v>0</v>
      </c>
      <c r="AY2226" s="46">
        <f t="shared" si="104"/>
        <v>0</v>
      </c>
      <c r="AZ2226" s="46">
        <f t="shared" si="105"/>
        <v>0</v>
      </c>
    </row>
    <row r="2227" spans="50:52">
      <c r="AX2227" s="46">
        <f t="shared" si="103"/>
        <v>0</v>
      </c>
      <c r="AY2227" s="46">
        <f t="shared" si="104"/>
        <v>0</v>
      </c>
      <c r="AZ2227" s="46">
        <f t="shared" si="105"/>
        <v>0</v>
      </c>
    </row>
    <row r="2228" spans="50:52">
      <c r="AX2228" s="46">
        <f t="shared" si="103"/>
        <v>0</v>
      </c>
      <c r="AY2228" s="46">
        <f t="shared" si="104"/>
        <v>0</v>
      </c>
      <c r="AZ2228" s="46">
        <f t="shared" si="105"/>
        <v>0</v>
      </c>
    </row>
    <row r="2229" spans="50:52">
      <c r="AX2229" s="46">
        <f t="shared" si="103"/>
        <v>0</v>
      </c>
      <c r="AY2229" s="46">
        <f t="shared" si="104"/>
        <v>0</v>
      </c>
      <c r="AZ2229" s="46">
        <f t="shared" si="105"/>
        <v>0</v>
      </c>
    </row>
    <row r="2230" spans="50:52">
      <c r="AX2230" s="46">
        <f t="shared" si="103"/>
        <v>0</v>
      </c>
      <c r="AY2230" s="46">
        <f t="shared" si="104"/>
        <v>0</v>
      </c>
      <c r="AZ2230" s="46">
        <f t="shared" si="105"/>
        <v>0</v>
      </c>
    </row>
    <row r="2231" spans="50:52">
      <c r="AX2231" s="46">
        <f t="shared" si="103"/>
        <v>0</v>
      </c>
      <c r="AY2231" s="46">
        <f t="shared" si="104"/>
        <v>0</v>
      </c>
      <c r="AZ2231" s="46">
        <f t="shared" si="105"/>
        <v>0</v>
      </c>
    </row>
    <row r="2232" spans="50:52">
      <c r="AX2232" s="46">
        <f t="shared" si="103"/>
        <v>0</v>
      </c>
      <c r="AY2232" s="46">
        <f t="shared" si="104"/>
        <v>0</v>
      </c>
      <c r="AZ2232" s="46">
        <f t="shared" si="105"/>
        <v>0</v>
      </c>
    </row>
    <row r="2233" spans="50:52">
      <c r="AX2233" s="46">
        <f t="shared" si="103"/>
        <v>0</v>
      </c>
      <c r="AY2233" s="46">
        <f t="shared" si="104"/>
        <v>0</v>
      </c>
      <c r="AZ2233" s="46">
        <f t="shared" si="105"/>
        <v>0</v>
      </c>
    </row>
    <row r="2234" spans="50:52">
      <c r="AX2234" s="46">
        <f t="shared" si="103"/>
        <v>0</v>
      </c>
      <c r="AY2234" s="46">
        <f t="shared" si="104"/>
        <v>0</v>
      </c>
      <c r="AZ2234" s="46">
        <f t="shared" si="105"/>
        <v>0</v>
      </c>
    </row>
    <row r="2235" spans="50:52">
      <c r="AX2235" s="46">
        <f t="shared" si="103"/>
        <v>0</v>
      </c>
      <c r="AY2235" s="46">
        <f t="shared" si="104"/>
        <v>0</v>
      </c>
      <c r="AZ2235" s="46">
        <f t="shared" si="105"/>
        <v>0</v>
      </c>
    </row>
    <row r="2236" spans="50:52">
      <c r="AX2236" s="46">
        <f t="shared" si="103"/>
        <v>0</v>
      </c>
      <c r="AY2236" s="46">
        <f t="shared" si="104"/>
        <v>0</v>
      </c>
      <c r="AZ2236" s="46">
        <f t="shared" si="105"/>
        <v>0</v>
      </c>
    </row>
    <row r="2237" spans="50:52">
      <c r="AX2237" s="46">
        <f t="shared" si="103"/>
        <v>0</v>
      </c>
      <c r="AY2237" s="46">
        <f t="shared" si="104"/>
        <v>0</v>
      </c>
      <c r="AZ2237" s="46">
        <f t="shared" si="105"/>
        <v>0</v>
      </c>
    </row>
    <row r="2238" spans="50:52">
      <c r="AX2238" s="46">
        <f t="shared" si="103"/>
        <v>0</v>
      </c>
      <c r="AY2238" s="46">
        <f t="shared" si="104"/>
        <v>0</v>
      </c>
      <c r="AZ2238" s="46">
        <f t="shared" si="105"/>
        <v>0</v>
      </c>
    </row>
    <row r="2239" spans="50:52">
      <c r="AX2239" s="46">
        <f t="shared" si="103"/>
        <v>0</v>
      </c>
      <c r="AY2239" s="46">
        <f t="shared" si="104"/>
        <v>0</v>
      </c>
      <c r="AZ2239" s="46">
        <f t="shared" si="105"/>
        <v>0</v>
      </c>
    </row>
    <row r="2240" spans="50:52">
      <c r="AX2240" s="46">
        <f t="shared" si="103"/>
        <v>0</v>
      </c>
      <c r="AY2240" s="46">
        <f t="shared" si="104"/>
        <v>0</v>
      </c>
      <c r="AZ2240" s="46">
        <f t="shared" si="105"/>
        <v>0</v>
      </c>
    </row>
    <row r="2241" spans="50:52">
      <c r="AX2241" s="46">
        <f t="shared" si="103"/>
        <v>0</v>
      </c>
      <c r="AY2241" s="46">
        <f t="shared" si="104"/>
        <v>0</v>
      </c>
      <c r="AZ2241" s="46">
        <f t="shared" si="105"/>
        <v>0</v>
      </c>
    </row>
    <row r="2242" spans="50:52">
      <c r="AX2242" s="46">
        <f t="shared" si="103"/>
        <v>0</v>
      </c>
      <c r="AY2242" s="46">
        <f t="shared" si="104"/>
        <v>0</v>
      </c>
      <c r="AZ2242" s="46">
        <f t="shared" si="105"/>
        <v>0</v>
      </c>
    </row>
    <row r="2243" spans="50:52">
      <c r="AX2243" s="46">
        <f t="shared" si="103"/>
        <v>0</v>
      </c>
      <c r="AY2243" s="46">
        <f t="shared" si="104"/>
        <v>0</v>
      </c>
      <c r="AZ2243" s="46">
        <f t="shared" si="105"/>
        <v>0</v>
      </c>
    </row>
    <row r="2244" spans="50:52">
      <c r="AX2244" s="46">
        <f t="shared" si="103"/>
        <v>0</v>
      </c>
      <c r="AY2244" s="46">
        <f t="shared" si="104"/>
        <v>0</v>
      </c>
      <c r="AZ2244" s="46">
        <f t="shared" si="105"/>
        <v>0</v>
      </c>
    </row>
    <row r="2245" spans="50:52">
      <c r="AX2245" s="46">
        <f t="shared" si="103"/>
        <v>0</v>
      </c>
      <c r="AY2245" s="46">
        <f t="shared" si="104"/>
        <v>0</v>
      </c>
      <c r="AZ2245" s="46">
        <f t="shared" si="105"/>
        <v>0</v>
      </c>
    </row>
    <row r="2246" spans="50:52">
      <c r="AX2246" s="46">
        <f t="shared" si="103"/>
        <v>0</v>
      </c>
      <c r="AY2246" s="46">
        <f t="shared" si="104"/>
        <v>0</v>
      </c>
      <c r="AZ2246" s="46">
        <f t="shared" si="105"/>
        <v>0</v>
      </c>
    </row>
    <row r="2247" spans="50:52">
      <c r="AX2247" s="46">
        <f t="shared" si="103"/>
        <v>0</v>
      </c>
      <c r="AY2247" s="46">
        <f t="shared" si="104"/>
        <v>0</v>
      </c>
      <c r="AZ2247" s="46">
        <f t="shared" si="105"/>
        <v>0</v>
      </c>
    </row>
    <row r="2248" spans="50:52">
      <c r="AX2248" s="46">
        <f t="shared" si="103"/>
        <v>0</v>
      </c>
      <c r="AY2248" s="46">
        <f t="shared" si="104"/>
        <v>0</v>
      </c>
      <c r="AZ2248" s="46">
        <f t="shared" si="105"/>
        <v>0</v>
      </c>
    </row>
    <row r="2249" spans="50:52">
      <c r="AX2249" s="46">
        <f t="shared" si="103"/>
        <v>0</v>
      </c>
      <c r="AY2249" s="46">
        <f t="shared" si="104"/>
        <v>0</v>
      </c>
      <c r="AZ2249" s="46">
        <f t="shared" si="105"/>
        <v>0</v>
      </c>
    </row>
    <row r="2250" spans="50:52">
      <c r="AX2250" s="46">
        <f t="shared" si="103"/>
        <v>0</v>
      </c>
      <c r="AY2250" s="46">
        <f t="shared" si="104"/>
        <v>0</v>
      </c>
      <c r="AZ2250" s="46">
        <f t="shared" si="105"/>
        <v>0</v>
      </c>
    </row>
    <row r="2251" spans="50:52">
      <c r="AX2251" s="46">
        <f t="shared" ref="AX2251:AX2314" si="106">IFERROR(SUM(Q2251:AS2251)-SUM(AT2251:AU2251)+AV2251,"-")</f>
        <v>0</v>
      </c>
      <c r="AY2251" s="46">
        <f t="shared" ref="AY2251:AY2314" si="107">IFERROR(SUM(Q2251:AS2251)-SUM(AT2251:AT2251),"-")</f>
        <v>0</v>
      </c>
      <c r="AZ2251" s="46">
        <f t="shared" ref="AZ2251:AZ2314" si="108">SUM(Q2251:AS2251)</f>
        <v>0</v>
      </c>
    </row>
    <row r="2252" spans="50:52">
      <c r="AX2252" s="46">
        <f t="shared" si="106"/>
        <v>0</v>
      </c>
      <c r="AY2252" s="46">
        <f t="shared" si="107"/>
        <v>0</v>
      </c>
      <c r="AZ2252" s="46">
        <f t="shared" si="108"/>
        <v>0</v>
      </c>
    </row>
    <row r="2253" spans="50:52">
      <c r="AX2253" s="46">
        <f t="shared" si="106"/>
        <v>0</v>
      </c>
      <c r="AY2253" s="46">
        <f t="shared" si="107"/>
        <v>0</v>
      </c>
      <c r="AZ2253" s="46">
        <f t="shared" si="108"/>
        <v>0</v>
      </c>
    </row>
    <row r="2254" spans="50:52">
      <c r="AX2254" s="46">
        <f t="shared" si="106"/>
        <v>0</v>
      </c>
      <c r="AY2254" s="46">
        <f t="shared" si="107"/>
        <v>0</v>
      </c>
      <c r="AZ2254" s="46">
        <f t="shared" si="108"/>
        <v>0</v>
      </c>
    </row>
    <row r="2255" spans="50:52">
      <c r="AX2255" s="46">
        <f t="shared" si="106"/>
        <v>0</v>
      </c>
      <c r="AY2255" s="46">
        <f t="shared" si="107"/>
        <v>0</v>
      </c>
      <c r="AZ2255" s="46">
        <f t="shared" si="108"/>
        <v>0</v>
      </c>
    </row>
    <row r="2256" spans="50:52">
      <c r="AX2256" s="46">
        <f t="shared" si="106"/>
        <v>0</v>
      </c>
      <c r="AY2256" s="46">
        <f t="shared" si="107"/>
        <v>0</v>
      </c>
      <c r="AZ2256" s="46">
        <f t="shared" si="108"/>
        <v>0</v>
      </c>
    </row>
    <row r="2257" spans="50:52">
      <c r="AX2257" s="46">
        <f t="shared" si="106"/>
        <v>0</v>
      </c>
      <c r="AY2257" s="46">
        <f t="shared" si="107"/>
        <v>0</v>
      </c>
      <c r="AZ2257" s="46">
        <f t="shared" si="108"/>
        <v>0</v>
      </c>
    </row>
    <row r="2258" spans="50:52">
      <c r="AX2258" s="46">
        <f t="shared" si="106"/>
        <v>0</v>
      </c>
      <c r="AY2258" s="46">
        <f t="shared" si="107"/>
        <v>0</v>
      </c>
      <c r="AZ2258" s="46">
        <f t="shared" si="108"/>
        <v>0</v>
      </c>
    </row>
    <row r="2259" spans="50:52">
      <c r="AX2259" s="46">
        <f t="shared" si="106"/>
        <v>0</v>
      </c>
      <c r="AY2259" s="46">
        <f t="shared" si="107"/>
        <v>0</v>
      </c>
      <c r="AZ2259" s="46">
        <f t="shared" si="108"/>
        <v>0</v>
      </c>
    </row>
    <row r="2260" spans="50:52">
      <c r="AX2260" s="46">
        <f t="shared" si="106"/>
        <v>0</v>
      </c>
      <c r="AY2260" s="46">
        <f t="shared" si="107"/>
        <v>0</v>
      </c>
      <c r="AZ2260" s="46">
        <f t="shared" si="108"/>
        <v>0</v>
      </c>
    </row>
    <row r="2261" spans="50:52">
      <c r="AX2261" s="46">
        <f t="shared" si="106"/>
        <v>0</v>
      </c>
      <c r="AY2261" s="46">
        <f t="shared" si="107"/>
        <v>0</v>
      </c>
      <c r="AZ2261" s="46">
        <f t="shared" si="108"/>
        <v>0</v>
      </c>
    </row>
    <row r="2262" spans="50:52">
      <c r="AX2262" s="46">
        <f t="shared" si="106"/>
        <v>0</v>
      </c>
      <c r="AY2262" s="46">
        <f t="shared" si="107"/>
        <v>0</v>
      </c>
      <c r="AZ2262" s="46">
        <f t="shared" si="108"/>
        <v>0</v>
      </c>
    </row>
    <row r="2263" spans="50:52">
      <c r="AX2263" s="46">
        <f t="shared" si="106"/>
        <v>0</v>
      </c>
      <c r="AY2263" s="46">
        <f t="shared" si="107"/>
        <v>0</v>
      </c>
      <c r="AZ2263" s="46">
        <f t="shared" si="108"/>
        <v>0</v>
      </c>
    </row>
    <row r="2264" spans="50:52">
      <c r="AX2264" s="46">
        <f t="shared" si="106"/>
        <v>0</v>
      </c>
      <c r="AY2264" s="46">
        <f t="shared" si="107"/>
        <v>0</v>
      </c>
      <c r="AZ2264" s="46">
        <f t="shared" si="108"/>
        <v>0</v>
      </c>
    </row>
    <row r="2265" spans="50:52">
      <c r="AX2265" s="46">
        <f t="shared" si="106"/>
        <v>0</v>
      </c>
      <c r="AY2265" s="46">
        <f t="shared" si="107"/>
        <v>0</v>
      </c>
      <c r="AZ2265" s="46">
        <f t="shared" si="108"/>
        <v>0</v>
      </c>
    </row>
    <row r="2266" spans="50:52">
      <c r="AX2266" s="46">
        <f t="shared" si="106"/>
        <v>0</v>
      </c>
      <c r="AY2266" s="46">
        <f t="shared" si="107"/>
        <v>0</v>
      </c>
      <c r="AZ2266" s="46">
        <f t="shared" si="108"/>
        <v>0</v>
      </c>
    </row>
    <row r="2267" spans="50:52">
      <c r="AX2267" s="46">
        <f t="shared" si="106"/>
        <v>0</v>
      </c>
      <c r="AY2267" s="46">
        <f t="shared" si="107"/>
        <v>0</v>
      </c>
      <c r="AZ2267" s="46">
        <f t="shared" si="108"/>
        <v>0</v>
      </c>
    </row>
    <row r="2268" spans="50:52">
      <c r="AX2268" s="46">
        <f t="shared" si="106"/>
        <v>0</v>
      </c>
      <c r="AY2268" s="46">
        <f t="shared" si="107"/>
        <v>0</v>
      </c>
      <c r="AZ2268" s="46">
        <f t="shared" si="108"/>
        <v>0</v>
      </c>
    </row>
    <row r="2269" spans="50:52">
      <c r="AX2269" s="46">
        <f t="shared" si="106"/>
        <v>0</v>
      </c>
      <c r="AY2269" s="46">
        <f t="shared" si="107"/>
        <v>0</v>
      </c>
      <c r="AZ2269" s="46">
        <f t="shared" si="108"/>
        <v>0</v>
      </c>
    </row>
    <row r="2270" spans="50:52">
      <c r="AX2270" s="46">
        <f t="shared" si="106"/>
        <v>0</v>
      </c>
      <c r="AY2270" s="46">
        <f t="shared" si="107"/>
        <v>0</v>
      </c>
      <c r="AZ2270" s="46">
        <f t="shared" si="108"/>
        <v>0</v>
      </c>
    </row>
    <row r="2271" spans="50:52">
      <c r="AX2271" s="46">
        <f t="shared" si="106"/>
        <v>0</v>
      </c>
      <c r="AY2271" s="46">
        <f t="shared" si="107"/>
        <v>0</v>
      </c>
      <c r="AZ2271" s="46">
        <f t="shared" si="108"/>
        <v>0</v>
      </c>
    </row>
    <row r="2272" spans="50:52">
      <c r="AX2272" s="46">
        <f t="shared" si="106"/>
        <v>0</v>
      </c>
      <c r="AY2272" s="46">
        <f t="shared" si="107"/>
        <v>0</v>
      </c>
      <c r="AZ2272" s="46">
        <f t="shared" si="108"/>
        <v>0</v>
      </c>
    </row>
    <row r="2273" spans="50:52">
      <c r="AX2273" s="46">
        <f t="shared" si="106"/>
        <v>0</v>
      </c>
      <c r="AY2273" s="46">
        <f t="shared" si="107"/>
        <v>0</v>
      </c>
      <c r="AZ2273" s="46">
        <f t="shared" si="108"/>
        <v>0</v>
      </c>
    </row>
    <row r="2274" spans="50:52">
      <c r="AX2274" s="46">
        <f t="shared" si="106"/>
        <v>0</v>
      </c>
      <c r="AY2274" s="46">
        <f t="shared" si="107"/>
        <v>0</v>
      </c>
      <c r="AZ2274" s="46">
        <f t="shared" si="108"/>
        <v>0</v>
      </c>
    </row>
    <row r="2275" spans="50:52">
      <c r="AX2275" s="46">
        <f t="shared" si="106"/>
        <v>0</v>
      </c>
      <c r="AY2275" s="46">
        <f t="shared" si="107"/>
        <v>0</v>
      </c>
      <c r="AZ2275" s="46">
        <f t="shared" si="108"/>
        <v>0</v>
      </c>
    </row>
    <row r="2276" spans="50:52">
      <c r="AX2276" s="46">
        <f t="shared" si="106"/>
        <v>0</v>
      </c>
      <c r="AY2276" s="46">
        <f t="shared" si="107"/>
        <v>0</v>
      </c>
      <c r="AZ2276" s="46">
        <f t="shared" si="108"/>
        <v>0</v>
      </c>
    </row>
    <row r="2277" spans="50:52">
      <c r="AX2277" s="46">
        <f t="shared" si="106"/>
        <v>0</v>
      </c>
      <c r="AY2277" s="46">
        <f t="shared" si="107"/>
        <v>0</v>
      </c>
      <c r="AZ2277" s="46">
        <f t="shared" si="108"/>
        <v>0</v>
      </c>
    </row>
    <row r="2278" spans="50:52">
      <c r="AX2278" s="46">
        <f t="shared" si="106"/>
        <v>0</v>
      </c>
      <c r="AY2278" s="46">
        <f t="shared" si="107"/>
        <v>0</v>
      </c>
      <c r="AZ2278" s="46">
        <f t="shared" si="108"/>
        <v>0</v>
      </c>
    </row>
    <row r="2279" spans="50:52">
      <c r="AX2279" s="46">
        <f t="shared" si="106"/>
        <v>0</v>
      </c>
      <c r="AY2279" s="46">
        <f t="shared" si="107"/>
        <v>0</v>
      </c>
      <c r="AZ2279" s="46">
        <f t="shared" si="108"/>
        <v>0</v>
      </c>
    </row>
    <row r="2280" spans="50:52">
      <c r="AX2280" s="46">
        <f t="shared" si="106"/>
        <v>0</v>
      </c>
      <c r="AY2280" s="46">
        <f t="shared" si="107"/>
        <v>0</v>
      </c>
      <c r="AZ2280" s="46">
        <f t="shared" si="108"/>
        <v>0</v>
      </c>
    </row>
    <row r="2281" spans="50:52">
      <c r="AX2281" s="46">
        <f t="shared" si="106"/>
        <v>0</v>
      </c>
      <c r="AY2281" s="46">
        <f t="shared" si="107"/>
        <v>0</v>
      </c>
      <c r="AZ2281" s="46">
        <f t="shared" si="108"/>
        <v>0</v>
      </c>
    </row>
    <row r="2282" spans="50:52">
      <c r="AX2282" s="46">
        <f t="shared" si="106"/>
        <v>0</v>
      </c>
      <c r="AY2282" s="46">
        <f t="shared" si="107"/>
        <v>0</v>
      </c>
      <c r="AZ2282" s="46">
        <f t="shared" si="108"/>
        <v>0</v>
      </c>
    </row>
    <row r="2283" spans="50:52">
      <c r="AX2283" s="46">
        <f t="shared" si="106"/>
        <v>0</v>
      </c>
      <c r="AY2283" s="46">
        <f t="shared" si="107"/>
        <v>0</v>
      </c>
      <c r="AZ2283" s="46">
        <f t="shared" si="108"/>
        <v>0</v>
      </c>
    </row>
    <row r="2284" spans="50:52">
      <c r="AX2284" s="46">
        <f t="shared" si="106"/>
        <v>0</v>
      </c>
      <c r="AY2284" s="46">
        <f t="shared" si="107"/>
        <v>0</v>
      </c>
      <c r="AZ2284" s="46">
        <f t="shared" si="108"/>
        <v>0</v>
      </c>
    </row>
    <row r="2285" spans="50:52">
      <c r="AX2285" s="46">
        <f t="shared" si="106"/>
        <v>0</v>
      </c>
      <c r="AY2285" s="46">
        <f t="shared" si="107"/>
        <v>0</v>
      </c>
      <c r="AZ2285" s="46">
        <f t="shared" si="108"/>
        <v>0</v>
      </c>
    </row>
    <row r="2286" spans="50:52">
      <c r="AX2286" s="46">
        <f t="shared" si="106"/>
        <v>0</v>
      </c>
      <c r="AY2286" s="46">
        <f t="shared" si="107"/>
        <v>0</v>
      </c>
      <c r="AZ2286" s="46">
        <f t="shared" si="108"/>
        <v>0</v>
      </c>
    </row>
    <row r="2287" spans="50:52">
      <c r="AX2287" s="46">
        <f t="shared" si="106"/>
        <v>0</v>
      </c>
      <c r="AY2287" s="46">
        <f t="shared" si="107"/>
        <v>0</v>
      </c>
      <c r="AZ2287" s="46">
        <f t="shared" si="108"/>
        <v>0</v>
      </c>
    </row>
    <row r="2288" spans="50:52">
      <c r="AX2288" s="46">
        <f t="shared" si="106"/>
        <v>0</v>
      </c>
      <c r="AY2288" s="46">
        <f t="shared" si="107"/>
        <v>0</v>
      </c>
      <c r="AZ2288" s="46">
        <f t="shared" si="108"/>
        <v>0</v>
      </c>
    </row>
    <row r="2289" spans="50:52">
      <c r="AX2289" s="46">
        <f t="shared" si="106"/>
        <v>0</v>
      </c>
      <c r="AY2289" s="46">
        <f t="shared" si="107"/>
        <v>0</v>
      </c>
      <c r="AZ2289" s="46">
        <f t="shared" si="108"/>
        <v>0</v>
      </c>
    </row>
    <row r="2290" spans="50:52">
      <c r="AX2290" s="46">
        <f t="shared" si="106"/>
        <v>0</v>
      </c>
      <c r="AY2290" s="46">
        <f t="shared" si="107"/>
        <v>0</v>
      </c>
      <c r="AZ2290" s="46">
        <f t="shared" si="108"/>
        <v>0</v>
      </c>
    </row>
    <row r="2291" spans="50:52">
      <c r="AX2291" s="46">
        <f t="shared" si="106"/>
        <v>0</v>
      </c>
      <c r="AY2291" s="46">
        <f t="shared" si="107"/>
        <v>0</v>
      </c>
      <c r="AZ2291" s="46">
        <f t="shared" si="108"/>
        <v>0</v>
      </c>
    </row>
    <row r="2292" spans="50:52">
      <c r="AX2292" s="46">
        <f t="shared" si="106"/>
        <v>0</v>
      </c>
      <c r="AY2292" s="46">
        <f t="shared" si="107"/>
        <v>0</v>
      </c>
      <c r="AZ2292" s="46">
        <f t="shared" si="108"/>
        <v>0</v>
      </c>
    </row>
    <row r="2293" spans="50:52">
      <c r="AX2293" s="46">
        <f t="shared" si="106"/>
        <v>0</v>
      </c>
      <c r="AY2293" s="46">
        <f t="shared" si="107"/>
        <v>0</v>
      </c>
      <c r="AZ2293" s="46">
        <f t="shared" si="108"/>
        <v>0</v>
      </c>
    </row>
    <row r="2294" spans="50:52">
      <c r="AX2294" s="46">
        <f t="shared" si="106"/>
        <v>0</v>
      </c>
      <c r="AY2294" s="46">
        <f t="shared" si="107"/>
        <v>0</v>
      </c>
      <c r="AZ2294" s="46">
        <f t="shared" si="108"/>
        <v>0</v>
      </c>
    </row>
    <row r="2295" spans="50:52">
      <c r="AX2295" s="46">
        <f t="shared" si="106"/>
        <v>0</v>
      </c>
      <c r="AY2295" s="46">
        <f t="shared" si="107"/>
        <v>0</v>
      </c>
      <c r="AZ2295" s="46">
        <f t="shared" si="108"/>
        <v>0</v>
      </c>
    </row>
    <row r="2296" spans="50:52">
      <c r="AX2296" s="46">
        <f t="shared" si="106"/>
        <v>0</v>
      </c>
      <c r="AY2296" s="46">
        <f t="shared" si="107"/>
        <v>0</v>
      </c>
      <c r="AZ2296" s="46">
        <f t="shared" si="108"/>
        <v>0</v>
      </c>
    </row>
    <row r="2297" spans="50:52">
      <c r="AX2297" s="46">
        <f t="shared" si="106"/>
        <v>0</v>
      </c>
      <c r="AY2297" s="46">
        <f t="shared" si="107"/>
        <v>0</v>
      </c>
      <c r="AZ2297" s="46">
        <f t="shared" si="108"/>
        <v>0</v>
      </c>
    </row>
    <row r="2298" spans="50:52">
      <c r="AX2298" s="46">
        <f t="shared" si="106"/>
        <v>0</v>
      </c>
      <c r="AY2298" s="46">
        <f t="shared" si="107"/>
        <v>0</v>
      </c>
      <c r="AZ2298" s="46">
        <f t="shared" si="108"/>
        <v>0</v>
      </c>
    </row>
    <row r="2299" spans="50:52">
      <c r="AX2299" s="46">
        <f t="shared" si="106"/>
        <v>0</v>
      </c>
      <c r="AY2299" s="46">
        <f t="shared" si="107"/>
        <v>0</v>
      </c>
      <c r="AZ2299" s="46">
        <f t="shared" si="108"/>
        <v>0</v>
      </c>
    </row>
    <row r="2300" spans="50:52">
      <c r="AX2300" s="46">
        <f t="shared" si="106"/>
        <v>0</v>
      </c>
      <c r="AY2300" s="46">
        <f t="shared" si="107"/>
        <v>0</v>
      </c>
      <c r="AZ2300" s="46">
        <f t="shared" si="108"/>
        <v>0</v>
      </c>
    </row>
    <row r="2301" spans="50:52">
      <c r="AX2301" s="46">
        <f t="shared" si="106"/>
        <v>0</v>
      </c>
      <c r="AY2301" s="46">
        <f t="shared" si="107"/>
        <v>0</v>
      </c>
      <c r="AZ2301" s="46">
        <f t="shared" si="108"/>
        <v>0</v>
      </c>
    </row>
    <row r="2302" spans="50:52">
      <c r="AX2302" s="46">
        <f t="shared" si="106"/>
        <v>0</v>
      </c>
      <c r="AY2302" s="46">
        <f t="shared" si="107"/>
        <v>0</v>
      </c>
      <c r="AZ2302" s="46">
        <f t="shared" si="108"/>
        <v>0</v>
      </c>
    </row>
    <row r="2303" spans="50:52">
      <c r="AX2303" s="46">
        <f t="shared" si="106"/>
        <v>0</v>
      </c>
      <c r="AY2303" s="46">
        <f t="shared" si="107"/>
        <v>0</v>
      </c>
      <c r="AZ2303" s="46">
        <f t="shared" si="108"/>
        <v>0</v>
      </c>
    </row>
    <row r="2304" spans="50:52">
      <c r="AX2304" s="46">
        <f t="shared" si="106"/>
        <v>0</v>
      </c>
      <c r="AY2304" s="46">
        <f t="shared" si="107"/>
        <v>0</v>
      </c>
      <c r="AZ2304" s="46">
        <f t="shared" si="108"/>
        <v>0</v>
      </c>
    </row>
    <row r="2305" spans="50:52">
      <c r="AX2305" s="46">
        <f t="shared" si="106"/>
        <v>0</v>
      </c>
      <c r="AY2305" s="46">
        <f t="shared" si="107"/>
        <v>0</v>
      </c>
      <c r="AZ2305" s="46">
        <f t="shared" si="108"/>
        <v>0</v>
      </c>
    </row>
    <row r="2306" spans="50:52">
      <c r="AX2306" s="46">
        <f t="shared" si="106"/>
        <v>0</v>
      </c>
      <c r="AY2306" s="46">
        <f t="shared" si="107"/>
        <v>0</v>
      </c>
      <c r="AZ2306" s="46">
        <f t="shared" si="108"/>
        <v>0</v>
      </c>
    </row>
    <row r="2307" spans="50:52">
      <c r="AX2307" s="46">
        <f t="shared" si="106"/>
        <v>0</v>
      </c>
      <c r="AY2307" s="46">
        <f t="shared" si="107"/>
        <v>0</v>
      </c>
      <c r="AZ2307" s="46">
        <f t="shared" si="108"/>
        <v>0</v>
      </c>
    </row>
    <row r="2308" spans="50:52">
      <c r="AX2308" s="46">
        <f t="shared" si="106"/>
        <v>0</v>
      </c>
      <c r="AY2308" s="46">
        <f t="shared" si="107"/>
        <v>0</v>
      </c>
      <c r="AZ2308" s="46">
        <f t="shared" si="108"/>
        <v>0</v>
      </c>
    </row>
    <row r="2309" spans="50:52">
      <c r="AX2309" s="46">
        <f t="shared" si="106"/>
        <v>0</v>
      </c>
      <c r="AY2309" s="46">
        <f t="shared" si="107"/>
        <v>0</v>
      </c>
      <c r="AZ2309" s="46">
        <f t="shared" si="108"/>
        <v>0</v>
      </c>
    </row>
    <row r="2310" spans="50:52">
      <c r="AX2310" s="46">
        <f t="shared" si="106"/>
        <v>0</v>
      </c>
      <c r="AY2310" s="46">
        <f t="shared" si="107"/>
        <v>0</v>
      </c>
      <c r="AZ2310" s="46">
        <f t="shared" si="108"/>
        <v>0</v>
      </c>
    </row>
    <row r="2311" spans="50:52">
      <c r="AX2311" s="46">
        <f t="shared" si="106"/>
        <v>0</v>
      </c>
      <c r="AY2311" s="46">
        <f t="shared" si="107"/>
        <v>0</v>
      </c>
      <c r="AZ2311" s="46">
        <f t="shared" si="108"/>
        <v>0</v>
      </c>
    </row>
    <row r="2312" spans="50:52">
      <c r="AX2312" s="46">
        <f t="shared" si="106"/>
        <v>0</v>
      </c>
      <c r="AY2312" s="46">
        <f t="shared" si="107"/>
        <v>0</v>
      </c>
      <c r="AZ2312" s="46">
        <f t="shared" si="108"/>
        <v>0</v>
      </c>
    </row>
    <row r="2313" spans="50:52">
      <c r="AX2313" s="46">
        <f t="shared" si="106"/>
        <v>0</v>
      </c>
      <c r="AY2313" s="46">
        <f t="shared" si="107"/>
        <v>0</v>
      </c>
      <c r="AZ2313" s="46">
        <f t="shared" si="108"/>
        <v>0</v>
      </c>
    </row>
    <row r="2314" spans="50:52">
      <c r="AX2314" s="46">
        <f t="shared" si="106"/>
        <v>0</v>
      </c>
      <c r="AY2314" s="46">
        <f t="shared" si="107"/>
        <v>0</v>
      </c>
      <c r="AZ2314" s="46">
        <f t="shared" si="108"/>
        <v>0</v>
      </c>
    </row>
    <row r="2315" spans="50:52">
      <c r="AX2315" s="46">
        <f t="shared" ref="AX2315:AX2378" si="109">IFERROR(SUM(Q2315:AS2315)-SUM(AT2315:AU2315)+AV2315,"-")</f>
        <v>0</v>
      </c>
      <c r="AY2315" s="46">
        <f t="shared" ref="AY2315:AY2378" si="110">IFERROR(SUM(Q2315:AS2315)-SUM(AT2315:AT2315),"-")</f>
        <v>0</v>
      </c>
      <c r="AZ2315" s="46">
        <f t="shared" ref="AZ2315:AZ2378" si="111">SUM(Q2315:AS2315)</f>
        <v>0</v>
      </c>
    </row>
    <row r="2316" spans="50:52">
      <c r="AX2316" s="46">
        <f t="shared" si="109"/>
        <v>0</v>
      </c>
      <c r="AY2316" s="46">
        <f t="shared" si="110"/>
        <v>0</v>
      </c>
      <c r="AZ2316" s="46">
        <f t="shared" si="111"/>
        <v>0</v>
      </c>
    </row>
    <row r="2317" spans="50:52">
      <c r="AX2317" s="46">
        <f t="shared" si="109"/>
        <v>0</v>
      </c>
      <c r="AY2317" s="46">
        <f t="shared" si="110"/>
        <v>0</v>
      </c>
      <c r="AZ2317" s="46">
        <f t="shared" si="111"/>
        <v>0</v>
      </c>
    </row>
    <row r="2318" spans="50:52">
      <c r="AX2318" s="46">
        <f t="shared" si="109"/>
        <v>0</v>
      </c>
      <c r="AY2318" s="46">
        <f t="shared" si="110"/>
        <v>0</v>
      </c>
      <c r="AZ2318" s="46">
        <f t="shared" si="111"/>
        <v>0</v>
      </c>
    </row>
    <row r="2319" spans="50:52">
      <c r="AX2319" s="46">
        <f t="shared" si="109"/>
        <v>0</v>
      </c>
      <c r="AY2319" s="46">
        <f t="shared" si="110"/>
        <v>0</v>
      </c>
      <c r="AZ2319" s="46">
        <f t="shared" si="111"/>
        <v>0</v>
      </c>
    </row>
    <row r="2320" spans="50:52">
      <c r="AX2320" s="46">
        <f t="shared" si="109"/>
        <v>0</v>
      </c>
      <c r="AY2320" s="46">
        <f t="shared" si="110"/>
        <v>0</v>
      </c>
      <c r="AZ2320" s="46">
        <f t="shared" si="111"/>
        <v>0</v>
      </c>
    </row>
    <row r="2321" spans="50:52">
      <c r="AX2321" s="46">
        <f t="shared" si="109"/>
        <v>0</v>
      </c>
      <c r="AY2321" s="46">
        <f t="shared" si="110"/>
        <v>0</v>
      </c>
      <c r="AZ2321" s="46">
        <f t="shared" si="111"/>
        <v>0</v>
      </c>
    </row>
    <row r="2322" spans="50:52">
      <c r="AX2322" s="46">
        <f t="shared" si="109"/>
        <v>0</v>
      </c>
      <c r="AY2322" s="46">
        <f t="shared" si="110"/>
        <v>0</v>
      </c>
      <c r="AZ2322" s="46">
        <f t="shared" si="111"/>
        <v>0</v>
      </c>
    </row>
    <row r="2323" spans="50:52">
      <c r="AX2323" s="46">
        <f t="shared" si="109"/>
        <v>0</v>
      </c>
      <c r="AY2323" s="46">
        <f t="shared" si="110"/>
        <v>0</v>
      </c>
      <c r="AZ2323" s="46">
        <f t="shared" si="111"/>
        <v>0</v>
      </c>
    </row>
    <row r="2324" spans="50:52">
      <c r="AX2324" s="46">
        <f t="shared" si="109"/>
        <v>0</v>
      </c>
      <c r="AY2324" s="46">
        <f t="shared" si="110"/>
        <v>0</v>
      </c>
      <c r="AZ2324" s="46">
        <f t="shared" si="111"/>
        <v>0</v>
      </c>
    </row>
    <row r="2325" spans="50:52">
      <c r="AX2325" s="46">
        <f t="shared" si="109"/>
        <v>0</v>
      </c>
      <c r="AY2325" s="46">
        <f t="shared" si="110"/>
        <v>0</v>
      </c>
      <c r="AZ2325" s="46">
        <f t="shared" si="111"/>
        <v>0</v>
      </c>
    </row>
    <row r="2326" spans="50:52">
      <c r="AX2326" s="46">
        <f t="shared" si="109"/>
        <v>0</v>
      </c>
      <c r="AY2326" s="46">
        <f t="shared" si="110"/>
        <v>0</v>
      </c>
      <c r="AZ2326" s="46">
        <f t="shared" si="111"/>
        <v>0</v>
      </c>
    </row>
    <row r="2327" spans="50:52">
      <c r="AX2327" s="46">
        <f t="shared" si="109"/>
        <v>0</v>
      </c>
      <c r="AY2327" s="46">
        <f t="shared" si="110"/>
        <v>0</v>
      </c>
      <c r="AZ2327" s="46">
        <f t="shared" si="111"/>
        <v>0</v>
      </c>
    </row>
    <row r="2328" spans="50:52">
      <c r="AX2328" s="46">
        <f t="shared" si="109"/>
        <v>0</v>
      </c>
      <c r="AY2328" s="46">
        <f t="shared" si="110"/>
        <v>0</v>
      </c>
      <c r="AZ2328" s="46">
        <f t="shared" si="111"/>
        <v>0</v>
      </c>
    </row>
    <row r="2329" spans="50:52">
      <c r="AX2329" s="46">
        <f t="shared" si="109"/>
        <v>0</v>
      </c>
      <c r="AY2329" s="46">
        <f t="shared" si="110"/>
        <v>0</v>
      </c>
      <c r="AZ2329" s="46">
        <f t="shared" si="111"/>
        <v>0</v>
      </c>
    </row>
    <row r="2330" spans="50:52">
      <c r="AX2330" s="46">
        <f t="shared" si="109"/>
        <v>0</v>
      </c>
      <c r="AY2330" s="46">
        <f t="shared" si="110"/>
        <v>0</v>
      </c>
      <c r="AZ2330" s="46">
        <f t="shared" si="111"/>
        <v>0</v>
      </c>
    </row>
    <row r="2331" spans="50:52">
      <c r="AX2331" s="46">
        <f t="shared" si="109"/>
        <v>0</v>
      </c>
      <c r="AY2331" s="46">
        <f t="shared" si="110"/>
        <v>0</v>
      </c>
      <c r="AZ2331" s="46">
        <f t="shared" si="111"/>
        <v>0</v>
      </c>
    </row>
    <row r="2332" spans="50:52">
      <c r="AX2332" s="46">
        <f t="shared" si="109"/>
        <v>0</v>
      </c>
      <c r="AY2332" s="46">
        <f t="shared" si="110"/>
        <v>0</v>
      </c>
      <c r="AZ2332" s="46">
        <f t="shared" si="111"/>
        <v>0</v>
      </c>
    </row>
    <row r="2333" spans="50:52">
      <c r="AX2333" s="46">
        <f t="shared" si="109"/>
        <v>0</v>
      </c>
      <c r="AY2333" s="46">
        <f t="shared" si="110"/>
        <v>0</v>
      </c>
      <c r="AZ2333" s="46">
        <f t="shared" si="111"/>
        <v>0</v>
      </c>
    </row>
    <row r="2334" spans="50:52">
      <c r="AX2334" s="46">
        <f t="shared" si="109"/>
        <v>0</v>
      </c>
      <c r="AY2334" s="46">
        <f t="shared" si="110"/>
        <v>0</v>
      </c>
      <c r="AZ2334" s="46">
        <f t="shared" si="111"/>
        <v>0</v>
      </c>
    </row>
    <row r="2335" spans="50:52">
      <c r="AX2335" s="46">
        <f t="shared" si="109"/>
        <v>0</v>
      </c>
      <c r="AY2335" s="46">
        <f t="shared" si="110"/>
        <v>0</v>
      </c>
      <c r="AZ2335" s="46">
        <f t="shared" si="111"/>
        <v>0</v>
      </c>
    </row>
    <row r="2336" spans="50:52">
      <c r="AX2336" s="46">
        <f t="shared" si="109"/>
        <v>0</v>
      </c>
      <c r="AY2336" s="46">
        <f t="shared" si="110"/>
        <v>0</v>
      </c>
      <c r="AZ2336" s="46">
        <f t="shared" si="111"/>
        <v>0</v>
      </c>
    </row>
    <row r="2337" spans="50:52">
      <c r="AX2337" s="46">
        <f t="shared" si="109"/>
        <v>0</v>
      </c>
      <c r="AY2337" s="46">
        <f t="shared" si="110"/>
        <v>0</v>
      </c>
      <c r="AZ2337" s="46">
        <f t="shared" si="111"/>
        <v>0</v>
      </c>
    </row>
    <row r="2338" spans="50:52">
      <c r="AX2338" s="46">
        <f t="shared" si="109"/>
        <v>0</v>
      </c>
      <c r="AY2338" s="46">
        <f t="shared" si="110"/>
        <v>0</v>
      </c>
      <c r="AZ2338" s="46">
        <f t="shared" si="111"/>
        <v>0</v>
      </c>
    </row>
    <row r="2339" spans="50:52">
      <c r="AX2339" s="46">
        <f t="shared" si="109"/>
        <v>0</v>
      </c>
      <c r="AY2339" s="46">
        <f t="shared" si="110"/>
        <v>0</v>
      </c>
      <c r="AZ2339" s="46">
        <f t="shared" si="111"/>
        <v>0</v>
      </c>
    </row>
    <row r="2340" spans="50:52">
      <c r="AX2340" s="46">
        <f t="shared" si="109"/>
        <v>0</v>
      </c>
      <c r="AY2340" s="46">
        <f t="shared" si="110"/>
        <v>0</v>
      </c>
      <c r="AZ2340" s="46">
        <f t="shared" si="111"/>
        <v>0</v>
      </c>
    </row>
    <row r="2341" spans="50:52">
      <c r="AX2341" s="46">
        <f t="shared" si="109"/>
        <v>0</v>
      </c>
      <c r="AY2341" s="46">
        <f t="shared" si="110"/>
        <v>0</v>
      </c>
      <c r="AZ2341" s="46">
        <f t="shared" si="111"/>
        <v>0</v>
      </c>
    </row>
    <row r="2342" spans="50:52">
      <c r="AX2342" s="46">
        <f t="shared" si="109"/>
        <v>0</v>
      </c>
      <c r="AY2342" s="46">
        <f t="shared" si="110"/>
        <v>0</v>
      </c>
      <c r="AZ2342" s="46">
        <f t="shared" si="111"/>
        <v>0</v>
      </c>
    </row>
    <row r="2343" spans="50:52">
      <c r="AX2343" s="46">
        <f t="shared" si="109"/>
        <v>0</v>
      </c>
      <c r="AY2343" s="46">
        <f t="shared" si="110"/>
        <v>0</v>
      </c>
      <c r="AZ2343" s="46">
        <f t="shared" si="111"/>
        <v>0</v>
      </c>
    </row>
    <row r="2344" spans="50:52">
      <c r="AX2344" s="46">
        <f t="shared" si="109"/>
        <v>0</v>
      </c>
      <c r="AY2344" s="46">
        <f t="shared" si="110"/>
        <v>0</v>
      </c>
      <c r="AZ2344" s="46">
        <f t="shared" si="111"/>
        <v>0</v>
      </c>
    </row>
    <row r="2345" spans="50:52">
      <c r="AX2345" s="46">
        <f t="shared" si="109"/>
        <v>0</v>
      </c>
      <c r="AY2345" s="46">
        <f t="shared" si="110"/>
        <v>0</v>
      </c>
      <c r="AZ2345" s="46">
        <f t="shared" si="111"/>
        <v>0</v>
      </c>
    </row>
    <row r="2346" spans="50:52">
      <c r="AX2346" s="46">
        <f t="shared" si="109"/>
        <v>0</v>
      </c>
      <c r="AY2346" s="46">
        <f t="shared" si="110"/>
        <v>0</v>
      </c>
      <c r="AZ2346" s="46">
        <f t="shared" si="111"/>
        <v>0</v>
      </c>
    </row>
    <row r="2347" spans="50:52">
      <c r="AX2347" s="46">
        <f t="shared" si="109"/>
        <v>0</v>
      </c>
      <c r="AY2347" s="46">
        <f t="shared" si="110"/>
        <v>0</v>
      </c>
      <c r="AZ2347" s="46">
        <f t="shared" si="111"/>
        <v>0</v>
      </c>
    </row>
    <row r="2348" spans="50:52">
      <c r="AX2348" s="46">
        <f t="shared" si="109"/>
        <v>0</v>
      </c>
      <c r="AY2348" s="46">
        <f t="shared" si="110"/>
        <v>0</v>
      </c>
      <c r="AZ2348" s="46">
        <f t="shared" si="111"/>
        <v>0</v>
      </c>
    </row>
    <row r="2349" spans="50:52">
      <c r="AX2349" s="46">
        <f t="shared" si="109"/>
        <v>0</v>
      </c>
      <c r="AY2349" s="46">
        <f t="shared" si="110"/>
        <v>0</v>
      </c>
      <c r="AZ2349" s="46">
        <f t="shared" si="111"/>
        <v>0</v>
      </c>
    </row>
    <row r="2350" spans="50:52">
      <c r="AX2350" s="46">
        <f t="shared" si="109"/>
        <v>0</v>
      </c>
      <c r="AY2350" s="46">
        <f t="shared" si="110"/>
        <v>0</v>
      </c>
      <c r="AZ2350" s="46">
        <f t="shared" si="111"/>
        <v>0</v>
      </c>
    </row>
    <row r="2351" spans="50:52">
      <c r="AX2351" s="46">
        <f t="shared" si="109"/>
        <v>0</v>
      </c>
      <c r="AY2351" s="46">
        <f t="shared" si="110"/>
        <v>0</v>
      </c>
      <c r="AZ2351" s="46">
        <f t="shared" si="111"/>
        <v>0</v>
      </c>
    </row>
    <row r="2352" spans="50:52">
      <c r="AX2352" s="46">
        <f t="shared" si="109"/>
        <v>0</v>
      </c>
      <c r="AY2352" s="46">
        <f t="shared" si="110"/>
        <v>0</v>
      </c>
      <c r="AZ2352" s="46">
        <f t="shared" si="111"/>
        <v>0</v>
      </c>
    </row>
    <row r="2353" spans="50:52">
      <c r="AX2353" s="46">
        <f t="shared" si="109"/>
        <v>0</v>
      </c>
      <c r="AY2353" s="46">
        <f t="shared" si="110"/>
        <v>0</v>
      </c>
      <c r="AZ2353" s="46">
        <f t="shared" si="111"/>
        <v>0</v>
      </c>
    </row>
    <row r="2354" spans="50:52">
      <c r="AX2354" s="46">
        <f t="shared" si="109"/>
        <v>0</v>
      </c>
      <c r="AY2354" s="46">
        <f t="shared" si="110"/>
        <v>0</v>
      </c>
      <c r="AZ2354" s="46">
        <f t="shared" si="111"/>
        <v>0</v>
      </c>
    </row>
    <row r="2355" spans="50:52">
      <c r="AX2355" s="46">
        <f t="shared" si="109"/>
        <v>0</v>
      </c>
      <c r="AY2355" s="46">
        <f t="shared" si="110"/>
        <v>0</v>
      </c>
      <c r="AZ2355" s="46">
        <f t="shared" si="111"/>
        <v>0</v>
      </c>
    </row>
    <row r="2356" spans="50:52">
      <c r="AX2356" s="46">
        <f t="shared" si="109"/>
        <v>0</v>
      </c>
      <c r="AY2356" s="46">
        <f t="shared" si="110"/>
        <v>0</v>
      </c>
      <c r="AZ2356" s="46">
        <f t="shared" si="111"/>
        <v>0</v>
      </c>
    </row>
    <row r="2357" spans="50:52">
      <c r="AX2357" s="46">
        <f t="shared" si="109"/>
        <v>0</v>
      </c>
      <c r="AY2357" s="46">
        <f t="shared" si="110"/>
        <v>0</v>
      </c>
      <c r="AZ2357" s="46">
        <f t="shared" si="111"/>
        <v>0</v>
      </c>
    </row>
    <row r="2358" spans="50:52">
      <c r="AX2358" s="46">
        <f t="shared" si="109"/>
        <v>0</v>
      </c>
      <c r="AY2358" s="46">
        <f t="shared" si="110"/>
        <v>0</v>
      </c>
      <c r="AZ2358" s="46">
        <f t="shared" si="111"/>
        <v>0</v>
      </c>
    </row>
    <row r="2359" spans="50:52">
      <c r="AX2359" s="46">
        <f t="shared" si="109"/>
        <v>0</v>
      </c>
      <c r="AY2359" s="46">
        <f t="shared" si="110"/>
        <v>0</v>
      </c>
      <c r="AZ2359" s="46">
        <f t="shared" si="111"/>
        <v>0</v>
      </c>
    </row>
    <row r="2360" spans="50:52">
      <c r="AX2360" s="46">
        <f t="shared" si="109"/>
        <v>0</v>
      </c>
      <c r="AY2360" s="46">
        <f t="shared" si="110"/>
        <v>0</v>
      </c>
      <c r="AZ2360" s="46">
        <f t="shared" si="111"/>
        <v>0</v>
      </c>
    </row>
    <row r="2361" spans="50:52">
      <c r="AX2361" s="46">
        <f t="shared" si="109"/>
        <v>0</v>
      </c>
      <c r="AY2361" s="46">
        <f t="shared" si="110"/>
        <v>0</v>
      </c>
      <c r="AZ2361" s="46">
        <f t="shared" si="111"/>
        <v>0</v>
      </c>
    </row>
    <row r="2362" spans="50:52">
      <c r="AX2362" s="46">
        <f t="shared" si="109"/>
        <v>0</v>
      </c>
      <c r="AY2362" s="46">
        <f t="shared" si="110"/>
        <v>0</v>
      </c>
      <c r="AZ2362" s="46">
        <f t="shared" si="111"/>
        <v>0</v>
      </c>
    </row>
    <row r="2363" spans="50:52">
      <c r="AX2363" s="46">
        <f t="shared" si="109"/>
        <v>0</v>
      </c>
      <c r="AY2363" s="46">
        <f t="shared" si="110"/>
        <v>0</v>
      </c>
      <c r="AZ2363" s="46">
        <f t="shared" si="111"/>
        <v>0</v>
      </c>
    </row>
    <row r="2364" spans="50:52">
      <c r="AX2364" s="46">
        <f t="shared" si="109"/>
        <v>0</v>
      </c>
      <c r="AY2364" s="46">
        <f t="shared" si="110"/>
        <v>0</v>
      </c>
      <c r="AZ2364" s="46">
        <f t="shared" si="111"/>
        <v>0</v>
      </c>
    </row>
    <row r="2365" spans="50:52">
      <c r="AX2365" s="46">
        <f t="shared" si="109"/>
        <v>0</v>
      </c>
      <c r="AY2365" s="46">
        <f t="shared" si="110"/>
        <v>0</v>
      </c>
      <c r="AZ2365" s="46">
        <f t="shared" si="111"/>
        <v>0</v>
      </c>
    </row>
    <row r="2366" spans="50:52">
      <c r="AX2366" s="46">
        <f t="shared" si="109"/>
        <v>0</v>
      </c>
      <c r="AY2366" s="46">
        <f t="shared" si="110"/>
        <v>0</v>
      </c>
      <c r="AZ2366" s="46">
        <f t="shared" si="111"/>
        <v>0</v>
      </c>
    </row>
    <row r="2367" spans="50:52">
      <c r="AX2367" s="46">
        <f t="shared" si="109"/>
        <v>0</v>
      </c>
      <c r="AY2367" s="46">
        <f t="shared" si="110"/>
        <v>0</v>
      </c>
      <c r="AZ2367" s="46">
        <f t="shared" si="111"/>
        <v>0</v>
      </c>
    </row>
    <row r="2368" spans="50:52">
      <c r="AX2368" s="46">
        <f t="shared" si="109"/>
        <v>0</v>
      </c>
      <c r="AY2368" s="46">
        <f t="shared" si="110"/>
        <v>0</v>
      </c>
      <c r="AZ2368" s="46">
        <f t="shared" si="111"/>
        <v>0</v>
      </c>
    </row>
    <row r="2369" spans="50:52">
      <c r="AX2369" s="46">
        <f t="shared" si="109"/>
        <v>0</v>
      </c>
      <c r="AY2369" s="46">
        <f t="shared" si="110"/>
        <v>0</v>
      </c>
      <c r="AZ2369" s="46">
        <f t="shared" si="111"/>
        <v>0</v>
      </c>
    </row>
    <row r="2370" spans="50:52">
      <c r="AX2370" s="46">
        <f t="shared" si="109"/>
        <v>0</v>
      </c>
      <c r="AY2370" s="46">
        <f t="shared" si="110"/>
        <v>0</v>
      </c>
      <c r="AZ2370" s="46">
        <f t="shared" si="111"/>
        <v>0</v>
      </c>
    </row>
    <row r="2371" spans="50:52">
      <c r="AX2371" s="46">
        <f t="shared" si="109"/>
        <v>0</v>
      </c>
      <c r="AY2371" s="46">
        <f t="shared" si="110"/>
        <v>0</v>
      </c>
      <c r="AZ2371" s="46">
        <f t="shared" si="111"/>
        <v>0</v>
      </c>
    </row>
    <row r="2372" spans="50:52">
      <c r="AX2372" s="46">
        <f t="shared" si="109"/>
        <v>0</v>
      </c>
      <c r="AY2372" s="46">
        <f t="shared" si="110"/>
        <v>0</v>
      </c>
      <c r="AZ2372" s="46">
        <f t="shared" si="111"/>
        <v>0</v>
      </c>
    </row>
    <row r="2373" spans="50:52">
      <c r="AX2373" s="46">
        <f t="shared" si="109"/>
        <v>0</v>
      </c>
      <c r="AY2373" s="46">
        <f t="shared" si="110"/>
        <v>0</v>
      </c>
      <c r="AZ2373" s="46">
        <f t="shared" si="111"/>
        <v>0</v>
      </c>
    </row>
    <row r="2374" spans="50:52">
      <c r="AX2374" s="46">
        <f t="shared" si="109"/>
        <v>0</v>
      </c>
      <c r="AY2374" s="46">
        <f t="shared" si="110"/>
        <v>0</v>
      </c>
      <c r="AZ2374" s="46">
        <f t="shared" si="111"/>
        <v>0</v>
      </c>
    </row>
    <row r="2375" spans="50:52">
      <c r="AX2375" s="46">
        <f t="shared" si="109"/>
        <v>0</v>
      </c>
      <c r="AY2375" s="46">
        <f t="shared" si="110"/>
        <v>0</v>
      </c>
      <c r="AZ2375" s="46">
        <f t="shared" si="111"/>
        <v>0</v>
      </c>
    </row>
    <row r="2376" spans="50:52">
      <c r="AX2376" s="46">
        <f t="shared" si="109"/>
        <v>0</v>
      </c>
      <c r="AY2376" s="46">
        <f t="shared" si="110"/>
        <v>0</v>
      </c>
      <c r="AZ2376" s="46">
        <f t="shared" si="111"/>
        <v>0</v>
      </c>
    </row>
    <row r="2377" spans="50:52">
      <c r="AX2377" s="46">
        <f t="shared" si="109"/>
        <v>0</v>
      </c>
      <c r="AY2377" s="46">
        <f t="shared" si="110"/>
        <v>0</v>
      </c>
      <c r="AZ2377" s="46">
        <f t="shared" si="111"/>
        <v>0</v>
      </c>
    </row>
    <row r="2378" spans="50:52">
      <c r="AX2378" s="46">
        <f t="shared" si="109"/>
        <v>0</v>
      </c>
      <c r="AY2378" s="46">
        <f t="shared" si="110"/>
        <v>0</v>
      </c>
      <c r="AZ2378" s="46">
        <f t="shared" si="111"/>
        <v>0</v>
      </c>
    </row>
    <row r="2379" spans="50:52">
      <c r="AX2379" s="46">
        <f t="shared" ref="AX2379:AX2442" si="112">IFERROR(SUM(Q2379:AS2379)-SUM(AT2379:AU2379)+AV2379,"-")</f>
        <v>0</v>
      </c>
      <c r="AY2379" s="46">
        <f t="shared" ref="AY2379:AY2442" si="113">IFERROR(SUM(Q2379:AS2379)-SUM(AT2379:AT2379),"-")</f>
        <v>0</v>
      </c>
      <c r="AZ2379" s="46">
        <f t="shared" ref="AZ2379:AZ2442" si="114">SUM(Q2379:AS2379)</f>
        <v>0</v>
      </c>
    </row>
    <row r="2380" spans="50:52">
      <c r="AX2380" s="46">
        <f t="shared" si="112"/>
        <v>0</v>
      </c>
      <c r="AY2380" s="46">
        <f t="shared" si="113"/>
        <v>0</v>
      </c>
      <c r="AZ2380" s="46">
        <f t="shared" si="114"/>
        <v>0</v>
      </c>
    </row>
    <row r="2381" spans="50:52">
      <c r="AX2381" s="46">
        <f t="shared" si="112"/>
        <v>0</v>
      </c>
      <c r="AY2381" s="46">
        <f t="shared" si="113"/>
        <v>0</v>
      </c>
      <c r="AZ2381" s="46">
        <f t="shared" si="114"/>
        <v>0</v>
      </c>
    </row>
    <row r="2382" spans="50:52">
      <c r="AX2382" s="46">
        <f t="shared" si="112"/>
        <v>0</v>
      </c>
      <c r="AY2382" s="46">
        <f t="shared" si="113"/>
        <v>0</v>
      </c>
      <c r="AZ2382" s="46">
        <f t="shared" si="114"/>
        <v>0</v>
      </c>
    </row>
    <row r="2383" spans="50:52">
      <c r="AX2383" s="46">
        <f t="shared" si="112"/>
        <v>0</v>
      </c>
      <c r="AY2383" s="46">
        <f t="shared" si="113"/>
        <v>0</v>
      </c>
      <c r="AZ2383" s="46">
        <f t="shared" si="114"/>
        <v>0</v>
      </c>
    </row>
    <row r="2384" spans="50:52">
      <c r="AX2384" s="46">
        <f t="shared" si="112"/>
        <v>0</v>
      </c>
      <c r="AY2384" s="46">
        <f t="shared" si="113"/>
        <v>0</v>
      </c>
      <c r="AZ2384" s="46">
        <f t="shared" si="114"/>
        <v>0</v>
      </c>
    </row>
    <row r="2385" spans="50:52">
      <c r="AX2385" s="46">
        <f t="shared" si="112"/>
        <v>0</v>
      </c>
      <c r="AY2385" s="46">
        <f t="shared" si="113"/>
        <v>0</v>
      </c>
      <c r="AZ2385" s="46">
        <f t="shared" si="114"/>
        <v>0</v>
      </c>
    </row>
    <row r="2386" spans="50:52">
      <c r="AX2386" s="46">
        <f t="shared" si="112"/>
        <v>0</v>
      </c>
      <c r="AY2386" s="46">
        <f t="shared" si="113"/>
        <v>0</v>
      </c>
      <c r="AZ2386" s="46">
        <f t="shared" si="114"/>
        <v>0</v>
      </c>
    </row>
    <row r="2387" spans="50:52">
      <c r="AX2387" s="46">
        <f t="shared" si="112"/>
        <v>0</v>
      </c>
      <c r="AY2387" s="46">
        <f t="shared" si="113"/>
        <v>0</v>
      </c>
      <c r="AZ2387" s="46">
        <f t="shared" si="114"/>
        <v>0</v>
      </c>
    </row>
    <row r="2388" spans="50:52">
      <c r="AX2388" s="46">
        <f t="shared" si="112"/>
        <v>0</v>
      </c>
      <c r="AY2388" s="46">
        <f t="shared" si="113"/>
        <v>0</v>
      </c>
      <c r="AZ2388" s="46">
        <f t="shared" si="114"/>
        <v>0</v>
      </c>
    </row>
    <row r="2389" spans="50:52">
      <c r="AX2389" s="46">
        <f t="shared" si="112"/>
        <v>0</v>
      </c>
      <c r="AY2389" s="46">
        <f t="shared" si="113"/>
        <v>0</v>
      </c>
      <c r="AZ2389" s="46">
        <f t="shared" si="114"/>
        <v>0</v>
      </c>
    </row>
    <row r="2390" spans="50:52">
      <c r="AX2390" s="46">
        <f t="shared" si="112"/>
        <v>0</v>
      </c>
      <c r="AY2390" s="46">
        <f t="shared" si="113"/>
        <v>0</v>
      </c>
      <c r="AZ2390" s="46">
        <f t="shared" si="114"/>
        <v>0</v>
      </c>
    </row>
    <row r="2391" spans="50:52">
      <c r="AX2391" s="46">
        <f t="shared" si="112"/>
        <v>0</v>
      </c>
      <c r="AY2391" s="46">
        <f t="shared" si="113"/>
        <v>0</v>
      </c>
      <c r="AZ2391" s="46">
        <f t="shared" si="114"/>
        <v>0</v>
      </c>
    </row>
    <row r="2392" spans="50:52">
      <c r="AX2392" s="46">
        <f t="shared" si="112"/>
        <v>0</v>
      </c>
      <c r="AY2392" s="46">
        <f t="shared" si="113"/>
        <v>0</v>
      </c>
      <c r="AZ2392" s="46">
        <f t="shared" si="114"/>
        <v>0</v>
      </c>
    </row>
    <row r="2393" spans="50:52">
      <c r="AX2393" s="46">
        <f t="shared" si="112"/>
        <v>0</v>
      </c>
      <c r="AY2393" s="46">
        <f t="shared" si="113"/>
        <v>0</v>
      </c>
      <c r="AZ2393" s="46">
        <f t="shared" si="114"/>
        <v>0</v>
      </c>
    </row>
    <row r="2394" spans="50:52">
      <c r="AX2394" s="46">
        <f t="shared" si="112"/>
        <v>0</v>
      </c>
      <c r="AY2394" s="46">
        <f t="shared" si="113"/>
        <v>0</v>
      </c>
      <c r="AZ2394" s="46">
        <f t="shared" si="114"/>
        <v>0</v>
      </c>
    </row>
    <row r="2395" spans="50:52">
      <c r="AX2395" s="46">
        <f t="shared" si="112"/>
        <v>0</v>
      </c>
      <c r="AY2395" s="46">
        <f t="shared" si="113"/>
        <v>0</v>
      </c>
      <c r="AZ2395" s="46">
        <f t="shared" si="114"/>
        <v>0</v>
      </c>
    </row>
    <row r="2396" spans="50:52">
      <c r="AX2396" s="46">
        <f t="shared" si="112"/>
        <v>0</v>
      </c>
      <c r="AY2396" s="46">
        <f t="shared" si="113"/>
        <v>0</v>
      </c>
      <c r="AZ2396" s="46">
        <f t="shared" si="114"/>
        <v>0</v>
      </c>
    </row>
    <row r="2397" spans="50:52">
      <c r="AX2397" s="46">
        <f t="shared" si="112"/>
        <v>0</v>
      </c>
      <c r="AY2397" s="46">
        <f t="shared" si="113"/>
        <v>0</v>
      </c>
      <c r="AZ2397" s="46">
        <f t="shared" si="114"/>
        <v>0</v>
      </c>
    </row>
    <row r="2398" spans="50:52">
      <c r="AX2398" s="46">
        <f t="shared" si="112"/>
        <v>0</v>
      </c>
      <c r="AY2398" s="46">
        <f t="shared" si="113"/>
        <v>0</v>
      </c>
      <c r="AZ2398" s="46">
        <f t="shared" si="114"/>
        <v>0</v>
      </c>
    </row>
    <row r="2399" spans="50:52">
      <c r="AX2399" s="46">
        <f t="shared" si="112"/>
        <v>0</v>
      </c>
      <c r="AY2399" s="46">
        <f t="shared" si="113"/>
        <v>0</v>
      </c>
      <c r="AZ2399" s="46">
        <f t="shared" si="114"/>
        <v>0</v>
      </c>
    </row>
    <row r="2400" spans="50:52">
      <c r="AX2400" s="46">
        <f t="shared" si="112"/>
        <v>0</v>
      </c>
      <c r="AY2400" s="46">
        <f t="shared" si="113"/>
        <v>0</v>
      </c>
      <c r="AZ2400" s="46">
        <f t="shared" si="114"/>
        <v>0</v>
      </c>
    </row>
    <row r="2401" spans="50:52">
      <c r="AX2401" s="46">
        <f t="shared" si="112"/>
        <v>0</v>
      </c>
      <c r="AY2401" s="46">
        <f t="shared" si="113"/>
        <v>0</v>
      </c>
      <c r="AZ2401" s="46">
        <f t="shared" si="114"/>
        <v>0</v>
      </c>
    </row>
    <row r="2402" spans="50:52">
      <c r="AX2402" s="46">
        <f t="shared" si="112"/>
        <v>0</v>
      </c>
      <c r="AY2402" s="46">
        <f t="shared" si="113"/>
        <v>0</v>
      </c>
      <c r="AZ2402" s="46">
        <f t="shared" si="114"/>
        <v>0</v>
      </c>
    </row>
    <row r="2403" spans="50:52">
      <c r="AX2403" s="46">
        <f t="shared" si="112"/>
        <v>0</v>
      </c>
      <c r="AY2403" s="46">
        <f t="shared" si="113"/>
        <v>0</v>
      </c>
      <c r="AZ2403" s="46">
        <f t="shared" si="114"/>
        <v>0</v>
      </c>
    </row>
    <row r="2404" spans="50:52">
      <c r="AX2404" s="46">
        <f t="shared" si="112"/>
        <v>0</v>
      </c>
      <c r="AY2404" s="46">
        <f t="shared" si="113"/>
        <v>0</v>
      </c>
      <c r="AZ2404" s="46">
        <f t="shared" si="114"/>
        <v>0</v>
      </c>
    </row>
    <row r="2405" spans="50:52">
      <c r="AX2405" s="46">
        <f t="shared" si="112"/>
        <v>0</v>
      </c>
      <c r="AY2405" s="46">
        <f t="shared" si="113"/>
        <v>0</v>
      </c>
      <c r="AZ2405" s="46">
        <f t="shared" si="114"/>
        <v>0</v>
      </c>
    </row>
    <row r="2406" spans="50:52">
      <c r="AX2406" s="46">
        <f t="shared" si="112"/>
        <v>0</v>
      </c>
      <c r="AY2406" s="46">
        <f t="shared" si="113"/>
        <v>0</v>
      </c>
      <c r="AZ2406" s="46">
        <f t="shared" si="114"/>
        <v>0</v>
      </c>
    </row>
    <row r="2407" spans="50:52">
      <c r="AX2407" s="46">
        <f t="shared" si="112"/>
        <v>0</v>
      </c>
      <c r="AY2407" s="46">
        <f t="shared" si="113"/>
        <v>0</v>
      </c>
      <c r="AZ2407" s="46">
        <f t="shared" si="114"/>
        <v>0</v>
      </c>
    </row>
    <row r="2408" spans="50:52">
      <c r="AX2408" s="46">
        <f t="shared" si="112"/>
        <v>0</v>
      </c>
      <c r="AY2408" s="46">
        <f t="shared" si="113"/>
        <v>0</v>
      </c>
      <c r="AZ2408" s="46">
        <f t="shared" si="114"/>
        <v>0</v>
      </c>
    </row>
    <row r="2409" spans="50:52">
      <c r="AX2409" s="46">
        <f t="shared" si="112"/>
        <v>0</v>
      </c>
      <c r="AY2409" s="46">
        <f t="shared" si="113"/>
        <v>0</v>
      </c>
      <c r="AZ2409" s="46">
        <f t="shared" si="114"/>
        <v>0</v>
      </c>
    </row>
    <row r="2410" spans="50:52">
      <c r="AX2410" s="46">
        <f t="shared" si="112"/>
        <v>0</v>
      </c>
      <c r="AY2410" s="46">
        <f t="shared" si="113"/>
        <v>0</v>
      </c>
      <c r="AZ2410" s="46">
        <f t="shared" si="114"/>
        <v>0</v>
      </c>
    </row>
    <row r="2411" spans="50:52">
      <c r="AX2411" s="46">
        <f t="shared" si="112"/>
        <v>0</v>
      </c>
      <c r="AY2411" s="46">
        <f t="shared" si="113"/>
        <v>0</v>
      </c>
      <c r="AZ2411" s="46">
        <f t="shared" si="114"/>
        <v>0</v>
      </c>
    </row>
    <row r="2412" spans="50:52">
      <c r="AX2412" s="46">
        <f t="shared" si="112"/>
        <v>0</v>
      </c>
      <c r="AY2412" s="46">
        <f t="shared" si="113"/>
        <v>0</v>
      </c>
      <c r="AZ2412" s="46">
        <f t="shared" si="114"/>
        <v>0</v>
      </c>
    </row>
    <row r="2413" spans="50:52">
      <c r="AX2413" s="46">
        <f t="shared" si="112"/>
        <v>0</v>
      </c>
      <c r="AY2413" s="46">
        <f t="shared" si="113"/>
        <v>0</v>
      </c>
      <c r="AZ2413" s="46">
        <f t="shared" si="114"/>
        <v>0</v>
      </c>
    </row>
    <row r="2414" spans="50:52">
      <c r="AX2414" s="46">
        <f t="shared" si="112"/>
        <v>0</v>
      </c>
      <c r="AY2414" s="46">
        <f t="shared" si="113"/>
        <v>0</v>
      </c>
      <c r="AZ2414" s="46">
        <f t="shared" si="114"/>
        <v>0</v>
      </c>
    </row>
    <row r="2415" spans="50:52">
      <c r="AX2415" s="46">
        <f t="shared" si="112"/>
        <v>0</v>
      </c>
      <c r="AY2415" s="46">
        <f t="shared" si="113"/>
        <v>0</v>
      </c>
      <c r="AZ2415" s="46">
        <f t="shared" si="114"/>
        <v>0</v>
      </c>
    </row>
    <row r="2416" spans="50:52">
      <c r="AX2416" s="46">
        <f t="shared" si="112"/>
        <v>0</v>
      </c>
      <c r="AY2416" s="46">
        <f t="shared" si="113"/>
        <v>0</v>
      </c>
      <c r="AZ2416" s="46">
        <f t="shared" si="114"/>
        <v>0</v>
      </c>
    </row>
    <row r="2417" spans="50:52">
      <c r="AX2417" s="46">
        <f t="shared" si="112"/>
        <v>0</v>
      </c>
      <c r="AY2417" s="46">
        <f t="shared" si="113"/>
        <v>0</v>
      </c>
      <c r="AZ2417" s="46">
        <f t="shared" si="114"/>
        <v>0</v>
      </c>
    </row>
    <row r="2418" spans="50:52">
      <c r="AX2418" s="46">
        <f t="shared" si="112"/>
        <v>0</v>
      </c>
      <c r="AY2418" s="46">
        <f t="shared" si="113"/>
        <v>0</v>
      </c>
      <c r="AZ2418" s="46">
        <f t="shared" si="114"/>
        <v>0</v>
      </c>
    </row>
    <row r="2419" spans="50:52">
      <c r="AX2419" s="46">
        <f t="shared" si="112"/>
        <v>0</v>
      </c>
      <c r="AY2419" s="46">
        <f t="shared" si="113"/>
        <v>0</v>
      </c>
      <c r="AZ2419" s="46">
        <f t="shared" si="114"/>
        <v>0</v>
      </c>
    </row>
    <row r="2420" spans="50:52">
      <c r="AX2420" s="46">
        <f t="shared" si="112"/>
        <v>0</v>
      </c>
      <c r="AY2420" s="46">
        <f t="shared" si="113"/>
        <v>0</v>
      </c>
      <c r="AZ2420" s="46">
        <f t="shared" si="114"/>
        <v>0</v>
      </c>
    </row>
    <row r="2421" spans="50:52">
      <c r="AX2421" s="46">
        <f t="shared" si="112"/>
        <v>0</v>
      </c>
      <c r="AY2421" s="46">
        <f t="shared" si="113"/>
        <v>0</v>
      </c>
      <c r="AZ2421" s="46">
        <f t="shared" si="114"/>
        <v>0</v>
      </c>
    </row>
    <row r="2422" spans="50:52">
      <c r="AX2422" s="46">
        <f t="shared" si="112"/>
        <v>0</v>
      </c>
      <c r="AY2422" s="46">
        <f t="shared" si="113"/>
        <v>0</v>
      </c>
      <c r="AZ2422" s="46">
        <f t="shared" si="114"/>
        <v>0</v>
      </c>
    </row>
    <row r="2423" spans="50:52">
      <c r="AX2423" s="46">
        <f t="shared" si="112"/>
        <v>0</v>
      </c>
      <c r="AY2423" s="46">
        <f t="shared" si="113"/>
        <v>0</v>
      </c>
      <c r="AZ2423" s="46">
        <f t="shared" si="114"/>
        <v>0</v>
      </c>
    </row>
    <row r="2424" spans="50:52">
      <c r="AX2424" s="46">
        <f t="shared" si="112"/>
        <v>0</v>
      </c>
      <c r="AY2424" s="46">
        <f t="shared" si="113"/>
        <v>0</v>
      </c>
      <c r="AZ2424" s="46">
        <f t="shared" si="114"/>
        <v>0</v>
      </c>
    </row>
    <row r="2425" spans="50:52">
      <c r="AX2425" s="46">
        <f t="shared" si="112"/>
        <v>0</v>
      </c>
      <c r="AY2425" s="46">
        <f t="shared" si="113"/>
        <v>0</v>
      </c>
      <c r="AZ2425" s="46">
        <f t="shared" si="114"/>
        <v>0</v>
      </c>
    </row>
    <row r="2426" spans="50:52">
      <c r="AX2426" s="46">
        <f t="shared" si="112"/>
        <v>0</v>
      </c>
      <c r="AY2426" s="46">
        <f t="shared" si="113"/>
        <v>0</v>
      </c>
      <c r="AZ2426" s="46">
        <f t="shared" si="114"/>
        <v>0</v>
      </c>
    </row>
    <row r="2427" spans="50:52">
      <c r="AX2427" s="46">
        <f t="shared" si="112"/>
        <v>0</v>
      </c>
      <c r="AY2427" s="46">
        <f t="shared" si="113"/>
        <v>0</v>
      </c>
      <c r="AZ2427" s="46">
        <f t="shared" si="114"/>
        <v>0</v>
      </c>
    </row>
    <row r="2428" spans="50:52">
      <c r="AX2428" s="46">
        <f t="shared" si="112"/>
        <v>0</v>
      </c>
      <c r="AY2428" s="46">
        <f t="shared" si="113"/>
        <v>0</v>
      </c>
      <c r="AZ2428" s="46">
        <f t="shared" si="114"/>
        <v>0</v>
      </c>
    </row>
    <row r="2429" spans="50:52">
      <c r="AX2429" s="46">
        <f t="shared" si="112"/>
        <v>0</v>
      </c>
      <c r="AY2429" s="46">
        <f t="shared" si="113"/>
        <v>0</v>
      </c>
      <c r="AZ2429" s="46">
        <f t="shared" si="114"/>
        <v>0</v>
      </c>
    </row>
    <row r="2430" spans="50:52">
      <c r="AX2430" s="46">
        <f t="shared" si="112"/>
        <v>0</v>
      </c>
      <c r="AY2430" s="46">
        <f t="shared" si="113"/>
        <v>0</v>
      </c>
      <c r="AZ2430" s="46">
        <f t="shared" si="114"/>
        <v>0</v>
      </c>
    </row>
    <row r="2431" spans="50:52">
      <c r="AX2431" s="46">
        <f t="shared" si="112"/>
        <v>0</v>
      </c>
      <c r="AY2431" s="46">
        <f t="shared" si="113"/>
        <v>0</v>
      </c>
      <c r="AZ2431" s="46">
        <f t="shared" si="114"/>
        <v>0</v>
      </c>
    </row>
    <row r="2432" spans="50:52">
      <c r="AX2432" s="46">
        <f t="shared" si="112"/>
        <v>0</v>
      </c>
      <c r="AY2432" s="46">
        <f t="shared" si="113"/>
        <v>0</v>
      </c>
      <c r="AZ2432" s="46">
        <f t="shared" si="114"/>
        <v>0</v>
      </c>
    </row>
    <row r="2433" spans="50:52">
      <c r="AX2433" s="46">
        <f t="shared" si="112"/>
        <v>0</v>
      </c>
      <c r="AY2433" s="46">
        <f t="shared" si="113"/>
        <v>0</v>
      </c>
      <c r="AZ2433" s="46">
        <f t="shared" si="114"/>
        <v>0</v>
      </c>
    </row>
    <row r="2434" spans="50:52">
      <c r="AX2434" s="46">
        <f t="shared" si="112"/>
        <v>0</v>
      </c>
      <c r="AY2434" s="46">
        <f t="shared" si="113"/>
        <v>0</v>
      </c>
      <c r="AZ2434" s="46">
        <f t="shared" si="114"/>
        <v>0</v>
      </c>
    </row>
    <row r="2435" spans="50:52">
      <c r="AX2435" s="46">
        <f t="shared" si="112"/>
        <v>0</v>
      </c>
      <c r="AY2435" s="46">
        <f t="shared" si="113"/>
        <v>0</v>
      </c>
      <c r="AZ2435" s="46">
        <f t="shared" si="114"/>
        <v>0</v>
      </c>
    </row>
    <row r="2436" spans="50:52">
      <c r="AX2436" s="46">
        <f t="shared" si="112"/>
        <v>0</v>
      </c>
      <c r="AY2436" s="46">
        <f t="shared" si="113"/>
        <v>0</v>
      </c>
      <c r="AZ2436" s="46">
        <f t="shared" si="114"/>
        <v>0</v>
      </c>
    </row>
    <row r="2437" spans="50:52">
      <c r="AX2437" s="46">
        <f t="shared" si="112"/>
        <v>0</v>
      </c>
      <c r="AY2437" s="46">
        <f t="shared" si="113"/>
        <v>0</v>
      </c>
      <c r="AZ2437" s="46">
        <f t="shared" si="114"/>
        <v>0</v>
      </c>
    </row>
    <row r="2438" spans="50:52">
      <c r="AX2438" s="46">
        <f t="shared" si="112"/>
        <v>0</v>
      </c>
      <c r="AY2438" s="46">
        <f t="shared" si="113"/>
        <v>0</v>
      </c>
      <c r="AZ2438" s="46">
        <f t="shared" si="114"/>
        <v>0</v>
      </c>
    </row>
    <row r="2439" spans="50:52">
      <c r="AX2439" s="46">
        <f t="shared" si="112"/>
        <v>0</v>
      </c>
      <c r="AY2439" s="46">
        <f t="shared" si="113"/>
        <v>0</v>
      </c>
      <c r="AZ2439" s="46">
        <f t="shared" si="114"/>
        <v>0</v>
      </c>
    </row>
    <row r="2440" spans="50:52">
      <c r="AX2440" s="46">
        <f t="shared" si="112"/>
        <v>0</v>
      </c>
      <c r="AY2440" s="46">
        <f t="shared" si="113"/>
        <v>0</v>
      </c>
      <c r="AZ2440" s="46">
        <f t="shared" si="114"/>
        <v>0</v>
      </c>
    </row>
    <row r="2441" spans="50:52">
      <c r="AX2441" s="46">
        <f t="shared" si="112"/>
        <v>0</v>
      </c>
      <c r="AY2441" s="46">
        <f t="shared" si="113"/>
        <v>0</v>
      </c>
      <c r="AZ2441" s="46">
        <f t="shared" si="114"/>
        <v>0</v>
      </c>
    </row>
    <row r="2442" spans="50:52">
      <c r="AX2442" s="46">
        <f t="shared" si="112"/>
        <v>0</v>
      </c>
      <c r="AY2442" s="46">
        <f t="shared" si="113"/>
        <v>0</v>
      </c>
      <c r="AZ2442" s="46">
        <f t="shared" si="114"/>
        <v>0</v>
      </c>
    </row>
    <row r="2443" spans="50:52">
      <c r="AX2443" s="46">
        <f t="shared" ref="AX2443:AX2506" si="115">IFERROR(SUM(Q2443:AS2443)-SUM(AT2443:AU2443)+AV2443,"-")</f>
        <v>0</v>
      </c>
      <c r="AY2443" s="46">
        <f t="shared" ref="AY2443:AY2506" si="116">IFERROR(SUM(Q2443:AS2443)-SUM(AT2443:AT2443),"-")</f>
        <v>0</v>
      </c>
      <c r="AZ2443" s="46">
        <f t="shared" ref="AZ2443:AZ2506" si="117">SUM(Q2443:AS2443)</f>
        <v>0</v>
      </c>
    </row>
    <row r="2444" spans="50:52">
      <c r="AX2444" s="46">
        <f t="shared" si="115"/>
        <v>0</v>
      </c>
      <c r="AY2444" s="46">
        <f t="shared" si="116"/>
        <v>0</v>
      </c>
      <c r="AZ2444" s="46">
        <f t="shared" si="117"/>
        <v>0</v>
      </c>
    </row>
    <row r="2445" spans="50:52">
      <c r="AX2445" s="46">
        <f t="shared" si="115"/>
        <v>0</v>
      </c>
      <c r="AY2445" s="46">
        <f t="shared" si="116"/>
        <v>0</v>
      </c>
      <c r="AZ2445" s="46">
        <f t="shared" si="117"/>
        <v>0</v>
      </c>
    </row>
    <row r="2446" spans="50:52">
      <c r="AX2446" s="46">
        <f t="shared" si="115"/>
        <v>0</v>
      </c>
      <c r="AY2446" s="46">
        <f t="shared" si="116"/>
        <v>0</v>
      </c>
      <c r="AZ2446" s="46">
        <f t="shared" si="117"/>
        <v>0</v>
      </c>
    </row>
    <row r="2447" spans="50:52">
      <c r="AX2447" s="46">
        <f t="shared" si="115"/>
        <v>0</v>
      </c>
      <c r="AY2447" s="46">
        <f t="shared" si="116"/>
        <v>0</v>
      </c>
      <c r="AZ2447" s="46">
        <f t="shared" si="117"/>
        <v>0</v>
      </c>
    </row>
    <row r="2448" spans="50:52">
      <c r="AX2448" s="46">
        <f t="shared" si="115"/>
        <v>0</v>
      </c>
      <c r="AY2448" s="46">
        <f t="shared" si="116"/>
        <v>0</v>
      </c>
      <c r="AZ2448" s="46">
        <f t="shared" si="117"/>
        <v>0</v>
      </c>
    </row>
    <row r="2449" spans="50:52">
      <c r="AX2449" s="46">
        <f t="shared" si="115"/>
        <v>0</v>
      </c>
      <c r="AY2449" s="46">
        <f t="shared" si="116"/>
        <v>0</v>
      </c>
      <c r="AZ2449" s="46">
        <f t="shared" si="117"/>
        <v>0</v>
      </c>
    </row>
    <row r="2450" spans="50:52">
      <c r="AX2450" s="46">
        <f t="shared" si="115"/>
        <v>0</v>
      </c>
      <c r="AY2450" s="46">
        <f t="shared" si="116"/>
        <v>0</v>
      </c>
      <c r="AZ2450" s="46">
        <f t="shared" si="117"/>
        <v>0</v>
      </c>
    </row>
    <row r="2451" spans="50:52">
      <c r="AX2451" s="46">
        <f t="shared" si="115"/>
        <v>0</v>
      </c>
      <c r="AY2451" s="46">
        <f t="shared" si="116"/>
        <v>0</v>
      </c>
      <c r="AZ2451" s="46">
        <f t="shared" si="117"/>
        <v>0</v>
      </c>
    </row>
    <row r="2452" spans="50:52">
      <c r="AX2452" s="46">
        <f t="shared" si="115"/>
        <v>0</v>
      </c>
      <c r="AY2452" s="46">
        <f t="shared" si="116"/>
        <v>0</v>
      </c>
      <c r="AZ2452" s="46">
        <f t="shared" si="117"/>
        <v>0</v>
      </c>
    </row>
    <row r="2453" spans="50:52">
      <c r="AX2453" s="46">
        <f t="shared" si="115"/>
        <v>0</v>
      </c>
      <c r="AY2453" s="46">
        <f t="shared" si="116"/>
        <v>0</v>
      </c>
      <c r="AZ2453" s="46">
        <f t="shared" si="117"/>
        <v>0</v>
      </c>
    </row>
    <row r="2454" spans="50:52">
      <c r="AX2454" s="46">
        <f t="shared" si="115"/>
        <v>0</v>
      </c>
      <c r="AY2454" s="46">
        <f t="shared" si="116"/>
        <v>0</v>
      </c>
      <c r="AZ2454" s="46">
        <f t="shared" si="117"/>
        <v>0</v>
      </c>
    </row>
    <row r="2455" spans="50:52">
      <c r="AX2455" s="46">
        <f t="shared" si="115"/>
        <v>0</v>
      </c>
      <c r="AY2455" s="46">
        <f t="shared" si="116"/>
        <v>0</v>
      </c>
      <c r="AZ2455" s="46">
        <f t="shared" si="117"/>
        <v>0</v>
      </c>
    </row>
    <row r="2456" spans="50:52">
      <c r="AX2456" s="46">
        <f t="shared" si="115"/>
        <v>0</v>
      </c>
      <c r="AY2456" s="46">
        <f t="shared" si="116"/>
        <v>0</v>
      </c>
      <c r="AZ2456" s="46">
        <f t="shared" si="117"/>
        <v>0</v>
      </c>
    </row>
    <row r="2457" spans="50:52">
      <c r="AX2457" s="46">
        <f t="shared" si="115"/>
        <v>0</v>
      </c>
      <c r="AY2457" s="46">
        <f t="shared" si="116"/>
        <v>0</v>
      </c>
      <c r="AZ2457" s="46">
        <f t="shared" si="117"/>
        <v>0</v>
      </c>
    </row>
    <row r="2458" spans="50:52">
      <c r="AX2458" s="46">
        <f t="shared" si="115"/>
        <v>0</v>
      </c>
      <c r="AY2458" s="46">
        <f t="shared" si="116"/>
        <v>0</v>
      </c>
      <c r="AZ2458" s="46">
        <f t="shared" si="117"/>
        <v>0</v>
      </c>
    </row>
    <row r="2459" spans="50:52">
      <c r="AX2459" s="46">
        <f t="shared" si="115"/>
        <v>0</v>
      </c>
      <c r="AY2459" s="46">
        <f t="shared" si="116"/>
        <v>0</v>
      </c>
      <c r="AZ2459" s="46">
        <f t="shared" si="117"/>
        <v>0</v>
      </c>
    </row>
    <row r="2460" spans="50:52">
      <c r="AX2460" s="46">
        <f t="shared" si="115"/>
        <v>0</v>
      </c>
      <c r="AY2460" s="46">
        <f t="shared" si="116"/>
        <v>0</v>
      </c>
      <c r="AZ2460" s="46">
        <f t="shared" si="117"/>
        <v>0</v>
      </c>
    </row>
    <row r="2461" spans="50:52">
      <c r="AX2461" s="46">
        <f t="shared" si="115"/>
        <v>0</v>
      </c>
      <c r="AY2461" s="46">
        <f t="shared" si="116"/>
        <v>0</v>
      </c>
      <c r="AZ2461" s="46">
        <f t="shared" si="117"/>
        <v>0</v>
      </c>
    </row>
    <row r="2462" spans="50:52">
      <c r="AX2462" s="46">
        <f t="shared" si="115"/>
        <v>0</v>
      </c>
      <c r="AY2462" s="46">
        <f t="shared" si="116"/>
        <v>0</v>
      </c>
      <c r="AZ2462" s="46">
        <f t="shared" si="117"/>
        <v>0</v>
      </c>
    </row>
    <row r="2463" spans="50:52">
      <c r="AX2463" s="46">
        <f t="shared" si="115"/>
        <v>0</v>
      </c>
      <c r="AY2463" s="46">
        <f t="shared" si="116"/>
        <v>0</v>
      </c>
      <c r="AZ2463" s="46">
        <f t="shared" si="117"/>
        <v>0</v>
      </c>
    </row>
    <row r="2464" spans="50:52">
      <c r="AX2464" s="46">
        <f t="shared" si="115"/>
        <v>0</v>
      </c>
      <c r="AY2464" s="46">
        <f t="shared" si="116"/>
        <v>0</v>
      </c>
      <c r="AZ2464" s="46">
        <f t="shared" si="117"/>
        <v>0</v>
      </c>
    </row>
    <row r="2465" spans="50:52">
      <c r="AX2465" s="46">
        <f t="shared" si="115"/>
        <v>0</v>
      </c>
      <c r="AY2465" s="46">
        <f t="shared" si="116"/>
        <v>0</v>
      </c>
      <c r="AZ2465" s="46">
        <f t="shared" si="117"/>
        <v>0</v>
      </c>
    </row>
    <row r="2466" spans="50:52">
      <c r="AX2466" s="46">
        <f t="shared" si="115"/>
        <v>0</v>
      </c>
      <c r="AY2466" s="46">
        <f t="shared" si="116"/>
        <v>0</v>
      </c>
      <c r="AZ2466" s="46">
        <f t="shared" si="117"/>
        <v>0</v>
      </c>
    </row>
    <row r="2467" spans="50:52">
      <c r="AX2467" s="46">
        <f t="shared" si="115"/>
        <v>0</v>
      </c>
      <c r="AY2467" s="46">
        <f t="shared" si="116"/>
        <v>0</v>
      </c>
      <c r="AZ2467" s="46">
        <f t="shared" si="117"/>
        <v>0</v>
      </c>
    </row>
    <row r="2468" spans="50:52">
      <c r="AX2468" s="46">
        <f t="shared" si="115"/>
        <v>0</v>
      </c>
      <c r="AY2468" s="46">
        <f t="shared" si="116"/>
        <v>0</v>
      </c>
      <c r="AZ2468" s="46">
        <f t="shared" si="117"/>
        <v>0</v>
      </c>
    </row>
    <row r="2469" spans="50:52">
      <c r="AX2469" s="46">
        <f t="shared" si="115"/>
        <v>0</v>
      </c>
      <c r="AY2469" s="46">
        <f t="shared" si="116"/>
        <v>0</v>
      </c>
      <c r="AZ2469" s="46">
        <f t="shared" si="117"/>
        <v>0</v>
      </c>
    </row>
    <row r="2470" spans="50:52">
      <c r="AX2470" s="46">
        <f t="shared" si="115"/>
        <v>0</v>
      </c>
      <c r="AY2470" s="46">
        <f t="shared" si="116"/>
        <v>0</v>
      </c>
      <c r="AZ2470" s="46">
        <f t="shared" si="117"/>
        <v>0</v>
      </c>
    </row>
    <row r="2471" spans="50:52">
      <c r="AX2471" s="46">
        <f t="shared" si="115"/>
        <v>0</v>
      </c>
      <c r="AY2471" s="46">
        <f t="shared" si="116"/>
        <v>0</v>
      </c>
      <c r="AZ2471" s="46">
        <f t="shared" si="117"/>
        <v>0</v>
      </c>
    </row>
    <row r="2472" spans="50:52">
      <c r="AX2472" s="46">
        <f t="shared" si="115"/>
        <v>0</v>
      </c>
      <c r="AY2472" s="46">
        <f t="shared" si="116"/>
        <v>0</v>
      </c>
      <c r="AZ2472" s="46">
        <f t="shared" si="117"/>
        <v>0</v>
      </c>
    </row>
    <row r="2473" spans="50:52">
      <c r="AX2473" s="46">
        <f t="shared" si="115"/>
        <v>0</v>
      </c>
      <c r="AY2473" s="46">
        <f t="shared" si="116"/>
        <v>0</v>
      </c>
      <c r="AZ2473" s="46">
        <f t="shared" si="117"/>
        <v>0</v>
      </c>
    </row>
    <row r="2474" spans="50:52">
      <c r="AX2474" s="46">
        <f t="shared" si="115"/>
        <v>0</v>
      </c>
      <c r="AY2474" s="46">
        <f t="shared" si="116"/>
        <v>0</v>
      </c>
      <c r="AZ2474" s="46">
        <f t="shared" si="117"/>
        <v>0</v>
      </c>
    </row>
    <row r="2475" spans="50:52">
      <c r="AX2475" s="46">
        <f t="shared" si="115"/>
        <v>0</v>
      </c>
      <c r="AY2475" s="46">
        <f t="shared" si="116"/>
        <v>0</v>
      </c>
      <c r="AZ2475" s="46">
        <f t="shared" si="117"/>
        <v>0</v>
      </c>
    </row>
    <row r="2476" spans="50:52">
      <c r="AX2476" s="46">
        <f t="shared" si="115"/>
        <v>0</v>
      </c>
      <c r="AY2476" s="46">
        <f t="shared" si="116"/>
        <v>0</v>
      </c>
      <c r="AZ2476" s="46">
        <f t="shared" si="117"/>
        <v>0</v>
      </c>
    </row>
    <row r="2477" spans="50:52">
      <c r="AX2477" s="46">
        <f t="shared" si="115"/>
        <v>0</v>
      </c>
      <c r="AY2477" s="46">
        <f t="shared" si="116"/>
        <v>0</v>
      </c>
      <c r="AZ2477" s="46">
        <f t="shared" si="117"/>
        <v>0</v>
      </c>
    </row>
    <row r="2478" spans="50:52">
      <c r="AX2478" s="46">
        <f t="shared" si="115"/>
        <v>0</v>
      </c>
      <c r="AY2478" s="46">
        <f t="shared" si="116"/>
        <v>0</v>
      </c>
      <c r="AZ2478" s="46">
        <f t="shared" si="117"/>
        <v>0</v>
      </c>
    </row>
    <row r="2479" spans="50:52">
      <c r="AX2479" s="46">
        <f t="shared" si="115"/>
        <v>0</v>
      </c>
      <c r="AY2479" s="46">
        <f t="shared" si="116"/>
        <v>0</v>
      </c>
      <c r="AZ2479" s="46">
        <f t="shared" si="117"/>
        <v>0</v>
      </c>
    </row>
    <row r="2480" spans="50:52">
      <c r="AX2480" s="46">
        <f t="shared" si="115"/>
        <v>0</v>
      </c>
      <c r="AY2480" s="46">
        <f t="shared" si="116"/>
        <v>0</v>
      </c>
      <c r="AZ2480" s="46">
        <f t="shared" si="117"/>
        <v>0</v>
      </c>
    </row>
    <row r="2481" spans="50:52">
      <c r="AX2481" s="46">
        <f t="shared" si="115"/>
        <v>0</v>
      </c>
      <c r="AY2481" s="46">
        <f t="shared" si="116"/>
        <v>0</v>
      </c>
      <c r="AZ2481" s="46">
        <f t="shared" si="117"/>
        <v>0</v>
      </c>
    </row>
    <row r="2482" spans="50:52">
      <c r="AX2482" s="46">
        <f t="shared" si="115"/>
        <v>0</v>
      </c>
      <c r="AY2482" s="46">
        <f t="shared" si="116"/>
        <v>0</v>
      </c>
      <c r="AZ2482" s="46">
        <f t="shared" si="117"/>
        <v>0</v>
      </c>
    </row>
    <row r="2483" spans="50:52">
      <c r="AX2483" s="46">
        <f t="shared" si="115"/>
        <v>0</v>
      </c>
      <c r="AY2483" s="46">
        <f t="shared" si="116"/>
        <v>0</v>
      </c>
      <c r="AZ2483" s="46">
        <f t="shared" si="117"/>
        <v>0</v>
      </c>
    </row>
    <row r="2484" spans="50:52">
      <c r="AX2484" s="46">
        <f t="shared" si="115"/>
        <v>0</v>
      </c>
      <c r="AY2484" s="46">
        <f t="shared" si="116"/>
        <v>0</v>
      </c>
      <c r="AZ2484" s="46">
        <f t="shared" si="117"/>
        <v>0</v>
      </c>
    </row>
    <row r="2485" spans="50:52">
      <c r="AX2485" s="46">
        <f t="shared" si="115"/>
        <v>0</v>
      </c>
      <c r="AY2485" s="46">
        <f t="shared" si="116"/>
        <v>0</v>
      </c>
      <c r="AZ2485" s="46">
        <f t="shared" si="117"/>
        <v>0</v>
      </c>
    </row>
    <row r="2486" spans="50:52">
      <c r="AX2486" s="46">
        <f t="shared" si="115"/>
        <v>0</v>
      </c>
      <c r="AY2486" s="46">
        <f t="shared" si="116"/>
        <v>0</v>
      </c>
      <c r="AZ2486" s="46">
        <f t="shared" si="117"/>
        <v>0</v>
      </c>
    </row>
    <row r="2487" spans="50:52">
      <c r="AX2487" s="46">
        <f t="shared" si="115"/>
        <v>0</v>
      </c>
      <c r="AY2487" s="46">
        <f t="shared" si="116"/>
        <v>0</v>
      </c>
      <c r="AZ2487" s="46">
        <f t="shared" si="117"/>
        <v>0</v>
      </c>
    </row>
    <row r="2488" spans="50:52">
      <c r="AX2488" s="46">
        <f t="shared" si="115"/>
        <v>0</v>
      </c>
      <c r="AY2488" s="46">
        <f t="shared" si="116"/>
        <v>0</v>
      </c>
      <c r="AZ2488" s="46">
        <f t="shared" si="117"/>
        <v>0</v>
      </c>
    </row>
    <row r="2489" spans="50:52">
      <c r="AX2489" s="46">
        <f t="shared" si="115"/>
        <v>0</v>
      </c>
      <c r="AY2489" s="46">
        <f t="shared" si="116"/>
        <v>0</v>
      </c>
      <c r="AZ2489" s="46">
        <f t="shared" si="117"/>
        <v>0</v>
      </c>
    </row>
    <row r="2490" spans="50:52">
      <c r="AX2490" s="46">
        <f t="shared" si="115"/>
        <v>0</v>
      </c>
      <c r="AY2490" s="46">
        <f t="shared" si="116"/>
        <v>0</v>
      </c>
      <c r="AZ2490" s="46">
        <f t="shared" si="117"/>
        <v>0</v>
      </c>
    </row>
    <row r="2491" spans="50:52">
      <c r="AX2491" s="46">
        <f t="shared" si="115"/>
        <v>0</v>
      </c>
      <c r="AY2491" s="46">
        <f t="shared" si="116"/>
        <v>0</v>
      </c>
      <c r="AZ2491" s="46">
        <f t="shared" si="117"/>
        <v>0</v>
      </c>
    </row>
    <row r="2492" spans="50:52">
      <c r="AX2492" s="46">
        <f t="shared" si="115"/>
        <v>0</v>
      </c>
      <c r="AY2492" s="46">
        <f t="shared" si="116"/>
        <v>0</v>
      </c>
      <c r="AZ2492" s="46">
        <f t="shared" si="117"/>
        <v>0</v>
      </c>
    </row>
    <row r="2493" spans="50:52">
      <c r="AX2493" s="46">
        <f t="shared" si="115"/>
        <v>0</v>
      </c>
      <c r="AY2493" s="46">
        <f t="shared" si="116"/>
        <v>0</v>
      </c>
      <c r="AZ2493" s="46">
        <f t="shared" si="117"/>
        <v>0</v>
      </c>
    </row>
    <row r="2494" spans="50:52">
      <c r="AX2494" s="46">
        <f t="shared" si="115"/>
        <v>0</v>
      </c>
      <c r="AY2494" s="46">
        <f t="shared" si="116"/>
        <v>0</v>
      </c>
      <c r="AZ2494" s="46">
        <f t="shared" si="117"/>
        <v>0</v>
      </c>
    </row>
    <row r="2495" spans="50:52">
      <c r="AX2495" s="46">
        <f t="shared" si="115"/>
        <v>0</v>
      </c>
      <c r="AY2495" s="46">
        <f t="shared" si="116"/>
        <v>0</v>
      </c>
      <c r="AZ2495" s="46">
        <f t="shared" si="117"/>
        <v>0</v>
      </c>
    </row>
    <row r="2496" spans="50:52">
      <c r="AX2496" s="46">
        <f t="shared" si="115"/>
        <v>0</v>
      </c>
      <c r="AY2496" s="46">
        <f t="shared" si="116"/>
        <v>0</v>
      </c>
      <c r="AZ2496" s="46">
        <f t="shared" si="117"/>
        <v>0</v>
      </c>
    </row>
    <row r="2497" spans="50:52">
      <c r="AX2497" s="46">
        <f t="shared" si="115"/>
        <v>0</v>
      </c>
      <c r="AY2497" s="46">
        <f t="shared" si="116"/>
        <v>0</v>
      </c>
      <c r="AZ2497" s="46">
        <f t="shared" si="117"/>
        <v>0</v>
      </c>
    </row>
    <row r="2498" spans="50:52">
      <c r="AX2498" s="46">
        <f t="shared" si="115"/>
        <v>0</v>
      </c>
      <c r="AY2498" s="46">
        <f t="shared" si="116"/>
        <v>0</v>
      </c>
      <c r="AZ2498" s="46">
        <f t="shared" si="117"/>
        <v>0</v>
      </c>
    </row>
    <row r="2499" spans="50:52">
      <c r="AX2499" s="46">
        <f t="shared" si="115"/>
        <v>0</v>
      </c>
      <c r="AY2499" s="46">
        <f t="shared" si="116"/>
        <v>0</v>
      </c>
      <c r="AZ2499" s="46">
        <f t="shared" si="117"/>
        <v>0</v>
      </c>
    </row>
    <row r="2500" spans="50:52">
      <c r="AX2500" s="46">
        <f t="shared" si="115"/>
        <v>0</v>
      </c>
      <c r="AY2500" s="46">
        <f t="shared" si="116"/>
        <v>0</v>
      </c>
      <c r="AZ2500" s="46">
        <f t="shared" si="117"/>
        <v>0</v>
      </c>
    </row>
    <row r="2501" spans="50:52">
      <c r="AX2501" s="46">
        <f t="shared" si="115"/>
        <v>0</v>
      </c>
      <c r="AY2501" s="46">
        <f t="shared" si="116"/>
        <v>0</v>
      </c>
      <c r="AZ2501" s="46">
        <f t="shared" si="117"/>
        <v>0</v>
      </c>
    </row>
    <row r="2502" spans="50:52">
      <c r="AX2502" s="46">
        <f t="shared" si="115"/>
        <v>0</v>
      </c>
      <c r="AY2502" s="46">
        <f t="shared" si="116"/>
        <v>0</v>
      </c>
      <c r="AZ2502" s="46">
        <f t="shared" si="117"/>
        <v>0</v>
      </c>
    </row>
    <row r="2503" spans="50:52">
      <c r="AX2503" s="46">
        <f t="shared" si="115"/>
        <v>0</v>
      </c>
      <c r="AY2503" s="46">
        <f t="shared" si="116"/>
        <v>0</v>
      </c>
      <c r="AZ2503" s="46">
        <f t="shared" si="117"/>
        <v>0</v>
      </c>
    </row>
    <row r="2504" spans="50:52">
      <c r="AX2504" s="46">
        <f t="shared" si="115"/>
        <v>0</v>
      </c>
      <c r="AY2504" s="46">
        <f t="shared" si="116"/>
        <v>0</v>
      </c>
      <c r="AZ2504" s="46">
        <f t="shared" si="117"/>
        <v>0</v>
      </c>
    </row>
    <row r="2505" spans="50:52">
      <c r="AX2505" s="46">
        <f t="shared" si="115"/>
        <v>0</v>
      </c>
      <c r="AY2505" s="46">
        <f t="shared" si="116"/>
        <v>0</v>
      </c>
      <c r="AZ2505" s="46">
        <f t="shared" si="117"/>
        <v>0</v>
      </c>
    </row>
    <row r="2506" spans="50:52">
      <c r="AX2506" s="46">
        <f t="shared" si="115"/>
        <v>0</v>
      </c>
      <c r="AY2506" s="46">
        <f t="shared" si="116"/>
        <v>0</v>
      </c>
      <c r="AZ2506" s="46">
        <f t="shared" si="117"/>
        <v>0</v>
      </c>
    </row>
    <row r="2507" spans="50:52">
      <c r="AX2507" s="46">
        <f t="shared" ref="AX2507:AX2570" si="118">IFERROR(SUM(Q2507:AS2507)-SUM(AT2507:AU2507)+AV2507,"-")</f>
        <v>0</v>
      </c>
      <c r="AY2507" s="46">
        <f t="shared" ref="AY2507:AY2570" si="119">IFERROR(SUM(Q2507:AS2507)-SUM(AT2507:AT2507),"-")</f>
        <v>0</v>
      </c>
      <c r="AZ2507" s="46">
        <f t="shared" ref="AZ2507:AZ2570" si="120">SUM(Q2507:AS2507)</f>
        <v>0</v>
      </c>
    </row>
    <row r="2508" spans="50:52">
      <c r="AX2508" s="46">
        <f t="shared" si="118"/>
        <v>0</v>
      </c>
      <c r="AY2508" s="46">
        <f t="shared" si="119"/>
        <v>0</v>
      </c>
      <c r="AZ2508" s="46">
        <f t="shared" si="120"/>
        <v>0</v>
      </c>
    </row>
    <row r="2509" spans="50:52">
      <c r="AX2509" s="46">
        <f t="shared" si="118"/>
        <v>0</v>
      </c>
      <c r="AY2509" s="46">
        <f t="shared" si="119"/>
        <v>0</v>
      </c>
      <c r="AZ2509" s="46">
        <f t="shared" si="120"/>
        <v>0</v>
      </c>
    </row>
    <row r="2510" spans="50:52">
      <c r="AX2510" s="46">
        <f t="shared" si="118"/>
        <v>0</v>
      </c>
      <c r="AY2510" s="46">
        <f t="shared" si="119"/>
        <v>0</v>
      </c>
      <c r="AZ2510" s="46">
        <f t="shared" si="120"/>
        <v>0</v>
      </c>
    </row>
    <row r="2511" spans="50:52">
      <c r="AX2511" s="46">
        <f t="shared" si="118"/>
        <v>0</v>
      </c>
      <c r="AY2511" s="46">
        <f t="shared" si="119"/>
        <v>0</v>
      </c>
      <c r="AZ2511" s="46">
        <f t="shared" si="120"/>
        <v>0</v>
      </c>
    </row>
    <row r="2512" spans="50:52">
      <c r="AX2512" s="46">
        <f t="shared" si="118"/>
        <v>0</v>
      </c>
      <c r="AY2512" s="46">
        <f t="shared" si="119"/>
        <v>0</v>
      </c>
      <c r="AZ2512" s="46">
        <f t="shared" si="120"/>
        <v>0</v>
      </c>
    </row>
    <row r="2513" spans="50:52">
      <c r="AX2513" s="46">
        <f t="shared" si="118"/>
        <v>0</v>
      </c>
      <c r="AY2513" s="46">
        <f t="shared" si="119"/>
        <v>0</v>
      </c>
      <c r="AZ2513" s="46">
        <f t="shared" si="120"/>
        <v>0</v>
      </c>
    </row>
    <row r="2514" spans="50:52">
      <c r="AX2514" s="46">
        <f t="shared" si="118"/>
        <v>0</v>
      </c>
      <c r="AY2514" s="46">
        <f t="shared" si="119"/>
        <v>0</v>
      </c>
      <c r="AZ2514" s="46">
        <f t="shared" si="120"/>
        <v>0</v>
      </c>
    </row>
    <row r="2515" spans="50:52">
      <c r="AX2515" s="46">
        <f t="shared" si="118"/>
        <v>0</v>
      </c>
      <c r="AY2515" s="46">
        <f t="shared" si="119"/>
        <v>0</v>
      </c>
      <c r="AZ2515" s="46">
        <f t="shared" si="120"/>
        <v>0</v>
      </c>
    </row>
    <row r="2516" spans="50:52">
      <c r="AX2516" s="46">
        <f t="shared" si="118"/>
        <v>0</v>
      </c>
      <c r="AY2516" s="46">
        <f t="shared" si="119"/>
        <v>0</v>
      </c>
      <c r="AZ2516" s="46">
        <f t="shared" si="120"/>
        <v>0</v>
      </c>
    </row>
    <row r="2517" spans="50:52">
      <c r="AX2517" s="46">
        <f t="shared" si="118"/>
        <v>0</v>
      </c>
      <c r="AY2517" s="46">
        <f t="shared" si="119"/>
        <v>0</v>
      </c>
      <c r="AZ2517" s="46">
        <f t="shared" si="120"/>
        <v>0</v>
      </c>
    </row>
    <row r="2518" spans="50:52">
      <c r="AX2518" s="46">
        <f t="shared" si="118"/>
        <v>0</v>
      </c>
      <c r="AY2518" s="46">
        <f t="shared" si="119"/>
        <v>0</v>
      </c>
      <c r="AZ2518" s="46">
        <f t="shared" si="120"/>
        <v>0</v>
      </c>
    </row>
    <row r="2519" spans="50:52">
      <c r="AX2519" s="46">
        <f t="shared" si="118"/>
        <v>0</v>
      </c>
      <c r="AY2519" s="46">
        <f t="shared" si="119"/>
        <v>0</v>
      </c>
      <c r="AZ2519" s="46">
        <f t="shared" si="120"/>
        <v>0</v>
      </c>
    </row>
    <row r="2520" spans="50:52">
      <c r="AX2520" s="46">
        <f t="shared" si="118"/>
        <v>0</v>
      </c>
      <c r="AY2520" s="46">
        <f t="shared" si="119"/>
        <v>0</v>
      </c>
      <c r="AZ2520" s="46">
        <f t="shared" si="120"/>
        <v>0</v>
      </c>
    </row>
    <row r="2521" spans="50:52">
      <c r="AX2521" s="46">
        <f t="shared" si="118"/>
        <v>0</v>
      </c>
      <c r="AY2521" s="46">
        <f t="shared" si="119"/>
        <v>0</v>
      </c>
      <c r="AZ2521" s="46">
        <f t="shared" si="120"/>
        <v>0</v>
      </c>
    </row>
    <row r="2522" spans="50:52">
      <c r="AX2522" s="46">
        <f t="shared" si="118"/>
        <v>0</v>
      </c>
      <c r="AY2522" s="46">
        <f t="shared" si="119"/>
        <v>0</v>
      </c>
      <c r="AZ2522" s="46">
        <f t="shared" si="120"/>
        <v>0</v>
      </c>
    </row>
    <row r="2523" spans="50:52">
      <c r="AX2523" s="46">
        <f t="shared" si="118"/>
        <v>0</v>
      </c>
      <c r="AY2523" s="46">
        <f t="shared" si="119"/>
        <v>0</v>
      </c>
      <c r="AZ2523" s="46">
        <f t="shared" si="120"/>
        <v>0</v>
      </c>
    </row>
    <row r="2524" spans="50:52">
      <c r="AX2524" s="46">
        <f t="shared" si="118"/>
        <v>0</v>
      </c>
      <c r="AY2524" s="46">
        <f t="shared" si="119"/>
        <v>0</v>
      </c>
      <c r="AZ2524" s="46">
        <f t="shared" si="120"/>
        <v>0</v>
      </c>
    </row>
    <row r="2525" spans="50:52">
      <c r="AX2525" s="46">
        <f t="shared" si="118"/>
        <v>0</v>
      </c>
      <c r="AY2525" s="46">
        <f t="shared" si="119"/>
        <v>0</v>
      </c>
      <c r="AZ2525" s="46">
        <f t="shared" si="120"/>
        <v>0</v>
      </c>
    </row>
    <row r="2526" spans="50:52">
      <c r="AX2526" s="46">
        <f t="shared" si="118"/>
        <v>0</v>
      </c>
      <c r="AY2526" s="46">
        <f t="shared" si="119"/>
        <v>0</v>
      </c>
      <c r="AZ2526" s="46">
        <f t="shared" si="120"/>
        <v>0</v>
      </c>
    </row>
    <row r="2527" spans="50:52">
      <c r="AX2527" s="46">
        <f t="shared" si="118"/>
        <v>0</v>
      </c>
      <c r="AY2527" s="46">
        <f t="shared" si="119"/>
        <v>0</v>
      </c>
      <c r="AZ2527" s="46">
        <f t="shared" si="120"/>
        <v>0</v>
      </c>
    </row>
    <row r="2528" spans="50:52">
      <c r="AX2528" s="46">
        <f t="shared" si="118"/>
        <v>0</v>
      </c>
      <c r="AY2528" s="46">
        <f t="shared" si="119"/>
        <v>0</v>
      </c>
      <c r="AZ2528" s="46">
        <f t="shared" si="120"/>
        <v>0</v>
      </c>
    </row>
    <row r="2529" spans="50:52">
      <c r="AX2529" s="46">
        <f t="shared" si="118"/>
        <v>0</v>
      </c>
      <c r="AY2529" s="46">
        <f t="shared" si="119"/>
        <v>0</v>
      </c>
      <c r="AZ2529" s="46">
        <f t="shared" si="120"/>
        <v>0</v>
      </c>
    </row>
    <row r="2530" spans="50:52">
      <c r="AX2530" s="46">
        <f t="shared" si="118"/>
        <v>0</v>
      </c>
      <c r="AY2530" s="46">
        <f t="shared" si="119"/>
        <v>0</v>
      </c>
      <c r="AZ2530" s="46">
        <f t="shared" si="120"/>
        <v>0</v>
      </c>
    </row>
    <row r="2531" spans="50:52">
      <c r="AX2531" s="46">
        <f t="shared" si="118"/>
        <v>0</v>
      </c>
      <c r="AY2531" s="46">
        <f t="shared" si="119"/>
        <v>0</v>
      </c>
      <c r="AZ2531" s="46">
        <f t="shared" si="120"/>
        <v>0</v>
      </c>
    </row>
    <row r="2532" spans="50:52">
      <c r="AX2532" s="46">
        <f t="shared" si="118"/>
        <v>0</v>
      </c>
      <c r="AY2532" s="46">
        <f t="shared" si="119"/>
        <v>0</v>
      </c>
      <c r="AZ2532" s="46">
        <f t="shared" si="120"/>
        <v>0</v>
      </c>
    </row>
    <row r="2533" spans="50:52">
      <c r="AX2533" s="46">
        <f t="shared" si="118"/>
        <v>0</v>
      </c>
      <c r="AY2533" s="46">
        <f t="shared" si="119"/>
        <v>0</v>
      </c>
      <c r="AZ2533" s="46">
        <f t="shared" si="120"/>
        <v>0</v>
      </c>
    </row>
    <row r="2534" spans="50:52">
      <c r="AX2534" s="46">
        <f t="shared" si="118"/>
        <v>0</v>
      </c>
      <c r="AY2534" s="46">
        <f t="shared" si="119"/>
        <v>0</v>
      </c>
      <c r="AZ2534" s="46">
        <f t="shared" si="120"/>
        <v>0</v>
      </c>
    </row>
    <row r="2535" spans="50:52">
      <c r="AX2535" s="46">
        <f t="shared" si="118"/>
        <v>0</v>
      </c>
      <c r="AY2535" s="46">
        <f t="shared" si="119"/>
        <v>0</v>
      </c>
      <c r="AZ2535" s="46">
        <f t="shared" si="120"/>
        <v>0</v>
      </c>
    </row>
    <row r="2536" spans="50:52">
      <c r="AX2536" s="46">
        <f t="shared" si="118"/>
        <v>0</v>
      </c>
      <c r="AY2536" s="46">
        <f t="shared" si="119"/>
        <v>0</v>
      </c>
      <c r="AZ2536" s="46">
        <f t="shared" si="120"/>
        <v>0</v>
      </c>
    </row>
    <row r="2537" spans="50:52">
      <c r="AX2537" s="46">
        <f t="shared" si="118"/>
        <v>0</v>
      </c>
      <c r="AY2537" s="46">
        <f t="shared" si="119"/>
        <v>0</v>
      </c>
      <c r="AZ2537" s="46">
        <f t="shared" si="120"/>
        <v>0</v>
      </c>
    </row>
    <row r="2538" spans="50:52">
      <c r="AX2538" s="46">
        <f t="shared" si="118"/>
        <v>0</v>
      </c>
      <c r="AY2538" s="46">
        <f t="shared" si="119"/>
        <v>0</v>
      </c>
      <c r="AZ2538" s="46">
        <f t="shared" si="120"/>
        <v>0</v>
      </c>
    </row>
    <row r="2539" spans="50:52">
      <c r="AX2539" s="46">
        <f t="shared" si="118"/>
        <v>0</v>
      </c>
      <c r="AY2539" s="46">
        <f t="shared" si="119"/>
        <v>0</v>
      </c>
      <c r="AZ2539" s="46">
        <f t="shared" si="120"/>
        <v>0</v>
      </c>
    </row>
    <row r="2540" spans="50:52">
      <c r="AX2540" s="46">
        <f t="shared" si="118"/>
        <v>0</v>
      </c>
      <c r="AY2540" s="46">
        <f t="shared" si="119"/>
        <v>0</v>
      </c>
      <c r="AZ2540" s="46">
        <f t="shared" si="120"/>
        <v>0</v>
      </c>
    </row>
    <row r="2541" spans="50:52">
      <c r="AX2541" s="46">
        <f t="shared" si="118"/>
        <v>0</v>
      </c>
      <c r="AY2541" s="46">
        <f t="shared" si="119"/>
        <v>0</v>
      </c>
      <c r="AZ2541" s="46">
        <f t="shared" si="120"/>
        <v>0</v>
      </c>
    </row>
    <row r="2542" spans="50:52">
      <c r="AX2542" s="46">
        <f t="shared" si="118"/>
        <v>0</v>
      </c>
      <c r="AY2542" s="46">
        <f t="shared" si="119"/>
        <v>0</v>
      </c>
      <c r="AZ2542" s="46">
        <f t="shared" si="120"/>
        <v>0</v>
      </c>
    </row>
    <row r="2543" spans="50:52">
      <c r="AX2543" s="46">
        <f t="shared" si="118"/>
        <v>0</v>
      </c>
      <c r="AY2543" s="46">
        <f t="shared" si="119"/>
        <v>0</v>
      </c>
      <c r="AZ2543" s="46">
        <f t="shared" si="120"/>
        <v>0</v>
      </c>
    </row>
    <row r="2544" spans="50:52">
      <c r="AX2544" s="46">
        <f t="shared" si="118"/>
        <v>0</v>
      </c>
      <c r="AY2544" s="46">
        <f t="shared" si="119"/>
        <v>0</v>
      </c>
      <c r="AZ2544" s="46">
        <f t="shared" si="120"/>
        <v>0</v>
      </c>
    </row>
    <row r="2545" spans="50:52">
      <c r="AX2545" s="46">
        <f t="shared" si="118"/>
        <v>0</v>
      </c>
      <c r="AY2545" s="46">
        <f t="shared" si="119"/>
        <v>0</v>
      </c>
      <c r="AZ2545" s="46">
        <f t="shared" si="120"/>
        <v>0</v>
      </c>
    </row>
    <row r="2546" spans="50:52">
      <c r="AX2546" s="46">
        <f t="shared" si="118"/>
        <v>0</v>
      </c>
      <c r="AY2546" s="46">
        <f t="shared" si="119"/>
        <v>0</v>
      </c>
      <c r="AZ2546" s="46">
        <f t="shared" si="120"/>
        <v>0</v>
      </c>
    </row>
    <row r="2547" spans="50:52">
      <c r="AX2547" s="46">
        <f t="shared" si="118"/>
        <v>0</v>
      </c>
      <c r="AY2547" s="46">
        <f t="shared" si="119"/>
        <v>0</v>
      </c>
      <c r="AZ2547" s="46">
        <f t="shared" si="120"/>
        <v>0</v>
      </c>
    </row>
    <row r="2548" spans="50:52">
      <c r="AX2548" s="46">
        <f t="shared" si="118"/>
        <v>0</v>
      </c>
      <c r="AY2548" s="46">
        <f t="shared" si="119"/>
        <v>0</v>
      </c>
      <c r="AZ2548" s="46">
        <f t="shared" si="120"/>
        <v>0</v>
      </c>
    </row>
    <row r="2549" spans="50:52">
      <c r="AX2549" s="46">
        <f t="shared" si="118"/>
        <v>0</v>
      </c>
      <c r="AY2549" s="46">
        <f t="shared" si="119"/>
        <v>0</v>
      </c>
      <c r="AZ2549" s="46">
        <f t="shared" si="120"/>
        <v>0</v>
      </c>
    </row>
    <row r="2550" spans="50:52">
      <c r="AX2550" s="46">
        <f t="shared" si="118"/>
        <v>0</v>
      </c>
      <c r="AY2550" s="46">
        <f t="shared" si="119"/>
        <v>0</v>
      </c>
      <c r="AZ2550" s="46">
        <f t="shared" si="120"/>
        <v>0</v>
      </c>
    </row>
    <row r="2551" spans="50:52">
      <c r="AX2551" s="46">
        <f t="shared" si="118"/>
        <v>0</v>
      </c>
      <c r="AY2551" s="46">
        <f t="shared" si="119"/>
        <v>0</v>
      </c>
      <c r="AZ2551" s="46">
        <f t="shared" si="120"/>
        <v>0</v>
      </c>
    </row>
    <row r="2552" spans="50:52">
      <c r="AX2552" s="46">
        <f t="shared" si="118"/>
        <v>0</v>
      </c>
      <c r="AY2552" s="46">
        <f t="shared" si="119"/>
        <v>0</v>
      </c>
      <c r="AZ2552" s="46">
        <f t="shared" si="120"/>
        <v>0</v>
      </c>
    </row>
    <row r="2553" spans="50:52">
      <c r="AX2553" s="46">
        <f t="shared" si="118"/>
        <v>0</v>
      </c>
      <c r="AY2553" s="46">
        <f t="shared" si="119"/>
        <v>0</v>
      </c>
      <c r="AZ2553" s="46">
        <f t="shared" si="120"/>
        <v>0</v>
      </c>
    </row>
    <row r="2554" spans="50:52">
      <c r="AX2554" s="46">
        <f t="shared" si="118"/>
        <v>0</v>
      </c>
      <c r="AY2554" s="46">
        <f t="shared" si="119"/>
        <v>0</v>
      </c>
      <c r="AZ2554" s="46">
        <f t="shared" si="120"/>
        <v>0</v>
      </c>
    </row>
    <row r="2555" spans="50:52">
      <c r="AX2555" s="46">
        <f t="shared" si="118"/>
        <v>0</v>
      </c>
      <c r="AY2555" s="46">
        <f t="shared" si="119"/>
        <v>0</v>
      </c>
      <c r="AZ2555" s="46">
        <f t="shared" si="120"/>
        <v>0</v>
      </c>
    </row>
    <row r="2556" spans="50:52">
      <c r="AX2556" s="46">
        <f t="shared" si="118"/>
        <v>0</v>
      </c>
      <c r="AY2556" s="46">
        <f t="shared" si="119"/>
        <v>0</v>
      </c>
      <c r="AZ2556" s="46">
        <f t="shared" si="120"/>
        <v>0</v>
      </c>
    </row>
    <row r="2557" spans="50:52">
      <c r="AX2557" s="46">
        <f t="shared" si="118"/>
        <v>0</v>
      </c>
      <c r="AY2557" s="46">
        <f t="shared" si="119"/>
        <v>0</v>
      </c>
      <c r="AZ2557" s="46">
        <f t="shared" si="120"/>
        <v>0</v>
      </c>
    </row>
    <row r="2558" spans="50:52">
      <c r="AX2558" s="46">
        <f t="shared" si="118"/>
        <v>0</v>
      </c>
      <c r="AY2558" s="46">
        <f t="shared" si="119"/>
        <v>0</v>
      </c>
      <c r="AZ2558" s="46">
        <f t="shared" si="120"/>
        <v>0</v>
      </c>
    </row>
    <row r="2559" spans="50:52">
      <c r="AX2559" s="46">
        <f t="shared" si="118"/>
        <v>0</v>
      </c>
      <c r="AY2559" s="46">
        <f t="shared" si="119"/>
        <v>0</v>
      </c>
      <c r="AZ2559" s="46">
        <f t="shared" si="120"/>
        <v>0</v>
      </c>
    </row>
    <row r="2560" spans="50:52">
      <c r="AX2560" s="46">
        <f t="shared" si="118"/>
        <v>0</v>
      </c>
      <c r="AY2560" s="46">
        <f t="shared" si="119"/>
        <v>0</v>
      </c>
      <c r="AZ2560" s="46">
        <f t="shared" si="120"/>
        <v>0</v>
      </c>
    </row>
    <row r="2561" spans="50:52">
      <c r="AX2561" s="46">
        <f t="shared" si="118"/>
        <v>0</v>
      </c>
      <c r="AY2561" s="46">
        <f t="shared" si="119"/>
        <v>0</v>
      </c>
      <c r="AZ2561" s="46">
        <f t="shared" si="120"/>
        <v>0</v>
      </c>
    </row>
    <row r="2562" spans="50:52">
      <c r="AX2562" s="46">
        <f t="shared" si="118"/>
        <v>0</v>
      </c>
      <c r="AY2562" s="46">
        <f t="shared" si="119"/>
        <v>0</v>
      </c>
      <c r="AZ2562" s="46">
        <f t="shared" si="120"/>
        <v>0</v>
      </c>
    </row>
    <row r="2563" spans="50:52">
      <c r="AX2563" s="46">
        <f t="shared" si="118"/>
        <v>0</v>
      </c>
      <c r="AY2563" s="46">
        <f t="shared" si="119"/>
        <v>0</v>
      </c>
      <c r="AZ2563" s="46">
        <f t="shared" si="120"/>
        <v>0</v>
      </c>
    </row>
    <row r="2564" spans="50:52">
      <c r="AX2564" s="46">
        <f t="shared" si="118"/>
        <v>0</v>
      </c>
      <c r="AY2564" s="46">
        <f t="shared" si="119"/>
        <v>0</v>
      </c>
      <c r="AZ2564" s="46">
        <f t="shared" si="120"/>
        <v>0</v>
      </c>
    </row>
    <row r="2565" spans="50:52">
      <c r="AX2565" s="46">
        <f t="shared" si="118"/>
        <v>0</v>
      </c>
      <c r="AY2565" s="46">
        <f t="shared" si="119"/>
        <v>0</v>
      </c>
      <c r="AZ2565" s="46">
        <f t="shared" si="120"/>
        <v>0</v>
      </c>
    </row>
    <row r="2566" spans="50:52">
      <c r="AX2566" s="46">
        <f t="shared" si="118"/>
        <v>0</v>
      </c>
      <c r="AY2566" s="46">
        <f t="shared" si="119"/>
        <v>0</v>
      </c>
      <c r="AZ2566" s="46">
        <f t="shared" si="120"/>
        <v>0</v>
      </c>
    </row>
    <row r="2567" spans="50:52">
      <c r="AX2567" s="46">
        <f t="shared" si="118"/>
        <v>0</v>
      </c>
      <c r="AY2567" s="46">
        <f t="shared" si="119"/>
        <v>0</v>
      </c>
      <c r="AZ2567" s="46">
        <f t="shared" si="120"/>
        <v>0</v>
      </c>
    </row>
    <row r="2568" spans="50:52">
      <c r="AX2568" s="46">
        <f t="shared" si="118"/>
        <v>0</v>
      </c>
      <c r="AY2568" s="46">
        <f t="shared" si="119"/>
        <v>0</v>
      </c>
      <c r="AZ2568" s="46">
        <f t="shared" si="120"/>
        <v>0</v>
      </c>
    </row>
    <row r="2569" spans="50:52">
      <c r="AX2569" s="46">
        <f t="shared" si="118"/>
        <v>0</v>
      </c>
      <c r="AY2569" s="46">
        <f t="shared" si="119"/>
        <v>0</v>
      </c>
      <c r="AZ2569" s="46">
        <f t="shared" si="120"/>
        <v>0</v>
      </c>
    </row>
    <row r="2570" spans="50:52">
      <c r="AX2570" s="46">
        <f t="shared" si="118"/>
        <v>0</v>
      </c>
      <c r="AY2570" s="46">
        <f t="shared" si="119"/>
        <v>0</v>
      </c>
      <c r="AZ2570" s="46">
        <f t="shared" si="120"/>
        <v>0</v>
      </c>
    </row>
    <row r="2571" spans="50:52">
      <c r="AX2571" s="46">
        <f t="shared" ref="AX2571:AX2634" si="121">IFERROR(SUM(Q2571:AS2571)-SUM(AT2571:AU2571)+AV2571,"-")</f>
        <v>0</v>
      </c>
      <c r="AY2571" s="46">
        <f t="shared" ref="AY2571:AY2634" si="122">IFERROR(SUM(Q2571:AS2571)-SUM(AT2571:AT2571),"-")</f>
        <v>0</v>
      </c>
      <c r="AZ2571" s="46">
        <f t="shared" ref="AZ2571:AZ2634" si="123">SUM(Q2571:AS2571)</f>
        <v>0</v>
      </c>
    </row>
    <row r="2572" spans="50:52">
      <c r="AX2572" s="46">
        <f t="shared" si="121"/>
        <v>0</v>
      </c>
      <c r="AY2572" s="46">
        <f t="shared" si="122"/>
        <v>0</v>
      </c>
      <c r="AZ2572" s="46">
        <f t="shared" si="123"/>
        <v>0</v>
      </c>
    </row>
    <row r="2573" spans="50:52">
      <c r="AX2573" s="46">
        <f t="shared" si="121"/>
        <v>0</v>
      </c>
      <c r="AY2573" s="46">
        <f t="shared" si="122"/>
        <v>0</v>
      </c>
      <c r="AZ2573" s="46">
        <f t="shared" si="123"/>
        <v>0</v>
      </c>
    </row>
    <row r="2574" spans="50:52">
      <c r="AX2574" s="46">
        <f t="shared" si="121"/>
        <v>0</v>
      </c>
      <c r="AY2574" s="46">
        <f t="shared" si="122"/>
        <v>0</v>
      </c>
      <c r="AZ2574" s="46">
        <f t="shared" si="123"/>
        <v>0</v>
      </c>
    </row>
    <row r="2575" spans="50:52">
      <c r="AX2575" s="46">
        <f t="shared" si="121"/>
        <v>0</v>
      </c>
      <c r="AY2575" s="46">
        <f t="shared" si="122"/>
        <v>0</v>
      </c>
      <c r="AZ2575" s="46">
        <f t="shared" si="123"/>
        <v>0</v>
      </c>
    </row>
    <row r="2576" spans="50:52">
      <c r="AX2576" s="46">
        <f t="shared" si="121"/>
        <v>0</v>
      </c>
      <c r="AY2576" s="46">
        <f t="shared" si="122"/>
        <v>0</v>
      </c>
      <c r="AZ2576" s="46">
        <f t="shared" si="123"/>
        <v>0</v>
      </c>
    </row>
    <row r="2577" spans="50:52">
      <c r="AX2577" s="46">
        <f t="shared" si="121"/>
        <v>0</v>
      </c>
      <c r="AY2577" s="46">
        <f t="shared" si="122"/>
        <v>0</v>
      </c>
      <c r="AZ2577" s="46">
        <f t="shared" si="123"/>
        <v>0</v>
      </c>
    </row>
    <row r="2578" spans="50:52">
      <c r="AX2578" s="46">
        <f t="shared" si="121"/>
        <v>0</v>
      </c>
      <c r="AY2578" s="46">
        <f t="shared" si="122"/>
        <v>0</v>
      </c>
      <c r="AZ2578" s="46">
        <f t="shared" si="123"/>
        <v>0</v>
      </c>
    </row>
    <row r="2579" spans="50:52">
      <c r="AX2579" s="46">
        <f t="shared" si="121"/>
        <v>0</v>
      </c>
      <c r="AY2579" s="46">
        <f t="shared" si="122"/>
        <v>0</v>
      </c>
      <c r="AZ2579" s="46">
        <f t="shared" si="123"/>
        <v>0</v>
      </c>
    </row>
    <row r="2580" spans="50:52">
      <c r="AX2580" s="46">
        <f t="shared" si="121"/>
        <v>0</v>
      </c>
      <c r="AY2580" s="46">
        <f t="shared" si="122"/>
        <v>0</v>
      </c>
      <c r="AZ2580" s="46">
        <f t="shared" si="123"/>
        <v>0</v>
      </c>
    </row>
    <row r="2581" spans="50:52">
      <c r="AX2581" s="46">
        <f t="shared" si="121"/>
        <v>0</v>
      </c>
      <c r="AY2581" s="46">
        <f t="shared" si="122"/>
        <v>0</v>
      </c>
      <c r="AZ2581" s="46">
        <f t="shared" si="123"/>
        <v>0</v>
      </c>
    </row>
    <row r="2582" spans="50:52">
      <c r="AX2582" s="46">
        <f t="shared" si="121"/>
        <v>0</v>
      </c>
      <c r="AY2582" s="46">
        <f t="shared" si="122"/>
        <v>0</v>
      </c>
      <c r="AZ2582" s="46">
        <f t="shared" si="123"/>
        <v>0</v>
      </c>
    </row>
    <row r="2583" spans="50:52">
      <c r="AX2583" s="46">
        <f t="shared" si="121"/>
        <v>0</v>
      </c>
      <c r="AY2583" s="46">
        <f t="shared" si="122"/>
        <v>0</v>
      </c>
      <c r="AZ2583" s="46">
        <f t="shared" si="123"/>
        <v>0</v>
      </c>
    </row>
    <row r="2584" spans="50:52">
      <c r="AX2584" s="46">
        <f t="shared" si="121"/>
        <v>0</v>
      </c>
      <c r="AY2584" s="46">
        <f t="shared" si="122"/>
        <v>0</v>
      </c>
      <c r="AZ2584" s="46">
        <f t="shared" si="123"/>
        <v>0</v>
      </c>
    </row>
    <row r="2585" spans="50:52">
      <c r="AX2585" s="46">
        <f t="shared" si="121"/>
        <v>0</v>
      </c>
      <c r="AY2585" s="46">
        <f t="shared" si="122"/>
        <v>0</v>
      </c>
      <c r="AZ2585" s="46">
        <f t="shared" si="123"/>
        <v>0</v>
      </c>
    </row>
    <row r="2586" spans="50:52">
      <c r="AX2586" s="46">
        <f t="shared" si="121"/>
        <v>0</v>
      </c>
      <c r="AY2586" s="46">
        <f t="shared" si="122"/>
        <v>0</v>
      </c>
      <c r="AZ2586" s="46">
        <f t="shared" si="123"/>
        <v>0</v>
      </c>
    </row>
    <row r="2587" spans="50:52">
      <c r="AX2587" s="46">
        <f t="shared" si="121"/>
        <v>0</v>
      </c>
      <c r="AY2587" s="46">
        <f t="shared" si="122"/>
        <v>0</v>
      </c>
      <c r="AZ2587" s="46">
        <f t="shared" si="123"/>
        <v>0</v>
      </c>
    </row>
    <row r="2588" spans="50:52">
      <c r="AX2588" s="46">
        <f t="shared" si="121"/>
        <v>0</v>
      </c>
      <c r="AY2588" s="46">
        <f t="shared" si="122"/>
        <v>0</v>
      </c>
      <c r="AZ2588" s="46">
        <f t="shared" si="123"/>
        <v>0</v>
      </c>
    </row>
    <row r="2589" spans="50:52">
      <c r="AX2589" s="46">
        <f t="shared" si="121"/>
        <v>0</v>
      </c>
      <c r="AY2589" s="46">
        <f t="shared" si="122"/>
        <v>0</v>
      </c>
      <c r="AZ2589" s="46">
        <f t="shared" si="123"/>
        <v>0</v>
      </c>
    </row>
    <row r="2590" spans="50:52">
      <c r="AX2590" s="46">
        <f t="shared" si="121"/>
        <v>0</v>
      </c>
      <c r="AY2590" s="46">
        <f t="shared" si="122"/>
        <v>0</v>
      </c>
      <c r="AZ2590" s="46">
        <f t="shared" si="123"/>
        <v>0</v>
      </c>
    </row>
    <row r="2591" spans="50:52">
      <c r="AX2591" s="46">
        <f t="shared" si="121"/>
        <v>0</v>
      </c>
      <c r="AY2591" s="46">
        <f t="shared" si="122"/>
        <v>0</v>
      </c>
      <c r="AZ2591" s="46">
        <f t="shared" si="123"/>
        <v>0</v>
      </c>
    </row>
    <row r="2592" spans="50:52">
      <c r="AX2592" s="46">
        <f t="shared" si="121"/>
        <v>0</v>
      </c>
      <c r="AY2592" s="46">
        <f t="shared" si="122"/>
        <v>0</v>
      </c>
      <c r="AZ2592" s="46">
        <f t="shared" si="123"/>
        <v>0</v>
      </c>
    </row>
    <row r="2593" spans="50:52">
      <c r="AX2593" s="46">
        <f t="shared" si="121"/>
        <v>0</v>
      </c>
      <c r="AY2593" s="46">
        <f t="shared" si="122"/>
        <v>0</v>
      </c>
      <c r="AZ2593" s="46">
        <f t="shared" si="123"/>
        <v>0</v>
      </c>
    </row>
    <row r="2594" spans="50:52">
      <c r="AX2594" s="46">
        <f t="shared" si="121"/>
        <v>0</v>
      </c>
      <c r="AY2594" s="46">
        <f t="shared" si="122"/>
        <v>0</v>
      </c>
      <c r="AZ2594" s="46">
        <f t="shared" si="123"/>
        <v>0</v>
      </c>
    </row>
    <row r="2595" spans="50:52">
      <c r="AX2595" s="46">
        <f t="shared" si="121"/>
        <v>0</v>
      </c>
      <c r="AY2595" s="46">
        <f t="shared" si="122"/>
        <v>0</v>
      </c>
      <c r="AZ2595" s="46">
        <f t="shared" si="123"/>
        <v>0</v>
      </c>
    </row>
    <row r="2596" spans="50:52">
      <c r="AX2596" s="46">
        <f t="shared" si="121"/>
        <v>0</v>
      </c>
      <c r="AY2596" s="46">
        <f t="shared" si="122"/>
        <v>0</v>
      </c>
      <c r="AZ2596" s="46">
        <f t="shared" si="123"/>
        <v>0</v>
      </c>
    </row>
    <row r="2597" spans="50:52">
      <c r="AX2597" s="46">
        <f t="shared" si="121"/>
        <v>0</v>
      </c>
      <c r="AY2597" s="46">
        <f t="shared" si="122"/>
        <v>0</v>
      </c>
      <c r="AZ2597" s="46">
        <f t="shared" si="123"/>
        <v>0</v>
      </c>
    </row>
    <row r="2598" spans="50:52">
      <c r="AX2598" s="46">
        <f t="shared" si="121"/>
        <v>0</v>
      </c>
      <c r="AY2598" s="46">
        <f t="shared" si="122"/>
        <v>0</v>
      </c>
      <c r="AZ2598" s="46">
        <f t="shared" si="123"/>
        <v>0</v>
      </c>
    </row>
    <row r="2599" spans="50:52">
      <c r="AX2599" s="46">
        <f t="shared" si="121"/>
        <v>0</v>
      </c>
      <c r="AY2599" s="46">
        <f t="shared" si="122"/>
        <v>0</v>
      </c>
      <c r="AZ2599" s="46">
        <f t="shared" si="123"/>
        <v>0</v>
      </c>
    </row>
    <row r="2600" spans="50:52">
      <c r="AX2600" s="46">
        <f t="shared" si="121"/>
        <v>0</v>
      </c>
      <c r="AY2600" s="46">
        <f t="shared" si="122"/>
        <v>0</v>
      </c>
      <c r="AZ2600" s="46">
        <f t="shared" si="123"/>
        <v>0</v>
      </c>
    </row>
    <row r="2601" spans="50:52">
      <c r="AX2601" s="46">
        <f t="shared" si="121"/>
        <v>0</v>
      </c>
      <c r="AY2601" s="46">
        <f t="shared" si="122"/>
        <v>0</v>
      </c>
      <c r="AZ2601" s="46">
        <f t="shared" si="123"/>
        <v>0</v>
      </c>
    </row>
    <row r="2602" spans="50:52">
      <c r="AX2602" s="46">
        <f t="shared" si="121"/>
        <v>0</v>
      </c>
      <c r="AY2602" s="46">
        <f t="shared" si="122"/>
        <v>0</v>
      </c>
      <c r="AZ2602" s="46">
        <f t="shared" si="123"/>
        <v>0</v>
      </c>
    </row>
    <row r="2603" spans="50:52">
      <c r="AX2603" s="46">
        <f t="shared" si="121"/>
        <v>0</v>
      </c>
      <c r="AY2603" s="46">
        <f t="shared" si="122"/>
        <v>0</v>
      </c>
      <c r="AZ2603" s="46">
        <f t="shared" si="123"/>
        <v>0</v>
      </c>
    </row>
    <row r="2604" spans="50:52">
      <c r="AX2604" s="46">
        <f t="shared" si="121"/>
        <v>0</v>
      </c>
      <c r="AY2604" s="46">
        <f t="shared" si="122"/>
        <v>0</v>
      </c>
      <c r="AZ2604" s="46">
        <f t="shared" si="123"/>
        <v>0</v>
      </c>
    </row>
    <row r="2605" spans="50:52">
      <c r="AX2605" s="46">
        <f t="shared" si="121"/>
        <v>0</v>
      </c>
      <c r="AY2605" s="46">
        <f t="shared" si="122"/>
        <v>0</v>
      </c>
      <c r="AZ2605" s="46">
        <f t="shared" si="123"/>
        <v>0</v>
      </c>
    </row>
    <row r="2606" spans="50:52">
      <c r="AX2606" s="46">
        <f t="shared" si="121"/>
        <v>0</v>
      </c>
      <c r="AY2606" s="46">
        <f t="shared" si="122"/>
        <v>0</v>
      </c>
      <c r="AZ2606" s="46">
        <f t="shared" si="123"/>
        <v>0</v>
      </c>
    </row>
    <row r="2607" spans="50:52">
      <c r="AX2607" s="46">
        <f t="shared" si="121"/>
        <v>0</v>
      </c>
      <c r="AY2607" s="46">
        <f t="shared" si="122"/>
        <v>0</v>
      </c>
      <c r="AZ2607" s="46">
        <f t="shared" si="123"/>
        <v>0</v>
      </c>
    </row>
    <row r="2608" spans="50:52">
      <c r="AX2608" s="46">
        <f t="shared" si="121"/>
        <v>0</v>
      </c>
      <c r="AY2608" s="46">
        <f t="shared" si="122"/>
        <v>0</v>
      </c>
      <c r="AZ2608" s="46">
        <f t="shared" si="123"/>
        <v>0</v>
      </c>
    </row>
    <row r="2609" spans="50:52">
      <c r="AX2609" s="46">
        <f t="shared" si="121"/>
        <v>0</v>
      </c>
      <c r="AY2609" s="46">
        <f t="shared" si="122"/>
        <v>0</v>
      </c>
      <c r="AZ2609" s="46">
        <f t="shared" si="123"/>
        <v>0</v>
      </c>
    </row>
    <row r="2610" spans="50:52">
      <c r="AX2610" s="46">
        <f t="shared" si="121"/>
        <v>0</v>
      </c>
      <c r="AY2610" s="46">
        <f t="shared" si="122"/>
        <v>0</v>
      </c>
      <c r="AZ2610" s="46">
        <f t="shared" si="123"/>
        <v>0</v>
      </c>
    </row>
    <row r="2611" spans="50:52">
      <c r="AX2611" s="46">
        <f t="shared" si="121"/>
        <v>0</v>
      </c>
      <c r="AY2611" s="46">
        <f t="shared" si="122"/>
        <v>0</v>
      </c>
      <c r="AZ2611" s="46">
        <f t="shared" si="123"/>
        <v>0</v>
      </c>
    </row>
    <row r="2612" spans="50:52">
      <c r="AX2612" s="46">
        <f t="shared" si="121"/>
        <v>0</v>
      </c>
      <c r="AY2612" s="46">
        <f t="shared" si="122"/>
        <v>0</v>
      </c>
      <c r="AZ2612" s="46">
        <f t="shared" si="123"/>
        <v>0</v>
      </c>
    </row>
    <row r="2613" spans="50:52">
      <c r="AX2613" s="46">
        <f t="shared" si="121"/>
        <v>0</v>
      </c>
      <c r="AY2613" s="46">
        <f t="shared" si="122"/>
        <v>0</v>
      </c>
      <c r="AZ2613" s="46">
        <f t="shared" si="123"/>
        <v>0</v>
      </c>
    </row>
    <row r="2614" spans="50:52">
      <c r="AX2614" s="46">
        <f t="shared" si="121"/>
        <v>0</v>
      </c>
      <c r="AY2614" s="46">
        <f t="shared" si="122"/>
        <v>0</v>
      </c>
      <c r="AZ2614" s="46">
        <f t="shared" si="123"/>
        <v>0</v>
      </c>
    </row>
    <row r="2615" spans="50:52">
      <c r="AX2615" s="46">
        <f t="shared" si="121"/>
        <v>0</v>
      </c>
      <c r="AY2615" s="46">
        <f t="shared" si="122"/>
        <v>0</v>
      </c>
      <c r="AZ2615" s="46">
        <f t="shared" si="123"/>
        <v>0</v>
      </c>
    </row>
    <row r="2616" spans="50:52">
      <c r="AX2616" s="46">
        <f t="shared" si="121"/>
        <v>0</v>
      </c>
      <c r="AY2616" s="46">
        <f t="shared" si="122"/>
        <v>0</v>
      </c>
      <c r="AZ2616" s="46">
        <f t="shared" si="123"/>
        <v>0</v>
      </c>
    </row>
    <row r="2617" spans="50:52">
      <c r="AX2617" s="46">
        <f t="shared" si="121"/>
        <v>0</v>
      </c>
      <c r="AY2617" s="46">
        <f t="shared" si="122"/>
        <v>0</v>
      </c>
      <c r="AZ2617" s="46">
        <f t="shared" si="123"/>
        <v>0</v>
      </c>
    </row>
    <row r="2618" spans="50:52">
      <c r="AX2618" s="46">
        <f t="shared" si="121"/>
        <v>0</v>
      </c>
      <c r="AY2618" s="46">
        <f t="shared" si="122"/>
        <v>0</v>
      </c>
      <c r="AZ2618" s="46">
        <f t="shared" si="123"/>
        <v>0</v>
      </c>
    </row>
    <row r="2619" spans="50:52">
      <c r="AX2619" s="46">
        <f t="shared" si="121"/>
        <v>0</v>
      </c>
      <c r="AY2619" s="46">
        <f t="shared" si="122"/>
        <v>0</v>
      </c>
      <c r="AZ2619" s="46">
        <f t="shared" si="123"/>
        <v>0</v>
      </c>
    </row>
    <row r="2620" spans="50:52">
      <c r="AX2620" s="46">
        <f t="shared" si="121"/>
        <v>0</v>
      </c>
      <c r="AY2620" s="46">
        <f t="shared" si="122"/>
        <v>0</v>
      </c>
      <c r="AZ2620" s="46">
        <f t="shared" si="123"/>
        <v>0</v>
      </c>
    </row>
    <row r="2621" spans="50:52">
      <c r="AX2621" s="46">
        <f t="shared" si="121"/>
        <v>0</v>
      </c>
      <c r="AY2621" s="46">
        <f t="shared" si="122"/>
        <v>0</v>
      </c>
      <c r="AZ2621" s="46">
        <f t="shared" si="123"/>
        <v>0</v>
      </c>
    </row>
    <row r="2622" spans="50:52">
      <c r="AX2622" s="46">
        <f t="shared" si="121"/>
        <v>0</v>
      </c>
      <c r="AY2622" s="46">
        <f t="shared" si="122"/>
        <v>0</v>
      </c>
      <c r="AZ2622" s="46">
        <f t="shared" si="123"/>
        <v>0</v>
      </c>
    </row>
    <row r="2623" spans="50:52">
      <c r="AX2623" s="46">
        <f t="shared" si="121"/>
        <v>0</v>
      </c>
      <c r="AY2623" s="46">
        <f t="shared" si="122"/>
        <v>0</v>
      </c>
      <c r="AZ2623" s="46">
        <f t="shared" si="123"/>
        <v>0</v>
      </c>
    </row>
    <row r="2624" spans="50:52">
      <c r="AX2624" s="46">
        <f t="shared" si="121"/>
        <v>0</v>
      </c>
      <c r="AY2624" s="46">
        <f t="shared" si="122"/>
        <v>0</v>
      </c>
      <c r="AZ2624" s="46">
        <f t="shared" si="123"/>
        <v>0</v>
      </c>
    </row>
    <row r="2625" spans="50:52">
      <c r="AX2625" s="46">
        <f t="shared" si="121"/>
        <v>0</v>
      </c>
      <c r="AY2625" s="46">
        <f t="shared" si="122"/>
        <v>0</v>
      </c>
      <c r="AZ2625" s="46">
        <f t="shared" si="123"/>
        <v>0</v>
      </c>
    </row>
    <row r="2626" spans="50:52">
      <c r="AX2626" s="46">
        <f t="shared" si="121"/>
        <v>0</v>
      </c>
      <c r="AY2626" s="46">
        <f t="shared" si="122"/>
        <v>0</v>
      </c>
      <c r="AZ2626" s="46">
        <f t="shared" si="123"/>
        <v>0</v>
      </c>
    </row>
    <row r="2627" spans="50:52">
      <c r="AX2627" s="46">
        <f t="shared" si="121"/>
        <v>0</v>
      </c>
      <c r="AY2627" s="46">
        <f t="shared" si="122"/>
        <v>0</v>
      </c>
      <c r="AZ2627" s="46">
        <f t="shared" si="123"/>
        <v>0</v>
      </c>
    </row>
    <row r="2628" spans="50:52">
      <c r="AX2628" s="46">
        <f t="shared" si="121"/>
        <v>0</v>
      </c>
      <c r="AY2628" s="46">
        <f t="shared" si="122"/>
        <v>0</v>
      </c>
      <c r="AZ2628" s="46">
        <f t="shared" si="123"/>
        <v>0</v>
      </c>
    </row>
    <row r="2629" spans="50:52">
      <c r="AX2629" s="46">
        <f t="shared" si="121"/>
        <v>0</v>
      </c>
      <c r="AY2629" s="46">
        <f t="shared" si="122"/>
        <v>0</v>
      </c>
      <c r="AZ2629" s="46">
        <f t="shared" si="123"/>
        <v>0</v>
      </c>
    </row>
    <row r="2630" spans="50:52">
      <c r="AX2630" s="46">
        <f t="shared" si="121"/>
        <v>0</v>
      </c>
      <c r="AY2630" s="46">
        <f t="shared" si="122"/>
        <v>0</v>
      </c>
      <c r="AZ2630" s="46">
        <f t="shared" si="123"/>
        <v>0</v>
      </c>
    </row>
    <row r="2631" spans="50:52">
      <c r="AX2631" s="46">
        <f t="shared" si="121"/>
        <v>0</v>
      </c>
      <c r="AY2631" s="46">
        <f t="shared" si="122"/>
        <v>0</v>
      </c>
      <c r="AZ2631" s="46">
        <f t="shared" si="123"/>
        <v>0</v>
      </c>
    </row>
    <row r="2632" spans="50:52">
      <c r="AX2632" s="46">
        <f t="shared" si="121"/>
        <v>0</v>
      </c>
      <c r="AY2632" s="46">
        <f t="shared" si="122"/>
        <v>0</v>
      </c>
      <c r="AZ2632" s="46">
        <f t="shared" si="123"/>
        <v>0</v>
      </c>
    </row>
    <row r="2633" spans="50:52">
      <c r="AX2633" s="46">
        <f t="shared" si="121"/>
        <v>0</v>
      </c>
      <c r="AY2633" s="46">
        <f t="shared" si="122"/>
        <v>0</v>
      </c>
      <c r="AZ2633" s="46">
        <f t="shared" si="123"/>
        <v>0</v>
      </c>
    </row>
    <row r="2634" spans="50:52">
      <c r="AX2634" s="46">
        <f t="shared" si="121"/>
        <v>0</v>
      </c>
      <c r="AY2634" s="46">
        <f t="shared" si="122"/>
        <v>0</v>
      </c>
      <c r="AZ2634" s="46">
        <f t="shared" si="123"/>
        <v>0</v>
      </c>
    </row>
    <row r="2635" spans="50:52">
      <c r="AX2635" s="46">
        <f t="shared" ref="AX2635:AX2698" si="124">IFERROR(SUM(Q2635:AS2635)-SUM(AT2635:AU2635)+AV2635,"-")</f>
        <v>0</v>
      </c>
      <c r="AY2635" s="46">
        <f t="shared" ref="AY2635:AY2698" si="125">IFERROR(SUM(Q2635:AS2635)-SUM(AT2635:AT2635),"-")</f>
        <v>0</v>
      </c>
      <c r="AZ2635" s="46">
        <f t="shared" ref="AZ2635:AZ2698" si="126">SUM(Q2635:AS2635)</f>
        <v>0</v>
      </c>
    </row>
    <row r="2636" spans="50:52">
      <c r="AX2636" s="46">
        <f t="shared" si="124"/>
        <v>0</v>
      </c>
      <c r="AY2636" s="46">
        <f t="shared" si="125"/>
        <v>0</v>
      </c>
      <c r="AZ2636" s="46">
        <f t="shared" si="126"/>
        <v>0</v>
      </c>
    </row>
    <row r="2637" spans="50:52">
      <c r="AX2637" s="46">
        <f t="shared" si="124"/>
        <v>0</v>
      </c>
      <c r="AY2637" s="46">
        <f t="shared" si="125"/>
        <v>0</v>
      </c>
      <c r="AZ2637" s="46">
        <f t="shared" si="126"/>
        <v>0</v>
      </c>
    </row>
    <row r="2638" spans="50:52">
      <c r="AX2638" s="46">
        <f t="shared" si="124"/>
        <v>0</v>
      </c>
      <c r="AY2638" s="46">
        <f t="shared" si="125"/>
        <v>0</v>
      </c>
      <c r="AZ2638" s="46">
        <f t="shared" si="126"/>
        <v>0</v>
      </c>
    </row>
    <row r="2639" spans="50:52">
      <c r="AX2639" s="46">
        <f t="shared" si="124"/>
        <v>0</v>
      </c>
      <c r="AY2639" s="46">
        <f t="shared" si="125"/>
        <v>0</v>
      </c>
      <c r="AZ2639" s="46">
        <f t="shared" si="126"/>
        <v>0</v>
      </c>
    </row>
    <row r="2640" spans="50:52">
      <c r="AX2640" s="46">
        <f t="shared" si="124"/>
        <v>0</v>
      </c>
      <c r="AY2640" s="46">
        <f t="shared" si="125"/>
        <v>0</v>
      </c>
      <c r="AZ2640" s="46">
        <f t="shared" si="126"/>
        <v>0</v>
      </c>
    </row>
    <row r="2641" spans="50:52">
      <c r="AX2641" s="46">
        <f t="shared" si="124"/>
        <v>0</v>
      </c>
      <c r="AY2641" s="46">
        <f t="shared" si="125"/>
        <v>0</v>
      </c>
      <c r="AZ2641" s="46">
        <f t="shared" si="126"/>
        <v>0</v>
      </c>
    </row>
    <row r="2642" spans="50:52">
      <c r="AX2642" s="46">
        <f t="shared" si="124"/>
        <v>0</v>
      </c>
      <c r="AY2642" s="46">
        <f t="shared" si="125"/>
        <v>0</v>
      </c>
      <c r="AZ2642" s="46">
        <f t="shared" si="126"/>
        <v>0</v>
      </c>
    </row>
    <row r="2643" spans="50:52">
      <c r="AX2643" s="46">
        <f t="shared" si="124"/>
        <v>0</v>
      </c>
      <c r="AY2643" s="46">
        <f t="shared" si="125"/>
        <v>0</v>
      </c>
      <c r="AZ2643" s="46">
        <f t="shared" si="126"/>
        <v>0</v>
      </c>
    </row>
    <row r="2644" spans="50:52">
      <c r="AX2644" s="46">
        <f t="shared" si="124"/>
        <v>0</v>
      </c>
      <c r="AY2644" s="46">
        <f t="shared" si="125"/>
        <v>0</v>
      </c>
      <c r="AZ2644" s="46">
        <f t="shared" si="126"/>
        <v>0</v>
      </c>
    </row>
    <row r="2645" spans="50:52">
      <c r="AX2645" s="46">
        <f t="shared" si="124"/>
        <v>0</v>
      </c>
      <c r="AY2645" s="46">
        <f t="shared" si="125"/>
        <v>0</v>
      </c>
      <c r="AZ2645" s="46">
        <f t="shared" si="126"/>
        <v>0</v>
      </c>
    </row>
    <row r="2646" spans="50:52">
      <c r="AX2646" s="46">
        <f t="shared" si="124"/>
        <v>0</v>
      </c>
      <c r="AY2646" s="46">
        <f t="shared" si="125"/>
        <v>0</v>
      </c>
      <c r="AZ2646" s="46">
        <f t="shared" si="126"/>
        <v>0</v>
      </c>
    </row>
    <row r="2647" spans="50:52">
      <c r="AX2647" s="46">
        <f t="shared" si="124"/>
        <v>0</v>
      </c>
      <c r="AY2647" s="46">
        <f t="shared" si="125"/>
        <v>0</v>
      </c>
      <c r="AZ2647" s="46">
        <f t="shared" si="126"/>
        <v>0</v>
      </c>
    </row>
    <row r="2648" spans="50:52">
      <c r="AX2648" s="46">
        <f t="shared" si="124"/>
        <v>0</v>
      </c>
      <c r="AY2648" s="46">
        <f t="shared" si="125"/>
        <v>0</v>
      </c>
      <c r="AZ2648" s="46">
        <f t="shared" si="126"/>
        <v>0</v>
      </c>
    </row>
    <row r="2649" spans="50:52">
      <c r="AX2649" s="46">
        <f t="shared" si="124"/>
        <v>0</v>
      </c>
      <c r="AY2649" s="46">
        <f t="shared" si="125"/>
        <v>0</v>
      </c>
      <c r="AZ2649" s="46">
        <f t="shared" si="126"/>
        <v>0</v>
      </c>
    </row>
    <row r="2650" spans="50:52">
      <c r="AX2650" s="46">
        <f t="shared" si="124"/>
        <v>0</v>
      </c>
      <c r="AY2650" s="46">
        <f t="shared" si="125"/>
        <v>0</v>
      </c>
      <c r="AZ2650" s="46">
        <f t="shared" si="126"/>
        <v>0</v>
      </c>
    </row>
    <row r="2651" spans="50:52">
      <c r="AX2651" s="46">
        <f t="shared" si="124"/>
        <v>0</v>
      </c>
      <c r="AY2651" s="46">
        <f t="shared" si="125"/>
        <v>0</v>
      </c>
      <c r="AZ2651" s="46">
        <f t="shared" si="126"/>
        <v>0</v>
      </c>
    </row>
    <row r="2652" spans="50:52">
      <c r="AX2652" s="46">
        <f t="shared" si="124"/>
        <v>0</v>
      </c>
      <c r="AY2652" s="46">
        <f t="shared" si="125"/>
        <v>0</v>
      </c>
      <c r="AZ2652" s="46">
        <f t="shared" si="126"/>
        <v>0</v>
      </c>
    </row>
    <row r="2653" spans="50:52">
      <c r="AX2653" s="46">
        <f t="shared" si="124"/>
        <v>0</v>
      </c>
      <c r="AY2653" s="46">
        <f t="shared" si="125"/>
        <v>0</v>
      </c>
      <c r="AZ2653" s="46">
        <f t="shared" si="126"/>
        <v>0</v>
      </c>
    </row>
    <row r="2654" spans="50:52">
      <c r="AX2654" s="46">
        <f t="shared" si="124"/>
        <v>0</v>
      </c>
      <c r="AY2654" s="46">
        <f t="shared" si="125"/>
        <v>0</v>
      </c>
      <c r="AZ2654" s="46">
        <f t="shared" si="126"/>
        <v>0</v>
      </c>
    </row>
    <row r="2655" spans="50:52">
      <c r="AX2655" s="46">
        <f t="shared" si="124"/>
        <v>0</v>
      </c>
      <c r="AY2655" s="46">
        <f t="shared" si="125"/>
        <v>0</v>
      </c>
      <c r="AZ2655" s="46">
        <f t="shared" si="126"/>
        <v>0</v>
      </c>
    </row>
    <row r="2656" spans="50:52">
      <c r="AX2656" s="46">
        <f t="shared" si="124"/>
        <v>0</v>
      </c>
      <c r="AY2656" s="46">
        <f t="shared" si="125"/>
        <v>0</v>
      </c>
      <c r="AZ2656" s="46">
        <f t="shared" si="126"/>
        <v>0</v>
      </c>
    </row>
    <row r="2657" spans="50:52">
      <c r="AX2657" s="46">
        <f t="shared" si="124"/>
        <v>0</v>
      </c>
      <c r="AY2657" s="46">
        <f t="shared" si="125"/>
        <v>0</v>
      </c>
      <c r="AZ2657" s="46">
        <f t="shared" si="126"/>
        <v>0</v>
      </c>
    </row>
    <row r="2658" spans="50:52">
      <c r="AX2658" s="46">
        <f t="shared" si="124"/>
        <v>0</v>
      </c>
      <c r="AY2658" s="46">
        <f t="shared" si="125"/>
        <v>0</v>
      </c>
      <c r="AZ2658" s="46">
        <f t="shared" si="126"/>
        <v>0</v>
      </c>
    </row>
    <row r="2659" spans="50:52">
      <c r="AX2659" s="46">
        <f t="shared" si="124"/>
        <v>0</v>
      </c>
      <c r="AY2659" s="46">
        <f t="shared" si="125"/>
        <v>0</v>
      </c>
      <c r="AZ2659" s="46">
        <f t="shared" si="126"/>
        <v>0</v>
      </c>
    </row>
    <row r="2660" spans="50:52">
      <c r="AX2660" s="46">
        <f t="shared" si="124"/>
        <v>0</v>
      </c>
      <c r="AY2660" s="46">
        <f t="shared" si="125"/>
        <v>0</v>
      </c>
      <c r="AZ2660" s="46">
        <f t="shared" si="126"/>
        <v>0</v>
      </c>
    </row>
    <row r="2661" spans="50:52">
      <c r="AX2661" s="46">
        <f t="shared" si="124"/>
        <v>0</v>
      </c>
      <c r="AY2661" s="46">
        <f t="shared" si="125"/>
        <v>0</v>
      </c>
      <c r="AZ2661" s="46">
        <f t="shared" si="126"/>
        <v>0</v>
      </c>
    </row>
    <row r="2662" spans="50:52">
      <c r="AX2662" s="46">
        <f t="shared" si="124"/>
        <v>0</v>
      </c>
      <c r="AY2662" s="46">
        <f t="shared" si="125"/>
        <v>0</v>
      </c>
      <c r="AZ2662" s="46">
        <f t="shared" si="126"/>
        <v>0</v>
      </c>
    </row>
    <row r="2663" spans="50:52">
      <c r="AX2663" s="46">
        <f t="shared" si="124"/>
        <v>0</v>
      </c>
      <c r="AY2663" s="46">
        <f t="shared" si="125"/>
        <v>0</v>
      </c>
      <c r="AZ2663" s="46">
        <f t="shared" si="126"/>
        <v>0</v>
      </c>
    </row>
    <row r="2664" spans="50:52">
      <c r="AX2664" s="46">
        <f t="shared" si="124"/>
        <v>0</v>
      </c>
      <c r="AY2664" s="46">
        <f t="shared" si="125"/>
        <v>0</v>
      </c>
      <c r="AZ2664" s="46">
        <f t="shared" si="126"/>
        <v>0</v>
      </c>
    </row>
    <row r="2665" spans="50:52">
      <c r="AX2665" s="46">
        <f t="shared" si="124"/>
        <v>0</v>
      </c>
      <c r="AY2665" s="46">
        <f t="shared" si="125"/>
        <v>0</v>
      </c>
      <c r="AZ2665" s="46">
        <f t="shared" si="126"/>
        <v>0</v>
      </c>
    </row>
    <row r="2666" spans="50:52">
      <c r="AX2666" s="46">
        <f t="shared" si="124"/>
        <v>0</v>
      </c>
      <c r="AY2666" s="46">
        <f t="shared" si="125"/>
        <v>0</v>
      </c>
      <c r="AZ2666" s="46">
        <f t="shared" si="126"/>
        <v>0</v>
      </c>
    </row>
    <row r="2667" spans="50:52">
      <c r="AX2667" s="46">
        <f t="shared" si="124"/>
        <v>0</v>
      </c>
      <c r="AY2667" s="46">
        <f t="shared" si="125"/>
        <v>0</v>
      </c>
      <c r="AZ2667" s="46">
        <f t="shared" si="126"/>
        <v>0</v>
      </c>
    </row>
    <row r="2668" spans="50:52">
      <c r="AX2668" s="46">
        <f t="shared" si="124"/>
        <v>0</v>
      </c>
      <c r="AY2668" s="46">
        <f t="shared" si="125"/>
        <v>0</v>
      </c>
      <c r="AZ2668" s="46">
        <f t="shared" si="126"/>
        <v>0</v>
      </c>
    </row>
    <row r="2669" spans="50:52">
      <c r="AX2669" s="46">
        <f t="shared" si="124"/>
        <v>0</v>
      </c>
      <c r="AY2669" s="46">
        <f t="shared" si="125"/>
        <v>0</v>
      </c>
      <c r="AZ2669" s="46">
        <f t="shared" si="126"/>
        <v>0</v>
      </c>
    </row>
    <row r="2670" spans="50:52">
      <c r="AX2670" s="46">
        <f t="shared" si="124"/>
        <v>0</v>
      </c>
      <c r="AY2670" s="46">
        <f t="shared" si="125"/>
        <v>0</v>
      </c>
      <c r="AZ2670" s="46">
        <f t="shared" si="126"/>
        <v>0</v>
      </c>
    </row>
    <row r="2671" spans="50:52">
      <c r="AX2671" s="46">
        <f t="shared" si="124"/>
        <v>0</v>
      </c>
      <c r="AY2671" s="46">
        <f t="shared" si="125"/>
        <v>0</v>
      </c>
      <c r="AZ2671" s="46">
        <f t="shared" si="126"/>
        <v>0</v>
      </c>
    </row>
    <row r="2672" spans="50:52">
      <c r="AX2672" s="46">
        <f t="shared" si="124"/>
        <v>0</v>
      </c>
      <c r="AY2672" s="46">
        <f t="shared" si="125"/>
        <v>0</v>
      </c>
      <c r="AZ2672" s="46">
        <f t="shared" si="126"/>
        <v>0</v>
      </c>
    </row>
    <row r="2673" spans="50:52">
      <c r="AX2673" s="46">
        <f t="shared" si="124"/>
        <v>0</v>
      </c>
      <c r="AY2673" s="46">
        <f t="shared" si="125"/>
        <v>0</v>
      </c>
      <c r="AZ2673" s="46">
        <f t="shared" si="126"/>
        <v>0</v>
      </c>
    </row>
    <row r="2674" spans="50:52">
      <c r="AX2674" s="46">
        <f t="shared" si="124"/>
        <v>0</v>
      </c>
      <c r="AY2674" s="46">
        <f t="shared" si="125"/>
        <v>0</v>
      </c>
      <c r="AZ2674" s="46">
        <f t="shared" si="126"/>
        <v>0</v>
      </c>
    </row>
    <row r="2675" spans="50:52">
      <c r="AX2675" s="46">
        <f t="shared" si="124"/>
        <v>0</v>
      </c>
      <c r="AY2675" s="46">
        <f t="shared" si="125"/>
        <v>0</v>
      </c>
      <c r="AZ2675" s="46">
        <f t="shared" si="126"/>
        <v>0</v>
      </c>
    </row>
    <row r="2676" spans="50:52">
      <c r="AX2676" s="46">
        <f t="shared" si="124"/>
        <v>0</v>
      </c>
      <c r="AY2676" s="46">
        <f t="shared" si="125"/>
        <v>0</v>
      </c>
      <c r="AZ2676" s="46">
        <f t="shared" si="126"/>
        <v>0</v>
      </c>
    </row>
    <row r="2677" spans="50:52">
      <c r="AX2677" s="46">
        <f t="shared" si="124"/>
        <v>0</v>
      </c>
      <c r="AY2677" s="46">
        <f t="shared" si="125"/>
        <v>0</v>
      </c>
      <c r="AZ2677" s="46">
        <f t="shared" si="126"/>
        <v>0</v>
      </c>
    </row>
    <row r="2678" spans="50:52">
      <c r="AX2678" s="46">
        <f t="shared" si="124"/>
        <v>0</v>
      </c>
      <c r="AY2678" s="46">
        <f t="shared" si="125"/>
        <v>0</v>
      </c>
      <c r="AZ2678" s="46">
        <f t="shared" si="126"/>
        <v>0</v>
      </c>
    </row>
    <row r="2679" spans="50:52">
      <c r="AX2679" s="46">
        <f t="shared" si="124"/>
        <v>0</v>
      </c>
      <c r="AY2679" s="46">
        <f t="shared" si="125"/>
        <v>0</v>
      </c>
      <c r="AZ2679" s="46">
        <f t="shared" si="126"/>
        <v>0</v>
      </c>
    </row>
    <row r="2680" spans="50:52">
      <c r="AX2680" s="46">
        <f t="shared" si="124"/>
        <v>0</v>
      </c>
      <c r="AY2680" s="46">
        <f t="shared" si="125"/>
        <v>0</v>
      </c>
      <c r="AZ2680" s="46">
        <f t="shared" si="126"/>
        <v>0</v>
      </c>
    </row>
    <row r="2681" spans="50:52">
      <c r="AX2681" s="46">
        <f t="shared" si="124"/>
        <v>0</v>
      </c>
      <c r="AY2681" s="46">
        <f t="shared" si="125"/>
        <v>0</v>
      </c>
      <c r="AZ2681" s="46">
        <f t="shared" si="126"/>
        <v>0</v>
      </c>
    </row>
    <row r="2682" spans="50:52">
      <c r="AX2682" s="46">
        <f t="shared" si="124"/>
        <v>0</v>
      </c>
      <c r="AY2682" s="46">
        <f t="shared" si="125"/>
        <v>0</v>
      </c>
      <c r="AZ2682" s="46">
        <f t="shared" si="126"/>
        <v>0</v>
      </c>
    </row>
    <row r="2683" spans="50:52">
      <c r="AX2683" s="46">
        <f t="shared" si="124"/>
        <v>0</v>
      </c>
      <c r="AY2683" s="46">
        <f t="shared" si="125"/>
        <v>0</v>
      </c>
      <c r="AZ2683" s="46">
        <f t="shared" si="126"/>
        <v>0</v>
      </c>
    </row>
    <row r="2684" spans="50:52">
      <c r="AX2684" s="46">
        <f t="shared" si="124"/>
        <v>0</v>
      </c>
      <c r="AY2684" s="46">
        <f t="shared" si="125"/>
        <v>0</v>
      </c>
      <c r="AZ2684" s="46">
        <f t="shared" si="126"/>
        <v>0</v>
      </c>
    </row>
    <row r="2685" spans="50:52">
      <c r="AX2685" s="46">
        <f t="shared" si="124"/>
        <v>0</v>
      </c>
      <c r="AY2685" s="46">
        <f t="shared" si="125"/>
        <v>0</v>
      </c>
      <c r="AZ2685" s="46">
        <f t="shared" si="126"/>
        <v>0</v>
      </c>
    </row>
    <row r="2686" spans="50:52">
      <c r="AX2686" s="46">
        <f t="shared" si="124"/>
        <v>0</v>
      </c>
      <c r="AY2686" s="46">
        <f t="shared" si="125"/>
        <v>0</v>
      </c>
      <c r="AZ2686" s="46">
        <f t="shared" si="126"/>
        <v>0</v>
      </c>
    </row>
    <row r="2687" spans="50:52">
      <c r="AX2687" s="46">
        <f t="shared" si="124"/>
        <v>0</v>
      </c>
      <c r="AY2687" s="46">
        <f t="shared" si="125"/>
        <v>0</v>
      </c>
      <c r="AZ2687" s="46">
        <f t="shared" si="126"/>
        <v>0</v>
      </c>
    </row>
    <row r="2688" spans="50:52">
      <c r="AX2688" s="46">
        <f t="shared" si="124"/>
        <v>0</v>
      </c>
      <c r="AY2688" s="46">
        <f t="shared" si="125"/>
        <v>0</v>
      </c>
      <c r="AZ2688" s="46">
        <f t="shared" si="126"/>
        <v>0</v>
      </c>
    </row>
    <row r="2689" spans="50:52">
      <c r="AX2689" s="46">
        <f t="shared" si="124"/>
        <v>0</v>
      </c>
      <c r="AY2689" s="46">
        <f t="shared" si="125"/>
        <v>0</v>
      </c>
      <c r="AZ2689" s="46">
        <f t="shared" si="126"/>
        <v>0</v>
      </c>
    </row>
    <row r="2690" spans="50:52">
      <c r="AX2690" s="46">
        <f t="shared" si="124"/>
        <v>0</v>
      </c>
      <c r="AY2690" s="46">
        <f t="shared" si="125"/>
        <v>0</v>
      </c>
      <c r="AZ2690" s="46">
        <f t="shared" si="126"/>
        <v>0</v>
      </c>
    </row>
    <row r="2691" spans="50:52">
      <c r="AX2691" s="46">
        <f t="shared" si="124"/>
        <v>0</v>
      </c>
      <c r="AY2691" s="46">
        <f t="shared" si="125"/>
        <v>0</v>
      </c>
      <c r="AZ2691" s="46">
        <f t="shared" si="126"/>
        <v>0</v>
      </c>
    </row>
    <row r="2692" spans="50:52">
      <c r="AX2692" s="46">
        <f t="shared" si="124"/>
        <v>0</v>
      </c>
      <c r="AY2692" s="46">
        <f t="shared" si="125"/>
        <v>0</v>
      </c>
      <c r="AZ2692" s="46">
        <f t="shared" si="126"/>
        <v>0</v>
      </c>
    </row>
    <row r="2693" spans="50:52">
      <c r="AX2693" s="46">
        <f t="shared" si="124"/>
        <v>0</v>
      </c>
      <c r="AY2693" s="46">
        <f t="shared" si="125"/>
        <v>0</v>
      </c>
      <c r="AZ2693" s="46">
        <f t="shared" si="126"/>
        <v>0</v>
      </c>
    </row>
    <row r="2694" spans="50:52">
      <c r="AX2694" s="46">
        <f t="shared" si="124"/>
        <v>0</v>
      </c>
      <c r="AY2694" s="46">
        <f t="shared" si="125"/>
        <v>0</v>
      </c>
      <c r="AZ2694" s="46">
        <f t="shared" si="126"/>
        <v>0</v>
      </c>
    </row>
    <row r="2695" spans="50:52">
      <c r="AX2695" s="46">
        <f t="shared" si="124"/>
        <v>0</v>
      </c>
      <c r="AY2695" s="46">
        <f t="shared" si="125"/>
        <v>0</v>
      </c>
      <c r="AZ2695" s="46">
        <f t="shared" si="126"/>
        <v>0</v>
      </c>
    </row>
    <row r="2696" spans="50:52">
      <c r="AX2696" s="46">
        <f t="shared" si="124"/>
        <v>0</v>
      </c>
      <c r="AY2696" s="46">
        <f t="shared" si="125"/>
        <v>0</v>
      </c>
      <c r="AZ2696" s="46">
        <f t="shared" si="126"/>
        <v>0</v>
      </c>
    </row>
    <row r="2697" spans="50:52">
      <c r="AX2697" s="46">
        <f t="shared" si="124"/>
        <v>0</v>
      </c>
      <c r="AY2697" s="46">
        <f t="shared" si="125"/>
        <v>0</v>
      </c>
      <c r="AZ2697" s="46">
        <f t="shared" si="126"/>
        <v>0</v>
      </c>
    </row>
    <row r="2698" spans="50:52">
      <c r="AX2698" s="46">
        <f t="shared" si="124"/>
        <v>0</v>
      </c>
      <c r="AY2698" s="46">
        <f t="shared" si="125"/>
        <v>0</v>
      </c>
      <c r="AZ2698" s="46">
        <f t="shared" si="126"/>
        <v>0</v>
      </c>
    </row>
    <row r="2699" spans="50:52">
      <c r="AX2699" s="46">
        <f t="shared" ref="AX2699:AX2762" si="127">IFERROR(SUM(Q2699:AS2699)-SUM(AT2699:AU2699)+AV2699,"-")</f>
        <v>0</v>
      </c>
      <c r="AY2699" s="46">
        <f t="shared" ref="AY2699:AY2762" si="128">IFERROR(SUM(Q2699:AS2699)-SUM(AT2699:AT2699),"-")</f>
        <v>0</v>
      </c>
      <c r="AZ2699" s="46">
        <f t="shared" ref="AZ2699:AZ2762" si="129">SUM(Q2699:AS2699)</f>
        <v>0</v>
      </c>
    </row>
    <row r="2700" spans="50:52">
      <c r="AX2700" s="46">
        <f t="shared" si="127"/>
        <v>0</v>
      </c>
      <c r="AY2700" s="46">
        <f t="shared" si="128"/>
        <v>0</v>
      </c>
      <c r="AZ2700" s="46">
        <f t="shared" si="129"/>
        <v>0</v>
      </c>
    </row>
    <row r="2701" spans="50:52">
      <c r="AX2701" s="46">
        <f t="shared" si="127"/>
        <v>0</v>
      </c>
      <c r="AY2701" s="46">
        <f t="shared" si="128"/>
        <v>0</v>
      </c>
      <c r="AZ2701" s="46">
        <f t="shared" si="129"/>
        <v>0</v>
      </c>
    </row>
    <row r="2702" spans="50:52">
      <c r="AX2702" s="46">
        <f t="shared" si="127"/>
        <v>0</v>
      </c>
      <c r="AY2702" s="46">
        <f t="shared" si="128"/>
        <v>0</v>
      </c>
      <c r="AZ2702" s="46">
        <f t="shared" si="129"/>
        <v>0</v>
      </c>
    </row>
    <row r="2703" spans="50:52">
      <c r="AX2703" s="46">
        <f t="shared" si="127"/>
        <v>0</v>
      </c>
      <c r="AY2703" s="46">
        <f t="shared" si="128"/>
        <v>0</v>
      </c>
      <c r="AZ2703" s="46">
        <f t="shared" si="129"/>
        <v>0</v>
      </c>
    </row>
    <row r="2704" spans="50:52">
      <c r="AX2704" s="46">
        <f t="shared" si="127"/>
        <v>0</v>
      </c>
      <c r="AY2704" s="46">
        <f t="shared" si="128"/>
        <v>0</v>
      </c>
      <c r="AZ2704" s="46">
        <f t="shared" si="129"/>
        <v>0</v>
      </c>
    </row>
    <row r="2705" spans="50:52">
      <c r="AX2705" s="46">
        <f t="shared" si="127"/>
        <v>0</v>
      </c>
      <c r="AY2705" s="46">
        <f t="shared" si="128"/>
        <v>0</v>
      </c>
      <c r="AZ2705" s="46">
        <f t="shared" si="129"/>
        <v>0</v>
      </c>
    </row>
    <row r="2706" spans="50:52">
      <c r="AX2706" s="46">
        <f t="shared" si="127"/>
        <v>0</v>
      </c>
      <c r="AY2706" s="46">
        <f t="shared" si="128"/>
        <v>0</v>
      </c>
      <c r="AZ2706" s="46">
        <f t="shared" si="129"/>
        <v>0</v>
      </c>
    </row>
    <row r="2707" spans="50:52">
      <c r="AX2707" s="46">
        <f t="shared" si="127"/>
        <v>0</v>
      </c>
      <c r="AY2707" s="46">
        <f t="shared" si="128"/>
        <v>0</v>
      </c>
      <c r="AZ2707" s="46">
        <f t="shared" si="129"/>
        <v>0</v>
      </c>
    </row>
    <row r="2708" spans="50:52">
      <c r="AX2708" s="46">
        <f t="shared" si="127"/>
        <v>0</v>
      </c>
      <c r="AY2708" s="46">
        <f t="shared" si="128"/>
        <v>0</v>
      </c>
      <c r="AZ2708" s="46">
        <f t="shared" si="129"/>
        <v>0</v>
      </c>
    </row>
    <row r="2709" spans="50:52">
      <c r="AX2709" s="46">
        <f t="shared" si="127"/>
        <v>0</v>
      </c>
      <c r="AY2709" s="46">
        <f t="shared" si="128"/>
        <v>0</v>
      </c>
      <c r="AZ2709" s="46">
        <f t="shared" si="129"/>
        <v>0</v>
      </c>
    </row>
    <row r="2710" spans="50:52">
      <c r="AX2710" s="46">
        <f t="shared" si="127"/>
        <v>0</v>
      </c>
      <c r="AY2710" s="46">
        <f t="shared" si="128"/>
        <v>0</v>
      </c>
      <c r="AZ2710" s="46">
        <f t="shared" si="129"/>
        <v>0</v>
      </c>
    </row>
    <row r="2711" spans="50:52">
      <c r="AX2711" s="46">
        <f t="shared" si="127"/>
        <v>0</v>
      </c>
      <c r="AY2711" s="46">
        <f t="shared" si="128"/>
        <v>0</v>
      </c>
      <c r="AZ2711" s="46">
        <f t="shared" si="129"/>
        <v>0</v>
      </c>
    </row>
    <row r="2712" spans="50:52">
      <c r="AX2712" s="46">
        <f t="shared" si="127"/>
        <v>0</v>
      </c>
      <c r="AY2712" s="46">
        <f t="shared" si="128"/>
        <v>0</v>
      </c>
      <c r="AZ2712" s="46">
        <f t="shared" si="129"/>
        <v>0</v>
      </c>
    </row>
    <row r="2713" spans="50:52">
      <c r="AX2713" s="46">
        <f t="shared" si="127"/>
        <v>0</v>
      </c>
      <c r="AY2713" s="46">
        <f t="shared" si="128"/>
        <v>0</v>
      </c>
      <c r="AZ2713" s="46">
        <f t="shared" si="129"/>
        <v>0</v>
      </c>
    </row>
    <row r="2714" spans="50:52">
      <c r="AX2714" s="46">
        <f t="shared" si="127"/>
        <v>0</v>
      </c>
      <c r="AY2714" s="46">
        <f t="shared" si="128"/>
        <v>0</v>
      </c>
      <c r="AZ2714" s="46">
        <f t="shared" si="129"/>
        <v>0</v>
      </c>
    </row>
    <row r="2715" spans="50:52">
      <c r="AX2715" s="46">
        <f t="shared" si="127"/>
        <v>0</v>
      </c>
      <c r="AY2715" s="46">
        <f t="shared" si="128"/>
        <v>0</v>
      </c>
      <c r="AZ2715" s="46">
        <f t="shared" si="129"/>
        <v>0</v>
      </c>
    </row>
    <row r="2716" spans="50:52">
      <c r="AX2716" s="46">
        <f t="shared" si="127"/>
        <v>0</v>
      </c>
      <c r="AY2716" s="46">
        <f t="shared" si="128"/>
        <v>0</v>
      </c>
      <c r="AZ2716" s="46">
        <f t="shared" si="129"/>
        <v>0</v>
      </c>
    </row>
    <row r="2717" spans="50:52">
      <c r="AX2717" s="46">
        <f t="shared" si="127"/>
        <v>0</v>
      </c>
      <c r="AY2717" s="46">
        <f t="shared" si="128"/>
        <v>0</v>
      </c>
      <c r="AZ2717" s="46">
        <f t="shared" si="129"/>
        <v>0</v>
      </c>
    </row>
    <row r="2718" spans="50:52">
      <c r="AX2718" s="46">
        <f t="shared" si="127"/>
        <v>0</v>
      </c>
      <c r="AY2718" s="46">
        <f t="shared" si="128"/>
        <v>0</v>
      </c>
      <c r="AZ2718" s="46">
        <f t="shared" si="129"/>
        <v>0</v>
      </c>
    </row>
    <row r="2719" spans="50:52">
      <c r="AX2719" s="46">
        <f t="shared" si="127"/>
        <v>0</v>
      </c>
      <c r="AY2719" s="46">
        <f t="shared" si="128"/>
        <v>0</v>
      </c>
      <c r="AZ2719" s="46">
        <f t="shared" si="129"/>
        <v>0</v>
      </c>
    </row>
    <row r="2720" spans="50:52">
      <c r="AX2720" s="46">
        <f t="shared" si="127"/>
        <v>0</v>
      </c>
      <c r="AY2720" s="46">
        <f t="shared" si="128"/>
        <v>0</v>
      </c>
      <c r="AZ2720" s="46">
        <f t="shared" si="129"/>
        <v>0</v>
      </c>
    </row>
    <row r="2721" spans="50:52">
      <c r="AX2721" s="46">
        <f t="shared" si="127"/>
        <v>0</v>
      </c>
      <c r="AY2721" s="46">
        <f t="shared" si="128"/>
        <v>0</v>
      </c>
      <c r="AZ2721" s="46">
        <f t="shared" si="129"/>
        <v>0</v>
      </c>
    </row>
    <row r="2722" spans="50:52">
      <c r="AX2722" s="46">
        <f t="shared" si="127"/>
        <v>0</v>
      </c>
      <c r="AY2722" s="46">
        <f t="shared" si="128"/>
        <v>0</v>
      </c>
      <c r="AZ2722" s="46">
        <f t="shared" si="129"/>
        <v>0</v>
      </c>
    </row>
    <row r="2723" spans="50:52">
      <c r="AX2723" s="46">
        <f t="shared" si="127"/>
        <v>0</v>
      </c>
      <c r="AY2723" s="46">
        <f t="shared" si="128"/>
        <v>0</v>
      </c>
      <c r="AZ2723" s="46">
        <f t="shared" si="129"/>
        <v>0</v>
      </c>
    </row>
    <row r="2724" spans="50:52">
      <c r="AX2724" s="46">
        <f t="shared" si="127"/>
        <v>0</v>
      </c>
      <c r="AY2724" s="46">
        <f t="shared" si="128"/>
        <v>0</v>
      </c>
      <c r="AZ2724" s="46">
        <f t="shared" si="129"/>
        <v>0</v>
      </c>
    </row>
    <row r="2725" spans="50:52">
      <c r="AX2725" s="46">
        <f t="shared" si="127"/>
        <v>0</v>
      </c>
      <c r="AY2725" s="46">
        <f t="shared" si="128"/>
        <v>0</v>
      </c>
      <c r="AZ2725" s="46">
        <f t="shared" si="129"/>
        <v>0</v>
      </c>
    </row>
    <row r="2726" spans="50:52">
      <c r="AX2726" s="46">
        <f t="shared" si="127"/>
        <v>0</v>
      </c>
      <c r="AY2726" s="46">
        <f t="shared" si="128"/>
        <v>0</v>
      </c>
      <c r="AZ2726" s="46">
        <f t="shared" si="129"/>
        <v>0</v>
      </c>
    </row>
    <row r="2727" spans="50:52">
      <c r="AX2727" s="46">
        <f t="shared" si="127"/>
        <v>0</v>
      </c>
      <c r="AY2727" s="46">
        <f t="shared" si="128"/>
        <v>0</v>
      </c>
      <c r="AZ2727" s="46">
        <f t="shared" si="129"/>
        <v>0</v>
      </c>
    </row>
    <row r="2728" spans="50:52">
      <c r="AX2728" s="46">
        <f t="shared" si="127"/>
        <v>0</v>
      </c>
      <c r="AY2728" s="46">
        <f t="shared" si="128"/>
        <v>0</v>
      </c>
      <c r="AZ2728" s="46">
        <f t="shared" si="129"/>
        <v>0</v>
      </c>
    </row>
    <row r="2729" spans="50:52">
      <c r="AX2729" s="46">
        <f t="shared" si="127"/>
        <v>0</v>
      </c>
      <c r="AY2729" s="46">
        <f t="shared" si="128"/>
        <v>0</v>
      </c>
      <c r="AZ2729" s="46">
        <f t="shared" si="129"/>
        <v>0</v>
      </c>
    </row>
    <row r="2730" spans="50:52">
      <c r="AX2730" s="46">
        <f t="shared" si="127"/>
        <v>0</v>
      </c>
      <c r="AY2730" s="46">
        <f t="shared" si="128"/>
        <v>0</v>
      </c>
      <c r="AZ2730" s="46">
        <f t="shared" si="129"/>
        <v>0</v>
      </c>
    </row>
    <row r="2731" spans="50:52">
      <c r="AX2731" s="46">
        <f t="shared" si="127"/>
        <v>0</v>
      </c>
      <c r="AY2731" s="46">
        <f t="shared" si="128"/>
        <v>0</v>
      </c>
      <c r="AZ2731" s="46">
        <f t="shared" si="129"/>
        <v>0</v>
      </c>
    </row>
    <row r="2732" spans="50:52">
      <c r="AX2732" s="46">
        <f t="shared" si="127"/>
        <v>0</v>
      </c>
      <c r="AY2732" s="46">
        <f t="shared" si="128"/>
        <v>0</v>
      </c>
      <c r="AZ2732" s="46">
        <f t="shared" si="129"/>
        <v>0</v>
      </c>
    </row>
    <row r="2733" spans="50:52">
      <c r="AX2733" s="46">
        <f t="shared" si="127"/>
        <v>0</v>
      </c>
      <c r="AY2733" s="46">
        <f t="shared" si="128"/>
        <v>0</v>
      </c>
      <c r="AZ2733" s="46">
        <f t="shared" si="129"/>
        <v>0</v>
      </c>
    </row>
    <row r="2734" spans="50:52">
      <c r="AX2734" s="46">
        <f t="shared" si="127"/>
        <v>0</v>
      </c>
      <c r="AY2734" s="46">
        <f t="shared" si="128"/>
        <v>0</v>
      </c>
      <c r="AZ2734" s="46">
        <f t="shared" si="129"/>
        <v>0</v>
      </c>
    </row>
    <row r="2735" spans="50:52">
      <c r="AX2735" s="46">
        <f t="shared" si="127"/>
        <v>0</v>
      </c>
      <c r="AY2735" s="46">
        <f t="shared" si="128"/>
        <v>0</v>
      </c>
      <c r="AZ2735" s="46">
        <f t="shared" si="129"/>
        <v>0</v>
      </c>
    </row>
    <row r="2736" spans="50:52">
      <c r="AX2736" s="46">
        <f t="shared" si="127"/>
        <v>0</v>
      </c>
      <c r="AY2736" s="46">
        <f t="shared" si="128"/>
        <v>0</v>
      </c>
      <c r="AZ2736" s="46">
        <f t="shared" si="129"/>
        <v>0</v>
      </c>
    </row>
    <row r="2737" spans="50:52">
      <c r="AX2737" s="46">
        <f t="shared" si="127"/>
        <v>0</v>
      </c>
      <c r="AY2737" s="46">
        <f t="shared" si="128"/>
        <v>0</v>
      </c>
      <c r="AZ2737" s="46">
        <f t="shared" si="129"/>
        <v>0</v>
      </c>
    </row>
    <row r="2738" spans="50:52">
      <c r="AX2738" s="46">
        <f t="shared" si="127"/>
        <v>0</v>
      </c>
      <c r="AY2738" s="46">
        <f t="shared" si="128"/>
        <v>0</v>
      </c>
      <c r="AZ2738" s="46">
        <f t="shared" si="129"/>
        <v>0</v>
      </c>
    </row>
    <row r="2739" spans="50:52">
      <c r="AX2739" s="46">
        <f t="shared" si="127"/>
        <v>0</v>
      </c>
      <c r="AY2739" s="46">
        <f t="shared" si="128"/>
        <v>0</v>
      </c>
      <c r="AZ2739" s="46">
        <f t="shared" si="129"/>
        <v>0</v>
      </c>
    </row>
    <row r="2740" spans="50:52">
      <c r="AX2740" s="46">
        <f t="shared" si="127"/>
        <v>0</v>
      </c>
      <c r="AY2740" s="46">
        <f t="shared" si="128"/>
        <v>0</v>
      </c>
      <c r="AZ2740" s="46">
        <f t="shared" si="129"/>
        <v>0</v>
      </c>
    </row>
    <row r="2741" spans="50:52">
      <c r="AX2741" s="46">
        <f t="shared" si="127"/>
        <v>0</v>
      </c>
      <c r="AY2741" s="46">
        <f t="shared" si="128"/>
        <v>0</v>
      </c>
      <c r="AZ2741" s="46">
        <f t="shared" si="129"/>
        <v>0</v>
      </c>
    </row>
    <row r="2742" spans="50:52">
      <c r="AX2742" s="46">
        <f t="shared" si="127"/>
        <v>0</v>
      </c>
      <c r="AY2742" s="46">
        <f t="shared" si="128"/>
        <v>0</v>
      </c>
      <c r="AZ2742" s="46">
        <f t="shared" si="129"/>
        <v>0</v>
      </c>
    </row>
    <row r="2743" spans="50:52">
      <c r="AX2743" s="46">
        <f t="shared" si="127"/>
        <v>0</v>
      </c>
      <c r="AY2743" s="46">
        <f t="shared" si="128"/>
        <v>0</v>
      </c>
      <c r="AZ2743" s="46">
        <f t="shared" si="129"/>
        <v>0</v>
      </c>
    </row>
    <row r="2744" spans="50:52">
      <c r="AX2744" s="46">
        <f t="shared" si="127"/>
        <v>0</v>
      </c>
      <c r="AY2744" s="46">
        <f t="shared" si="128"/>
        <v>0</v>
      </c>
      <c r="AZ2744" s="46">
        <f t="shared" si="129"/>
        <v>0</v>
      </c>
    </row>
    <row r="2745" spans="50:52">
      <c r="AX2745" s="46">
        <f t="shared" si="127"/>
        <v>0</v>
      </c>
      <c r="AY2745" s="46">
        <f t="shared" si="128"/>
        <v>0</v>
      </c>
      <c r="AZ2745" s="46">
        <f t="shared" si="129"/>
        <v>0</v>
      </c>
    </row>
    <row r="2746" spans="50:52">
      <c r="AX2746" s="46">
        <f t="shared" si="127"/>
        <v>0</v>
      </c>
      <c r="AY2746" s="46">
        <f t="shared" si="128"/>
        <v>0</v>
      </c>
      <c r="AZ2746" s="46">
        <f t="shared" si="129"/>
        <v>0</v>
      </c>
    </row>
    <row r="2747" spans="50:52">
      <c r="AX2747" s="46">
        <f t="shared" si="127"/>
        <v>0</v>
      </c>
      <c r="AY2747" s="46">
        <f t="shared" si="128"/>
        <v>0</v>
      </c>
      <c r="AZ2747" s="46">
        <f t="shared" si="129"/>
        <v>0</v>
      </c>
    </row>
    <row r="2748" spans="50:52">
      <c r="AX2748" s="46">
        <f t="shared" si="127"/>
        <v>0</v>
      </c>
      <c r="AY2748" s="46">
        <f t="shared" si="128"/>
        <v>0</v>
      </c>
      <c r="AZ2748" s="46">
        <f t="shared" si="129"/>
        <v>0</v>
      </c>
    </row>
    <row r="2749" spans="50:52">
      <c r="AX2749" s="46">
        <f t="shared" si="127"/>
        <v>0</v>
      </c>
      <c r="AY2749" s="46">
        <f t="shared" si="128"/>
        <v>0</v>
      </c>
      <c r="AZ2749" s="46">
        <f t="shared" si="129"/>
        <v>0</v>
      </c>
    </row>
    <row r="2750" spans="50:52">
      <c r="AX2750" s="46">
        <f t="shared" si="127"/>
        <v>0</v>
      </c>
      <c r="AY2750" s="46">
        <f t="shared" si="128"/>
        <v>0</v>
      </c>
      <c r="AZ2750" s="46">
        <f t="shared" si="129"/>
        <v>0</v>
      </c>
    </row>
    <row r="2751" spans="50:52">
      <c r="AX2751" s="46">
        <f t="shared" si="127"/>
        <v>0</v>
      </c>
      <c r="AY2751" s="46">
        <f t="shared" si="128"/>
        <v>0</v>
      </c>
      <c r="AZ2751" s="46">
        <f t="shared" si="129"/>
        <v>0</v>
      </c>
    </row>
    <row r="2752" spans="50:52">
      <c r="AX2752" s="46">
        <f t="shared" si="127"/>
        <v>0</v>
      </c>
      <c r="AY2752" s="46">
        <f t="shared" si="128"/>
        <v>0</v>
      </c>
      <c r="AZ2752" s="46">
        <f t="shared" si="129"/>
        <v>0</v>
      </c>
    </row>
    <row r="2753" spans="50:52">
      <c r="AX2753" s="46">
        <f t="shared" si="127"/>
        <v>0</v>
      </c>
      <c r="AY2753" s="46">
        <f t="shared" si="128"/>
        <v>0</v>
      </c>
      <c r="AZ2753" s="46">
        <f t="shared" si="129"/>
        <v>0</v>
      </c>
    </row>
    <row r="2754" spans="50:52">
      <c r="AX2754" s="46">
        <f t="shared" si="127"/>
        <v>0</v>
      </c>
      <c r="AY2754" s="46">
        <f t="shared" si="128"/>
        <v>0</v>
      </c>
      <c r="AZ2754" s="46">
        <f t="shared" si="129"/>
        <v>0</v>
      </c>
    </row>
    <row r="2755" spans="50:52">
      <c r="AX2755" s="46">
        <f t="shared" si="127"/>
        <v>0</v>
      </c>
      <c r="AY2755" s="46">
        <f t="shared" si="128"/>
        <v>0</v>
      </c>
      <c r="AZ2755" s="46">
        <f t="shared" si="129"/>
        <v>0</v>
      </c>
    </row>
    <row r="2756" spans="50:52">
      <c r="AX2756" s="46">
        <f t="shared" si="127"/>
        <v>0</v>
      </c>
      <c r="AY2756" s="46">
        <f t="shared" si="128"/>
        <v>0</v>
      </c>
      <c r="AZ2756" s="46">
        <f t="shared" si="129"/>
        <v>0</v>
      </c>
    </row>
    <row r="2757" spans="50:52">
      <c r="AX2757" s="46">
        <f t="shared" si="127"/>
        <v>0</v>
      </c>
      <c r="AY2757" s="46">
        <f t="shared" si="128"/>
        <v>0</v>
      </c>
      <c r="AZ2757" s="46">
        <f t="shared" si="129"/>
        <v>0</v>
      </c>
    </row>
    <row r="2758" spans="50:52">
      <c r="AX2758" s="46">
        <f t="shared" si="127"/>
        <v>0</v>
      </c>
      <c r="AY2758" s="46">
        <f t="shared" si="128"/>
        <v>0</v>
      </c>
      <c r="AZ2758" s="46">
        <f t="shared" si="129"/>
        <v>0</v>
      </c>
    </row>
    <row r="2759" spans="50:52">
      <c r="AX2759" s="46">
        <f t="shared" si="127"/>
        <v>0</v>
      </c>
      <c r="AY2759" s="46">
        <f t="shared" si="128"/>
        <v>0</v>
      </c>
      <c r="AZ2759" s="46">
        <f t="shared" si="129"/>
        <v>0</v>
      </c>
    </row>
    <row r="2760" spans="50:52">
      <c r="AX2760" s="46">
        <f t="shared" si="127"/>
        <v>0</v>
      </c>
      <c r="AY2760" s="46">
        <f t="shared" si="128"/>
        <v>0</v>
      </c>
      <c r="AZ2760" s="46">
        <f t="shared" si="129"/>
        <v>0</v>
      </c>
    </row>
    <row r="2761" spans="50:52">
      <c r="AX2761" s="46">
        <f t="shared" si="127"/>
        <v>0</v>
      </c>
      <c r="AY2761" s="46">
        <f t="shared" si="128"/>
        <v>0</v>
      </c>
      <c r="AZ2761" s="46">
        <f t="shared" si="129"/>
        <v>0</v>
      </c>
    </row>
    <row r="2762" spans="50:52">
      <c r="AX2762" s="46">
        <f t="shared" si="127"/>
        <v>0</v>
      </c>
      <c r="AY2762" s="46">
        <f t="shared" si="128"/>
        <v>0</v>
      </c>
      <c r="AZ2762" s="46">
        <f t="shared" si="129"/>
        <v>0</v>
      </c>
    </row>
    <row r="2763" spans="50:52">
      <c r="AX2763" s="46">
        <f t="shared" ref="AX2763:AX2826" si="130">IFERROR(SUM(Q2763:AS2763)-SUM(AT2763:AU2763)+AV2763,"-")</f>
        <v>0</v>
      </c>
      <c r="AY2763" s="46">
        <f t="shared" ref="AY2763:AY2826" si="131">IFERROR(SUM(Q2763:AS2763)-SUM(AT2763:AT2763),"-")</f>
        <v>0</v>
      </c>
      <c r="AZ2763" s="46">
        <f t="shared" ref="AZ2763:AZ2826" si="132">SUM(Q2763:AS2763)</f>
        <v>0</v>
      </c>
    </row>
    <row r="2764" spans="50:52">
      <c r="AX2764" s="46">
        <f t="shared" si="130"/>
        <v>0</v>
      </c>
      <c r="AY2764" s="46">
        <f t="shared" si="131"/>
        <v>0</v>
      </c>
      <c r="AZ2764" s="46">
        <f t="shared" si="132"/>
        <v>0</v>
      </c>
    </row>
    <row r="2765" spans="50:52">
      <c r="AX2765" s="46">
        <f t="shared" si="130"/>
        <v>0</v>
      </c>
      <c r="AY2765" s="46">
        <f t="shared" si="131"/>
        <v>0</v>
      </c>
      <c r="AZ2765" s="46">
        <f t="shared" si="132"/>
        <v>0</v>
      </c>
    </row>
    <row r="2766" spans="50:52">
      <c r="AX2766" s="46">
        <f t="shared" si="130"/>
        <v>0</v>
      </c>
      <c r="AY2766" s="46">
        <f t="shared" si="131"/>
        <v>0</v>
      </c>
      <c r="AZ2766" s="46">
        <f t="shared" si="132"/>
        <v>0</v>
      </c>
    </row>
    <row r="2767" spans="50:52">
      <c r="AX2767" s="46">
        <f t="shared" si="130"/>
        <v>0</v>
      </c>
      <c r="AY2767" s="46">
        <f t="shared" si="131"/>
        <v>0</v>
      </c>
      <c r="AZ2767" s="46">
        <f t="shared" si="132"/>
        <v>0</v>
      </c>
    </row>
    <row r="2768" spans="50:52">
      <c r="AX2768" s="46">
        <f t="shared" si="130"/>
        <v>0</v>
      </c>
      <c r="AY2768" s="46">
        <f t="shared" si="131"/>
        <v>0</v>
      </c>
      <c r="AZ2768" s="46">
        <f t="shared" si="132"/>
        <v>0</v>
      </c>
    </row>
    <row r="2769" spans="50:52">
      <c r="AX2769" s="46">
        <f t="shared" si="130"/>
        <v>0</v>
      </c>
      <c r="AY2769" s="46">
        <f t="shared" si="131"/>
        <v>0</v>
      </c>
      <c r="AZ2769" s="46">
        <f t="shared" si="132"/>
        <v>0</v>
      </c>
    </row>
    <row r="2770" spans="50:52">
      <c r="AX2770" s="46">
        <f t="shared" si="130"/>
        <v>0</v>
      </c>
      <c r="AY2770" s="46">
        <f t="shared" si="131"/>
        <v>0</v>
      </c>
      <c r="AZ2770" s="46">
        <f t="shared" si="132"/>
        <v>0</v>
      </c>
    </row>
    <row r="2771" spans="50:52">
      <c r="AX2771" s="46">
        <f t="shared" si="130"/>
        <v>0</v>
      </c>
      <c r="AY2771" s="46">
        <f t="shared" si="131"/>
        <v>0</v>
      </c>
      <c r="AZ2771" s="46">
        <f t="shared" si="132"/>
        <v>0</v>
      </c>
    </row>
    <row r="2772" spans="50:52">
      <c r="AX2772" s="46">
        <f t="shared" si="130"/>
        <v>0</v>
      </c>
      <c r="AY2772" s="46">
        <f t="shared" si="131"/>
        <v>0</v>
      </c>
      <c r="AZ2772" s="46">
        <f t="shared" si="132"/>
        <v>0</v>
      </c>
    </row>
    <row r="2773" spans="50:52">
      <c r="AX2773" s="46">
        <f t="shared" si="130"/>
        <v>0</v>
      </c>
      <c r="AY2773" s="46">
        <f t="shared" si="131"/>
        <v>0</v>
      </c>
      <c r="AZ2773" s="46">
        <f t="shared" si="132"/>
        <v>0</v>
      </c>
    </row>
    <row r="2774" spans="50:52">
      <c r="AX2774" s="46">
        <f t="shared" si="130"/>
        <v>0</v>
      </c>
      <c r="AY2774" s="46">
        <f t="shared" si="131"/>
        <v>0</v>
      </c>
      <c r="AZ2774" s="46">
        <f t="shared" si="132"/>
        <v>0</v>
      </c>
    </row>
    <row r="2775" spans="50:52">
      <c r="AX2775" s="46">
        <f t="shared" si="130"/>
        <v>0</v>
      </c>
      <c r="AY2775" s="46">
        <f t="shared" si="131"/>
        <v>0</v>
      </c>
      <c r="AZ2775" s="46">
        <f t="shared" si="132"/>
        <v>0</v>
      </c>
    </row>
    <row r="2776" spans="50:52">
      <c r="AX2776" s="46">
        <f t="shared" si="130"/>
        <v>0</v>
      </c>
      <c r="AY2776" s="46">
        <f t="shared" si="131"/>
        <v>0</v>
      </c>
      <c r="AZ2776" s="46">
        <f t="shared" si="132"/>
        <v>0</v>
      </c>
    </row>
    <row r="2777" spans="50:52">
      <c r="AX2777" s="46">
        <f t="shared" si="130"/>
        <v>0</v>
      </c>
      <c r="AY2777" s="46">
        <f t="shared" si="131"/>
        <v>0</v>
      </c>
      <c r="AZ2777" s="46">
        <f t="shared" si="132"/>
        <v>0</v>
      </c>
    </row>
    <row r="2778" spans="50:52">
      <c r="AX2778" s="46">
        <f t="shared" si="130"/>
        <v>0</v>
      </c>
      <c r="AY2778" s="46">
        <f t="shared" si="131"/>
        <v>0</v>
      </c>
      <c r="AZ2778" s="46">
        <f t="shared" si="132"/>
        <v>0</v>
      </c>
    </row>
    <row r="2779" spans="50:52">
      <c r="AX2779" s="46">
        <f t="shared" si="130"/>
        <v>0</v>
      </c>
      <c r="AY2779" s="46">
        <f t="shared" si="131"/>
        <v>0</v>
      </c>
      <c r="AZ2779" s="46">
        <f t="shared" si="132"/>
        <v>0</v>
      </c>
    </row>
    <row r="2780" spans="50:52">
      <c r="AX2780" s="46">
        <f t="shared" si="130"/>
        <v>0</v>
      </c>
      <c r="AY2780" s="46">
        <f t="shared" si="131"/>
        <v>0</v>
      </c>
      <c r="AZ2780" s="46">
        <f t="shared" si="132"/>
        <v>0</v>
      </c>
    </row>
    <row r="2781" spans="50:52">
      <c r="AX2781" s="46">
        <f t="shared" si="130"/>
        <v>0</v>
      </c>
      <c r="AY2781" s="46">
        <f t="shared" si="131"/>
        <v>0</v>
      </c>
      <c r="AZ2781" s="46">
        <f t="shared" si="132"/>
        <v>0</v>
      </c>
    </row>
    <row r="2782" spans="50:52">
      <c r="AX2782" s="46">
        <f t="shared" si="130"/>
        <v>0</v>
      </c>
      <c r="AY2782" s="46">
        <f t="shared" si="131"/>
        <v>0</v>
      </c>
      <c r="AZ2782" s="46">
        <f t="shared" si="132"/>
        <v>0</v>
      </c>
    </row>
    <row r="2783" spans="50:52">
      <c r="AX2783" s="46">
        <f t="shared" si="130"/>
        <v>0</v>
      </c>
      <c r="AY2783" s="46">
        <f t="shared" si="131"/>
        <v>0</v>
      </c>
      <c r="AZ2783" s="46">
        <f t="shared" si="132"/>
        <v>0</v>
      </c>
    </row>
    <row r="2784" spans="50:52">
      <c r="AX2784" s="46">
        <f t="shared" si="130"/>
        <v>0</v>
      </c>
      <c r="AY2784" s="46">
        <f t="shared" si="131"/>
        <v>0</v>
      </c>
      <c r="AZ2784" s="46">
        <f t="shared" si="132"/>
        <v>0</v>
      </c>
    </row>
    <row r="2785" spans="50:52">
      <c r="AX2785" s="46">
        <f t="shared" si="130"/>
        <v>0</v>
      </c>
      <c r="AY2785" s="46">
        <f t="shared" si="131"/>
        <v>0</v>
      </c>
      <c r="AZ2785" s="46">
        <f t="shared" si="132"/>
        <v>0</v>
      </c>
    </row>
    <row r="2786" spans="50:52">
      <c r="AX2786" s="46">
        <f t="shared" si="130"/>
        <v>0</v>
      </c>
      <c r="AY2786" s="46">
        <f t="shared" si="131"/>
        <v>0</v>
      </c>
      <c r="AZ2786" s="46">
        <f t="shared" si="132"/>
        <v>0</v>
      </c>
    </row>
    <row r="2787" spans="50:52">
      <c r="AX2787" s="46">
        <f t="shared" si="130"/>
        <v>0</v>
      </c>
      <c r="AY2787" s="46">
        <f t="shared" si="131"/>
        <v>0</v>
      </c>
      <c r="AZ2787" s="46">
        <f t="shared" si="132"/>
        <v>0</v>
      </c>
    </row>
    <row r="2788" spans="50:52">
      <c r="AX2788" s="46">
        <f t="shared" si="130"/>
        <v>0</v>
      </c>
      <c r="AY2788" s="46">
        <f t="shared" si="131"/>
        <v>0</v>
      </c>
      <c r="AZ2788" s="46">
        <f t="shared" si="132"/>
        <v>0</v>
      </c>
    </row>
    <row r="2789" spans="50:52">
      <c r="AX2789" s="46">
        <f t="shared" si="130"/>
        <v>0</v>
      </c>
      <c r="AY2789" s="46">
        <f t="shared" si="131"/>
        <v>0</v>
      </c>
      <c r="AZ2789" s="46">
        <f t="shared" si="132"/>
        <v>0</v>
      </c>
    </row>
    <row r="2790" spans="50:52">
      <c r="AX2790" s="46">
        <f t="shared" si="130"/>
        <v>0</v>
      </c>
      <c r="AY2790" s="46">
        <f t="shared" si="131"/>
        <v>0</v>
      </c>
      <c r="AZ2790" s="46">
        <f t="shared" si="132"/>
        <v>0</v>
      </c>
    </row>
    <row r="2791" spans="50:52">
      <c r="AX2791" s="46">
        <f t="shared" si="130"/>
        <v>0</v>
      </c>
      <c r="AY2791" s="46">
        <f t="shared" si="131"/>
        <v>0</v>
      </c>
      <c r="AZ2791" s="46">
        <f t="shared" si="132"/>
        <v>0</v>
      </c>
    </row>
    <row r="2792" spans="50:52">
      <c r="AX2792" s="46">
        <f t="shared" si="130"/>
        <v>0</v>
      </c>
      <c r="AY2792" s="46">
        <f t="shared" si="131"/>
        <v>0</v>
      </c>
      <c r="AZ2792" s="46">
        <f t="shared" si="132"/>
        <v>0</v>
      </c>
    </row>
    <row r="2793" spans="50:52">
      <c r="AX2793" s="46">
        <f t="shared" si="130"/>
        <v>0</v>
      </c>
      <c r="AY2793" s="46">
        <f t="shared" si="131"/>
        <v>0</v>
      </c>
      <c r="AZ2793" s="46">
        <f t="shared" si="132"/>
        <v>0</v>
      </c>
    </row>
    <row r="2794" spans="50:52">
      <c r="AX2794" s="46">
        <f t="shared" si="130"/>
        <v>0</v>
      </c>
      <c r="AY2794" s="46">
        <f t="shared" si="131"/>
        <v>0</v>
      </c>
      <c r="AZ2794" s="46">
        <f t="shared" si="132"/>
        <v>0</v>
      </c>
    </row>
    <row r="2795" spans="50:52">
      <c r="AX2795" s="46">
        <f t="shared" si="130"/>
        <v>0</v>
      </c>
      <c r="AY2795" s="46">
        <f t="shared" si="131"/>
        <v>0</v>
      </c>
      <c r="AZ2795" s="46">
        <f t="shared" si="132"/>
        <v>0</v>
      </c>
    </row>
    <row r="2796" spans="50:52">
      <c r="AX2796" s="46">
        <f t="shared" si="130"/>
        <v>0</v>
      </c>
      <c r="AY2796" s="46">
        <f t="shared" si="131"/>
        <v>0</v>
      </c>
      <c r="AZ2796" s="46">
        <f t="shared" si="132"/>
        <v>0</v>
      </c>
    </row>
    <row r="2797" spans="50:52">
      <c r="AX2797" s="46">
        <f t="shared" si="130"/>
        <v>0</v>
      </c>
      <c r="AY2797" s="46">
        <f t="shared" si="131"/>
        <v>0</v>
      </c>
      <c r="AZ2797" s="46">
        <f t="shared" si="132"/>
        <v>0</v>
      </c>
    </row>
    <row r="2798" spans="50:52">
      <c r="AX2798" s="46">
        <f t="shared" si="130"/>
        <v>0</v>
      </c>
      <c r="AY2798" s="46">
        <f t="shared" si="131"/>
        <v>0</v>
      </c>
      <c r="AZ2798" s="46">
        <f t="shared" si="132"/>
        <v>0</v>
      </c>
    </row>
    <row r="2799" spans="50:52">
      <c r="AX2799" s="46">
        <f t="shared" si="130"/>
        <v>0</v>
      </c>
      <c r="AY2799" s="46">
        <f t="shared" si="131"/>
        <v>0</v>
      </c>
      <c r="AZ2799" s="46">
        <f t="shared" si="132"/>
        <v>0</v>
      </c>
    </row>
    <row r="2800" spans="50:52">
      <c r="AX2800" s="46">
        <f t="shared" si="130"/>
        <v>0</v>
      </c>
      <c r="AY2800" s="46">
        <f t="shared" si="131"/>
        <v>0</v>
      </c>
      <c r="AZ2800" s="46">
        <f t="shared" si="132"/>
        <v>0</v>
      </c>
    </row>
    <row r="2801" spans="50:52">
      <c r="AX2801" s="46">
        <f t="shared" si="130"/>
        <v>0</v>
      </c>
      <c r="AY2801" s="46">
        <f t="shared" si="131"/>
        <v>0</v>
      </c>
      <c r="AZ2801" s="46">
        <f t="shared" si="132"/>
        <v>0</v>
      </c>
    </row>
    <row r="2802" spans="50:52">
      <c r="AX2802" s="46">
        <f t="shared" si="130"/>
        <v>0</v>
      </c>
      <c r="AY2802" s="46">
        <f t="shared" si="131"/>
        <v>0</v>
      </c>
      <c r="AZ2802" s="46">
        <f t="shared" si="132"/>
        <v>0</v>
      </c>
    </row>
    <row r="2803" spans="50:52">
      <c r="AX2803" s="46">
        <f t="shared" si="130"/>
        <v>0</v>
      </c>
      <c r="AY2803" s="46">
        <f t="shared" si="131"/>
        <v>0</v>
      </c>
      <c r="AZ2803" s="46">
        <f t="shared" si="132"/>
        <v>0</v>
      </c>
    </row>
    <row r="2804" spans="50:52">
      <c r="AX2804" s="46">
        <f t="shared" si="130"/>
        <v>0</v>
      </c>
      <c r="AY2804" s="46">
        <f t="shared" si="131"/>
        <v>0</v>
      </c>
      <c r="AZ2804" s="46">
        <f t="shared" si="132"/>
        <v>0</v>
      </c>
    </row>
    <row r="2805" spans="50:52">
      <c r="AX2805" s="46">
        <f t="shared" si="130"/>
        <v>0</v>
      </c>
      <c r="AY2805" s="46">
        <f t="shared" si="131"/>
        <v>0</v>
      </c>
      <c r="AZ2805" s="46">
        <f t="shared" si="132"/>
        <v>0</v>
      </c>
    </row>
    <row r="2806" spans="50:52">
      <c r="AX2806" s="46">
        <f t="shared" si="130"/>
        <v>0</v>
      </c>
      <c r="AY2806" s="46">
        <f t="shared" si="131"/>
        <v>0</v>
      </c>
      <c r="AZ2806" s="46">
        <f t="shared" si="132"/>
        <v>0</v>
      </c>
    </row>
    <row r="2807" spans="50:52">
      <c r="AX2807" s="46">
        <f t="shared" si="130"/>
        <v>0</v>
      </c>
      <c r="AY2807" s="46">
        <f t="shared" si="131"/>
        <v>0</v>
      </c>
      <c r="AZ2807" s="46">
        <f t="shared" si="132"/>
        <v>0</v>
      </c>
    </row>
    <row r="2808" spans="50:52">
      <c r="AX2808" s="46">
        <f t="shared" si="130"/>
        <v>0</v>
      </c>
      <c r="AY2808" s="46">
        <f t="shared" si="131"/>
        <v>0</v>
      </c>
      <c r="AZ2808" s="46">
        <f t="shared" si="132"/>
        <v>0</v>
      </c>
    </row>
    <row r="2809" spans="50:52">
      <c r="AX2809" s="46">
        <f t="shared" si="130"/>
        <v>0</v>
      </c>
      <c r="AY2809" s="46">
        <f t="shared" si="131"/>
        <v>0</v>
      </c>
      <c r="AZ2809" s="46">
        <f t="shared" si="132"/>
        <v>0</v>
      </c>
    </row>
    <row r="2810" spans="50:52">
      <c r="AX2810" s="46">
        <f t="shared" si="130"/>
        <v>0</v>
      </c>
      <c r="AY2810" s="46">
        <f t="shared" si="131"/>
        <v>0</v>
      </c>
      <c r="AZ2810" s="46">
        <f t="shared" si="132"/>
        <v>0</v>
      </c>
    </row>
    <row r="2811" spans="50:52">
      <c r="AX2811" s="46">
        <f t="shared" si="130"/>
        <v>0</v>
      </c>
      <c r="AY2811" s="46">
        <f t="shared" si="131"/>
        <v>0</v>
      </c>
      <c r="AZ2811" s="46">
        <f t="shared" si="132"/>
        <v>0</v>
      </c>
    </row>
    <row r="2812" spans="50:52">
      <c r="AX2812" s="46">
        <f t="shared" si="130"/>
        <v>0</v>
      </c>
      <c r="AY2812" s="46">
        <f t="shared" si="131"/>
        <v>0</v>
      </c>
      <c r="AZ2812" s="46">
        <f t="shared" si="132"/>
        <v>0</v>
      </c>
    </row>
    <row r="2813" spans="50:52">
      <c r="AX2813" s="46">
        <f t="shared" si="130"/>
        <v>0</v>
      </c>
      <c r="AY2813" s="46">
        <f t="shared" si="131"/>
        <v>0</v>
      </c>
      <c r="AZ2813" s="46">
        <f t="shared" si="132"/>
        <v>0</v>
      </c>
    </row>
    <row r="2814" spans="50:52">
      <c r="AX2814" s="46">
        <f t="shared" si="130"/>
        <v>0</v>
      </c>
      <c r="AY2814" s="46">
        <f t="shared" si="131"/>
        <v>0</v>
      </c>
      <c r="AZ2814" s="46">
        <f t="shared" si="132"/>
        <v>0</v>
      </c>
    </row>
    <row r="2815" spans="50:52">
      <c r="AX2815" s="46">
        <f t="shared" si="130"/>
        <v>0</v>
      </c>
      <c r="AY2815" s="46">
        <f t="shared" si="131"/>
        <v>0</v>
      </c>
      <c r="AZ2815" s="46">
        <f t="shared" si="132"/>
        <v>0</v>
      </c>
    </row>
    <row r="2816" spans="50:52">
      <c r="AX2816" s="46">
        <f t="shared" si="130"/>
        <v>0</v>
      </c>
      <c r="AY2816" s="46">
        <f t="shared" si="131"/>
        <v>0</v>
      </c>
      <c r="AZ2816" s="46">
        <f t="shared" si="132"/>
        <v>0</v>
      </c>
    </row>
    <row r="2817" spans="50:52">
      <c r="AX2817" s="46">
        <f t="shared" si="130"/>
        <v>0</v>
      </c>
      <c r="AY2817" s="46">
        <f t="shared" si="131"/>
        <v>0</v>
      </c>
      <c r="AZ2817" s="46">
        <f t="shared" si="132"/>
        <v>0</v>
      </c>
    </row>
    <row r="2818" spans="50:52">
      <c r="AX2818" s="46">
        <f t="shared" si="130"/>
        <v>0</v>
      </c>
      <c r="AY2818" s="46">
        <f t="shared" si="131"/>
        <v>0</v>
      </c>
      <c r="AZ2818" s="46">
        <f t="shared" si="132"/>
        <v>0</v>
      </c>
    </row>
    <row r="2819" spans="50:52">
      <c r="AX2819" s="46">
        <f t="shared" si="130"/>
        <v>0</v>
      </c>
      <c r="AY2819" s="46">
        <f t="shared" si="131"/>
        <v>0</v>
      </c>
      <c r="AZ2819" s="46">
        <f t="shared" si="132"/>
        <v>0</v>
      </c>
    </row>
    <row r="2820" spans="50:52">
      <c r="AX2820" s="46">
        <f t="shared" si="130"/>
        <v>0</v>
      </c>
      <c r="AY2820" s="46">
        <f t="shared" si="131"/>
        <v>0</v>
      </c>
      <c r="AZ2820" s="46">
        <f t="shared" si="132"/>
        <v>0</v>
      </c>
    </row>
    <row r="2821" spans="50:52">
      <c r="AX2821" s="46">
        <f t="shared" si="130"/>
        <v>0</v>
      </c>
      <c r="AY2821" s="46">
        <f t="shared" si="131"/>
        <v>0</v>
      </c>
      <c r="AZ2821" s="46">
        <f t="shared" si="132"/>
        <v>0</v>
      </c>
    </row>
    <row r="2822" spans="50:52">
      <c r="AX2822" s="46">
        <f t="shared" si="130"/>
        <v>0</v>
      </c>
      <c r="AY2822" s="46">
        <f t="shared" si="131"/>
        <v>0</v>
      </c>
      <c r="AZ2822" s="46">
        <f t="shared" si="132"/>
        <v>0</v>
      </c>
    </row>
    <row r="2823" spans="50:52">
      <c r="AX2823" s="46">
        <f t="shared" si="130"/>
        <v>0</v>
      </c>
      <c r="AY2823" s="46">
        <f t="shared" si="131"/>
        <v>0</v>
      </c>
      <c r="AZ2823" s="46">
        <f t="shared" si="132"/>
        <v>0</v>
      </c>
    </row>
    <row r="2824" spans="50:52">
      <c r="AX2824" s="46">
        <f t="shared" si="130"/>
        <v>0</v>
      </c>
      <c r="AY2824" s="46">
        <f t="shared" si="131"/>
        <v>0</v>
      </c>
      <c r="AZ2824" s="46">
        <f t="shared" si="132"/>
        <v>0</v>
      </c>
    </row>
    <row r="2825" spans="50:52">
      <c r="AX2825" s="46">
        <f t="shared" si="130"/>
        <v>0</v>
      </c>
      <c r="AY2825" s="46">
        <f t="shared" si="131"/>
        <v>0</v>
      </c>
      <c r="AZ2825" s="46">
        <f t="shared" si="132"/>
        <v>0</v>
      </c>
    </row>
    <row r="2826" spans="50:52">
      <c r="AX2826" s="46">
        <f t="shared" si="130"/>
        <v>0</v>
      </c>
      <c r="AY2826" s="46">
        <f t="shared" si="131"/>
        <v>0</v>
      </c>
      <c r="AZ2826" s="46">
        <f t="shared" si="132"/>
        <v>0</v>
      </c>
    </row>
    <row r="2827" spans="50:52">
      <c r="AX2827" s="46">
        <f t="shared" ref="AX2827:AX2890" si="133">IFERROR(SUM(Q2827:AS2827)-SUM(AT2827:AU2827)+AV2827,"-")</f>
        <v>0</v>
      </c>
      <c r="AY2827" s="46">
        <f t="shared" ref="AY2827:AY2890" si="134">IFERROR(SUM(Q2827:AS2827)-SUM(AT2827:AT2827),"-")</f>
        <v>0</v>
      </c>
      <c r="AZ2827" s="46">
        <f t="shared" ref="AZ2827:AZ2890" si="135">SUM(Q2827:AS2827)</f>
        <v>0</v>
      </c>
    </row>
    <row r="2828" spans="50:52">
      <c r="AX2828" s="46">
        <f t="shared" si="133"/>
        <v>0</v>
      </c>
      <c r="AY2828" s="46">
        <f t="shared" si="134"/>
        <v>0</v>
      </c>
      <c r="AZ2828" s="46">
        <f t="shared" si="135"/>
        <v>0</v>
      </c>
    </row>
    <row r="2829" spans="50:52">
      <c r="AX2829" s="46">
        <f t="shared" si="133"/>
        <v>0</v>
      </c>
      <c r="AY2829" s="46">
        <f t="shared" si="134"/>
        <v>0</v>
      </c>
      <c r="AZ2829" s="46">
        <f t="shared" si="135"/>
        <v>0</v>
      </c>
    </row>
    <row r="2830" spans="50:52">
      <c r="AX2830" s="46">
        <f t="shared" si="133"/>
        <v>0</v>
      </c>
      <c r="AY2830" s="46">
        <f t="shared" si="134"/>
        <v>0</v>
      </c>
      <c r="AZ2830" s="46">
        <f t="shared" si="135"/>
        <v>0</v>
      </c>
    </row>
    <row r="2831" spans="50:52">
      <c r="AX2831" s="46">
        <f t="shared" si="133"/>
        <v>0</v>
      </c>
      <c r="AY2831" s="46">
        <f t="shared" si="134"/>
        <v>0</v>
      </c>
      <c r="AZ2831" s="46">
        <f t="shared" si="135"/>
        <v>0</v>
      </c>
    </row>
    <row r="2832" spans="50:52">
      <c r="AX2832" s="46">
        <f t="shared" si="133"/>
        <v>0</v>
      </c>
      <c r="AY2832" s="46">
        <f t="shared" si="134"/>
        <v>0</v>
      </c>
      <c r="AZ2832" s="46">
        <f t="shared" si="135"/>
        <v>0</v>
      </c>
    </row>
    <row r="2833" spans="50:52">
      <c r="AX2833" s="46">
        <f t="shared" si="133"/>
        <v>0</v>
      </c>
      <c r="AY2833" s="46">
        <f t="shared" si="134"/>
        <v>0</v>
      </c>
      <c r="AZ2833" s="46">
        <f t="shared" si="135"/>
        <v>0</v>
      </c>
    </row>
    <row r="2834" spans="50:52">
      <c r="AX2834" s="46">
        <f t="shared" si="133"/>
        <v>0</v>
      </c>
      <c r="AY2834" s="46">
        <f t="shared" si="134"/>
        <v>0</v>
      </c>
      <c r="AZ2834" s="46">
        <f t="shared" si="135"/>
        <v>0</v>
      </c>
    </row>
    <row r="2835" spans="50:52">
      <c r="AX2835" s="46">
        <f t="shared" si="133"/>
        <v>0</v>
      </c>
      <c r="AY2835" s="46">
        <f t="shared" si="134"/>
        <v>0</v>
      </c>
      <c r="AZ2835" s="46">
        <f t="shared" si="135"/>
        <v>0</v>
      </c>
    </row>
    <row r="2836" spans="50:52">
      <c r="AX2836" s="46">
        <f t="shared" si="133"/>
        <v>0</v>
      </c>
      <c r="AY2836" s="46">
        <f t="shared" si="134"/>
        <v>0</v>
      </c>
      <c r="AZ2836" s="46">
        <f t="shared" si="135"/>
        <v>0</v>
      </c>
    </row>
    <row r="2837" spans="50:52">
      <c r="AX2837" s="46">
        <f t="shared" si="133"/>
        <v>0</v>
      </c>
      <c r="AY2837" s="46">
        <f t="shared" si="134"/>
        <v>0</v>
      </c>
      <c r="AZ2837" s="46">
        <f t="shared" si="135"/>
        <v>0</v>
      </c>
    </row>
    <row r="2838" spans="50:52">
      <c r="AX2838" s="46">
        <f t="shared" si="133"/>
        <v>0</v>
      </c>
      <c r="AY2838" s="46">
        <f t="shared" si="134"/>
        <v>0</v>
      </c>
      <c r="AZ2838" s="46">
        <f t="shared" si="135"/>
        <v>0</v>
      </c>
    </row>
    <row r="2839" spans="50:52">
      <c r="AX2839" s="46">
        <f t="shared" si="133"/>
        <v>0</v>
      </c>
      <c r="AY2839" s="46">
        <f t="shared" si="134"/>
        <v>0</v>
      </c>
      <c r="AZ2839" s="46">
        <f t="shared" si="135"/>
        <v>0</v>
      </c>
    </row>
    <row r="2840" spans="50:52">
      <c r="AX2840" s="46">
        <f t="shared" si="133"/>
        <v>0</v>
      </c>
      <c r="AY2840" s="46">
        <f t="shared" si="134"/>
        <v>0</v>
      </c>
      <c r="AZ2840" s="46">
        <f t="shared" si="135"/>
        <v>0</v>
      </c>
    </row>
    <row r="2841" spans="50:52">
      <c r="AX2841" s="46">
        <f t="shared" si="133"/>
        <v>0</v>
      </c>
      <c r="AY2841" s="46">
        <f t="shared" si="134"/>
        <v>0</v>
      </c>
      <c r="AZ2841" s="46">
        <f t="shared" si="135"/>
        <v>0</v>
      </c>
    </row>
    <row r="2842" spans="50:52">
      <c r="AX2842" s="46">
        <f t="shared" si="133"/>
        <v>0</v>
      </c>
      <c r="AY2842" s="46">
        <f t="shared" si="134"/>
        <v>0</v>
      </c>
      <c r="AZ2842" s="46">
        <f t="shared" si="135"/>
        <v>0</v>
      </c>
    </row>
    <row r="2843" spans="50:52">
      <c r="AX2843" s="46">
        <f t="shared" si="133"/>
        <v>0</v>
      </c>
      <c r="AY2843" s="46">
        <f t="shared" si="134"/>
        <v>0</v>
      </c>
      <c r="AZ2843" s="46">
        <f t="shared" si="135"/>
        <v>0</v>
      </c>
    </row>
    <row r="2844" spans="50:52">
      <c r="AX2844" s="46">
        <f t="shared" si="133"/>
        <v>0</v>
      </c>
      <c r="AY2844" s="46">
        <f t="shared" si="134"/>
        <v>0</v>
      </c>
      <c r="AZ2844" s="46">
        <f t="shared" si="135"/>
        <v>0</v>
      </c>
    </row>
    <row r="2845" spans="50:52">
      <c r="AX2845" s="46">
        <f t="shared" si="133"/>
        <v>0</v>
      </c>
      <c r="AY2845" s="46">
        <f t="shared" si="134"/>
        <v>0</v>
      </c>
      <c r="AZ2845" s="46">
        <f t="shared" si="135"/>
        <v>0</v>
      </c>
    </row>
    <row r="2846" spans="50:52">
      <c r="AX2846" s="46">
        <f t="shared" si="133"/>
        <v>0</v>
      </c>
      <c r="AY2846" s="46">
        <f t="shared" si="134"/>
        <v>0</v>
      </c>
      <c r="AZ2846" s="46">
        <f t="shared" si="135"/>
        <v>0</v>
      </c>
    </row>
    <row r="2847" spans="50:52">
      <c r="AX2847" s="46">
        <f t="shared" si="133"/>
        <v>0</v>
      </c>
      <c r="AY2847" s="46">
        <f t="shared" si="134"/>
        <v>0</v>
      </c>
      <c r="AZ2847" s="46">
        <f t="shared" si="135"/>
        <v>0</v>
      </c>
    </row>
    <row r="2848" spans="50:52">
      <c r="AX2848" s="46">
        <f t="shared" si="133"/>
        <v>0</v>
      </c>
      <c r="AY2848" s="46">
        <f t="shared" si="134"/>
        <v>0</v>
      </c>
      <c r="AZ2848" s="46">
        <f t="shared" si="135"/>
        <v>0</v>
      </c>
    </row>
    <row r="2849" spans="50:52">
      <c r="AX2849" s="46">
        <f t="shared" si="133"/>
        <v>0</v>
      </c>
      <c r="AY2849" s="46">
        <f t="shared" si="134"/>
        <v>0</v>
      </c>
      <c r="AZ2849" s="46">
        <f t="shared" si="135"/>
        <v>0</v>
      </c>
    </row>
    <row r="2850" spans="50:52">
      <c r="AX2850" s="46">
        <f t="shared" si="133"/>
        <v>0</v>
      </c>
      <c r="AY2850" s="46">
        <f t="shared" si="134"/>
        <v>0</v>
      </c>
      <c r="AZ2850" s="46">
        <f t="shared" si="135"/>
        <v>0</v>
      </c>
    </row>
    <row r="2851" spans="50:52">
      <c r="AX2851" s="46">
        <f t="shared" si="133"/>
        <v>0</v>
      </c>
      <c r="AY2851" s="46">
        <f t="shared" si="134"/>
        <v>0</v>
      </c>
      <c r="AZ2851" s="46">
        <f t="shared" si="135"/>
        <v>0</v>
      </c>
    </row>
    <row r="2852" spans="50:52">
      <c r="AX2852" s="46">
        <f t="shared" si="133"/>
        <v>0</v>
      </c>
      <c r="AY2852" s="46">
        <f t="shared" si="134"/>
        <v>0</v>
      </c>
      <c r="AZ2852" s="46">
        <f t="shared" si="135"/>
        <v>0</v>
      </c>
    </row>
    <row r="2853" spans="50:52">
      <c r="AX2853" s="46">
        <f t="shared" si="133"/>
        <v>0</v>
      </c>
      <c r="AY2853" s="46">
        <f t="shared" si="134"/>
        <v>0</v>
      </c>
      <c r="AZ2853" s="46">
        <f t="shared" si="135"/>
        <v>0</v>
      </c>
    </row>
    <row r="2854" spans="50:52">
      <c r="AX2854" s="46">
        <f t="shared" si="133"/>
        <v>0</v>
      </c>
      <c r="AY2854" s="46">
        <f t="shared" si="134"/>
        <v>0</v>
      </c>
      <c r="AZ2854" s="46">
        <f t="shared" si="135"/>
        <v>0</v>
      </c>
    </row>
    <row r="2855" spans="50:52">
      <c r="AX2855" s="46">
        <f t="shared" si="133"/>
        <v>0</v>
      </c>
      <c r="AY2855" s="46">
        <f t="shared" si="134"/>
        <v>0</v>
      </c>
      <c r="AZ2855" s="46">
        <f t="shared" si="135"/>
        <v>0</v>
      </c>
    </row>
    <row r="2856" spans="50:52">
      <c r="AX2856" s="46">
        <f t="shared" si="133"/>
        <v>0</v>
      </c>
      <c r="AY2856" s="46">
        <f t="shared" si="134"/>
        <v>0</v>
      </c>
      <c r="AZ2856" s="46">
        <f t="shared" si="135"/>
        <v>0</v>
      </c>
    </row>
    <row r="2857" spans="50:52">
      <c r="AX2857" s="46">
        <f t="shared" si="133"/>
        <v>0</v>
      </c>
      <c r="AY2857" s="46">
        <f t="shared" si="134"/>
        <v>0</v>
      </c>
      <c r="AZ2857" s="46">
        <f t="shared" si="135"/>
        <v>0</v>
      </c>
    </row>
    <row r="2858" spans="50:52">
      <c r="AX2858" s="46">
        <f t="shared" si="133"/>
        <v>0</v>
      </c>
      <c r="AY2858" s="46">
        <f t="shared" si="134"/>
        <v>0</v>
      </c>
      <c r="AZ2858" s="46">
        <f t="shared" si="135"/>
        <v>0</v>
      </c>
    </row>
    <row r="2859" spans="50:52">
      <c r="AX2859" s="46">
        <f t="shared" si="133"/>
        <v>0</v>
      </c>
      <c r="AY2859" s="46">
        <f t="shared" si="134"/>
        <v>0</v>
      </c>
      <c r="AZ2859" s="46">
        <f t="shared" si="135"/>
        <v>0</v>
      </c>
    </row>
    <row r="2860" spans="50:52">
      <c r="AX2860" s="46">
        <f t="shared" si="133"/>
        <v>0</v>
      </c>
      <c r="AY2860" s="46">
        <f t="shared" si="134"/>
        <v>0</v>
      </c>
      <c r="AZ2860" s="46">
        <f t="shared" si="135"/>
        <v>0</v>
      </c>
    </row>
    <row r="2861" spans="50:52">
      <c r="AX2861" s="46">
        <f t="shared" si="133"/>
        <v>0</v>
      </c>
      <c r="AY2861" s="46">
        <f t="shared" si="134"/>
        <v>0</v>
      </c>
      <c r="AZ2861" s="46">
        <f t="shared" si="135"/>
        <v>0</v>
      </c>
    </row>
    <row r="2862" spans="50:52">
      <c r="AX2862" s="46">
        <f t="shared" si="133"/>
        <v>0</v>
      </c>
      <c r="AY2862" s="46">
        <f t="shared" si="134"/>
        <v>0</v>
      </c>
      <c r="AZ2862" s="46">
        <f t="shared" si="135"/>
        <v>0</v>
      </c>
    </row>
    <row r="2863" spans="50:52">
      <c r="AX2863" s="46">
        <f t="shared" si="133"/>
        <v>0</v>
      </c>
      <c r="AY2863" s="46">
        <f t="shared" si="134"/>
        <v>0</v>
      </c>
      <c r="AZ2863" s="46">
        <f t="shared" si="135"/>
        <v>0</v>
      </c>
    </row>
    <row r="2864" spans="50:52">
      <c r="AX2864" s="46">
        <f t="shared" si="133"/>
        <v>0</v>
      </c>
      <c r="AY2864" s="46">
        <f t="shared" si="134"/>
        <v>0</v>
      </c>
      <c r="AZ2864" s="46">
        <f t="shared" si="135"/>
        <v>0</v>
      </c>
    </row>
    <row r="2865" spans="50:52">
      <c r="AX2865" s="46">
        <f t="shared" si="133"/>
        <v>0</v>
      </c>
      <c r="AY2865" s="46">
        <f t="shared" si="134"/>
        <v>0</v>
      </c>
      <c r="AZ2865" s="46">
        <f t="shared" si="135"/>
        <v>0</v>
      </c>
    </row>
    <row r="2866" spans="50:52">
      <c r="AX2866" s="46">
        <f t="shared" si="133"/>
        <v>0</v>
      </c>
      <c r="AY2866" s="46">
        <f t="shared" si="134"/>
        <v>0</v>
      </c>
      <c r="AZ2866" s="46">
        <f t="shared" si="135"/>
        <v>0</v>
      </c>
    </row>
    <row r="2867" spans="50:52">
      <c r="AX2867" s="46">
        <f t="shared" si="133"/>
        <v>0</v>
      </c>
      <c r="AY2867" s="46">
        <f t="shared" si="134"/>
        <v>0</v>
      </c>
      <c r="AZ2867" s="46">
        <f t="shared" si="135"/>
        <v>0</v>
      </c>
    </row>
    <row r="2868" spans="50:52">
      <c r="AX2868" s="46">
        <f t="shared" si="133"/>
        <v>0</v>
      </c>
      <c r="AY2868" s="46">
        <f t="shared" si="134"/>
        <v>0</v>
      </c>
      <c r="AZ2868" s="46">
        <f t="shared" si="135"/>
        <v>0</v>
      </c>
    </row>
    <row r="2869" spans="50:52">
      <c r="AX2869" s="46">
        <f t="shared" si="133"/>
        <v>0</v>
      </c>
      <c r="AY2869" s="46">
        <f t="shared" si="134"/>
        <v>0</v>
      </c>
      <c r="AZ2869" s="46">
        <f t="shared" si="135"/>
        <v>0</v>
      </c>
    </row>
    <row r="2870" spans="50:52">
      <c r="AX2870" s="46">
        <f t="shared" si="133"/>
        <v>0</v>
      </c>
      <c r="AY2870" s="46">
        <f t="shared" si="134"/>
        <v>0</v>
      </c>
      <c r="AZ2870" s="46">
        <f t="shared" si="135"/>
        <v>0</v>
      </c>
    </row>
    <row r="2871" spans="50:52">
      <c r="AX2871" s="46">
        <f t="shared" si="133"/>
        <v>0</v>
      </c>
      <c r="AY2871" s="46">
        <f t="shared" si="134"/>
        <v>0</v>
      </c>
      <c r="AZ2871" s="46">
        <f t="shared" si="135"/>
        <v>0</v>
      </c>
    </row>
    <row r="2872" spans="50:52">
      <c r="AX2872" s="46">
        <f t="shared" si="133"/>
        <v>0</v>
      </c>
      <c r="AY2872" s="46">
        <f t="shared" si="134"/>
        <v>0</v>
      </c>
      <c r="AZ2872" s="46">
        <f t="shared" si="135"/>
        <v>0</v>
      </c>
    </row>
    <row r="2873" spans="50:52">
      <c r="AX2873" s="46">
        <f t="shared" si="133"/>
        <v>0</v>
      </c>
      <c r="AY2873" s="46">
        <f t="shared" si="134"/>
        <v>0</v>
      </c>
      <c r="AZ2873" s="46">
        <f t="shared" si="135"/>
        <v>0</v>
      </c>
    </row>
    <row r="2874" spans="50:52">
      <c r="AX2874" s="46">
        <f t="shared" si="133"/>
        <v>0</v>
      </c>
      <c r="AY2874" s="46">
        <f t="shared" si="134"/>
        <v>0</v>
      </c>
      <c r="AZ2874" s="46">
        <f t="shared" si="135"/>
        <v>0</v>
      </c>
    </row>
    <row r="2875" spans="50:52">
      <c r="AX2875" s="46">
        <f t="shared" si="133"/>
        <v>0</v>
      </c>
      <c r="AY2875" s="46">
        <f t="shared" si="134"/>
        <v>0</v>
      </c>
      <c r="AZ2875" s="46">
        <f t="shared" si="135"/>
        <v>0</v>
      </c>
    </row>
    <row r="2876" spans="50:52">
      <c r="AX2876" s="46">
        <f t="shared" si="133"/>
        <v>0</v>
      </c>
      <c r="AY2876" s="46">
        <f t="shared" si="134"/>
        <v>0</v>
      </c>
      <c r="AZ2876" s="46">
        <f t="shared" si="135"/>
        <v>0</v>
      </c>
    </row>
    <row r="2877" spans="50:52">
      <c r="AX2877" s="46">
        <f t="shared" si="133"/>
        <v>0</v>
      </c>
      <c r="AY2877" s="46">
        <f t="shared" si="134"/>
        <v>0</v>
      </c>
      <c r="AZ2877" s="46">
        <f t="shared" si="135"/>
        <v>0</v>
      </c>
    </row>
    <row r="2878" spans="50:52">
      <c r="AX2878" s="46">
        <f t="shared" si="133"/>
        <v>0</v>
      </c>
      <c r="AY2878" s="46">
        <f t="shared" si="134"/>
        <v>0</v>
      </c>
      <c r="AZ2878" s="46">
        <f t="shared" si="135"/>
        <v>0</v>
      </c>
    </row>
    <row r="2879" spans="50:52">
      <c r="AX2879" s="46">
        <f t="shared" si="133"/>
        <v>0</v>
      </c>
      <c r="AY2879" s="46">
        <f t="shared" si="134"/>
        <v>0</v>
      </c>
      <c r="AZ2879" s="46">
        <f t="shared" si="135"/>
        <v>0</v>
      </c>
    </row>
    <row r="2880" spans="50:52">
      <c r="AX2880" s="46">
        <f t="shared" si="133"/>
        <v>0</v>
      </c>
      <c r="AY2880" s="46">
        <f t="shared" si="134"/>
        <v>0</v>
      </c>
      <c r="AZ2880" s="46">
        <f t="shared" si="135"/>
        <v>0</v>
      </c>
    </row>
    <row r="2881" spans="50:52">
      <c r="AX2881" s="46">
        <f t="shared" si="133"/>
        <v>0</v>
      </c>
      <c r="AY2881" s="46">
        <f t="shared" si="134"/>
        <v>0</v>
      </c>
      <c r="AZ2881" s="46">
        <f t="shared" si="135"/>
        <v>0</v>
      </c>
    </row>
    <row r="2882" spans="50:52">
      <c r="AX2882" s="46">
        <f t="shared" si="133"/>
        <v>0</v>
      </c>
      <c r="AY2882" s="46">
        <f t="shared" si="134"/>
        <v>0</v>
      </c>
      <c r="AZ2882" s="46">
        <f t="shared" si="135"/>
        <v>0</v>
      </c>
    </row>
    <row r="2883" spans="50:52">
      <c r="AX2883" s="46">
        <f t="shared" si="133"/>
        <v>0</v>
      </c>
      <c r="AY2883" s="46">
        <f t="shared" si="134"/>
        <v>0</v>
      </c>
      <c r="AZ2883" s="46">
        <f t="shared" si="135"/>
        <v>0</v>
      </c>
    </row>
    <row r="2884" spans="50:52">
      <c r="AX2884" s="46">
        <f t="shared" si="133"/>
        <v>0</v>
      </c>
      <c r="AY2884" s="46">
        <f t="shared" si="134"/>
        <v>0</v>
      </c>
      <c r="AZ2884" s="46">
        <f t="shared" si="135"/>
        <v>0</v>
      </c>
    </row>
    <row r="2885" spans="50:52">
      <c r="AX2885" s="46">
        <f t="shared" si="133"/>
        <v>0</v>
      </c>
      <c r="AY2885" s="46">
        <f t="shared" si="134"/>
        <v>0</v>
      </c>
      <c r="AZ2885" s="46">
        <f t="shared" si="135"/>
        <v>0</v>
      </c>
    </row>
    <row r="2886" spans="50:52">
      <c r="AX2886" s="46">
        <f t="shared" si="133"/>
        <v>0</v>
      </c>
      <c r="AY2886" s="46">
        <f t="shared" si="134"/>
        <v>0</v>
      </c>
      <c r="AZ2886" s="46">
        <f t="shared" si="135"/>
        <v>0</v>
      </c>
    </row>
    <row r="2887" spans="50:52">
      <c r="AX2887" s="46">
        <f t="shared" si="133"/>
        <v>0</v>
      </c>
      <c r="AY2887" s="46">
        <f t="shared" si="134"/>
        <v>0</v>
      </c>
      <c r="AZ2887" s="46">
        <f t="shared" si="135"/>
        <v>0</v>
      </c>
    </row>
    <row r="2888" spans="50:52">
      <c r="AX2888" s="46">
        <f t="shared" si="133"/>
        <v>0</v>
      </c>
      <c r="AY2888" s="46">
        <f t="shared" si="134"/>
        <v>0</v>
      </c>
      <c r="AZ2888" s="46">
        <f t="shared" si="135"/>
        <v>0</v>
      </c>
    </row>
    <row r="2889" spans="50:52">
      <c r="AX2889" s="46">
        <f t="shared" si="133"/>
        <v>0</v>
      </c>
      <c r="AY2889" s="46">
        <f t="shared" si="134"/>
        <v>0</v>
      </c>
      <c r="AZ2889" s="46">
        <f t="shared" si="135"/>
        <v>0</v>
      </c>
    </row>
    <row r="2890" spans="50:52">
      <c r="AX2890" s="46">
        <f t="shared" si="133"/>
        <v>0</v>
      </c>
      <c r="AY2890" s="46">
        <f t="shared" si="134"/>
        <v>0</v>
      </c>
      <c r="AZ2890" s="46">
        <f t="shared" si="135"/>
        <v>0</v>
      </c>
    </row>
    <row r="2891" spans="50:52">
      <c r="AX2891" s="46">
        <f t="shared" ref="AX2891:AX2954" si="136">IFERROR(SUM(Q2891:AS2891)-SUM(AT2891:AU2891)+AV2891,"-")</f>
        <v>0</v>
      </c>
      <c r="AY2891" s="46">
        <f t="shared" ref="AY2891:AY2954" si="137">IFERROR(SUM(Q2891:AS2891)-SUM(AT2891:AT2891),"-")</f>
        <v>0</v>
      </c>
      <c r="AZ2891" s="46">
        <f t="shared" ref="AZ2891:AZ2954" si="138">SUM(Q2891:AS2891)</f>
        <v>0</v>
      </c>
    </row>
    <row r="2892" spans="50:52">
      <c r="AX2892" s="46">
        <f t="shared" si="136"/>
        <v>0</v>
      </c>
      <c r="AY2892" s="46">
        <f t="shared" si="137"/>
        <v>0</v>
      </c>
      <c r="AZ2892" s="46">
        <f t="shared" si="138"/>
        <v>0</v>
      </c>
    </row>
    <row r="2893" spans="50:52">
      <c r="AX2893" s="46">
        <f t="shared" si="136"/>
        <v>0</v>
      </c>
      <c r="AY2893" s="46">
        <f t="shared" si="137"/>
        <v>0</v>
      </c>
      <c r="AZ2893" s="46">
        <f t="shared" si="138"/>
        <v>0</v>
      </c>
    </row>
    <row r="2894" spans="50:52">
      <c r="AX2894" s="46">
        <f t="shared" si="136"/>
        <v>0</v>
      </c>
      <c r="AY2894" s="46">
        <f t="shared" si="137"/>
        <v>0</v>
      </c>
      <c r="AZ2894" s="46">
        <f t="shared" si="138"/>
        <v>0</v>
      </c>
    </row>
    <row r="2895" spans="50:52">
      <c r="AX2895" s="46">
        <f t="shared" si="136"/>
        <v>0</v>
      </c>
      <c r="AY2895" s="46">
        <f t="shared" si="137"/>
        <v>0</v>
      </c>
      <c r="AZ2895" s="46">
        <f t="shared" si="138"/>
        <v>0</v>
      </c>
    </row>
    <row r="2896" spans="50:52">
      <c r="AX2896" s="46">
        <f t="shared" si="136"/>
        <v>0</v>
      </c>
      <c r="AY2896" s="46">
        <f t="shared" si="137"/>
        <v>0</v>
      </c>
      <c r="AZ2896" s="46">
        <f t="shared" si="138"/>
        <v>0</v>
      </c>
    </row>
    <row r="2897" spans="50:52">
      <c r="AX2897" s="46">
        <f t="shared" si="136"/>
        <v>0</v>
      </c>
      <c r="AY2897" s="46">
        <f t="shared" si="137"/>
        <v>0</v>
      </c>
      <c r="AZ2897" s="46">
        <f t="shared" si="138"/>
        <v>0</v>
      </c>
    </row>
    <row r="2898" spans="50:52">
      <c r="AX2898" s="46">
        <f t="shared" si="136"/>
        <v>0</v>
      </c>
      <c r="AY2898" s="46">
        <f t="shared" si="137"/>
        <v>0</v>
      </c>
      <c r="AZ2898" s="46">
        <f t="shared" si="138"/>
        <v>0</v>
      </c>
    </row>
    <row r="2899" spans="50:52">
      <c r="AX2899" s="46">
        <f t="shared" si="136"/>
        <v>0</v>
      </c>
      <c r="AY2899" s="46">
        <f t="shared" si="137"/>
        <v>0</v>
      </c>
      <c r="AZ2899" s="46">
        <f t="shared" si="138"/>
        <v>0</v>
      </c>
    </row>
    <row r="2900" spans="50:52">
      <c r="AX2900" s="46">
        <f t="shared" si="136"/>
        <v>0</v>
      </c>
      <c r="AY2900" s="46">
        <f t="shared" si="137"/>
        <v>0</v>
      </c>
      <c r="AZ2900" s="46">
        <f t="shared" si="138"/>
        <v>0</v>
      </c>
    </row>
    <row r="2901" spans="50:52">
      <c r="AX2901" s="46">
        <f t="shared" si="136"/>
        <v>0</v>
      </c>
      <c r="AY2901" s="46">
        <f t="shared" si="137"/>
        <v>0</v>
      </c>
      <c r="AZ2901" s="46">
        <f t="shared" si="138"/>
        <v>0</v>
      </c>
    </row>
    <row r="2902" spans="50:52">
      <c r="AX2902" s="46">
        <f t="shared" si="136"/>
        <v>0</v>
      </c>
      <c r="AY2902" s="46">
        <f t="shared" si="137"/>
        <v>0</v>
      </c>
      <c r="AZ2902" s="46">
        <f t="shared" si="138"/>
        <v>0</v>
      </c>
    </row>
    <row r="2903" spans="50:52">
      <c r="AX2903" s="46">
        <f t="shared" si="136"/>
        <v>0</v>
      </c>
      <c r="AY2903" s="46">
        <f t="shared" si="137"/>
        <v>0</v>
      </c>
      <c r="AZ2903" s="46">
        <f t="shared" si="138"/>
        <v>0</v>
      </c>
    </row>
    <row r="2904" spans="50:52">
      <c r="AX2904" s="46">
        <f t="shared" si="136"/>
        <v>0</v>
      </c>
      <c r="AY2904" s="46">
        <f t="shared" si="137"/>
        <v>0</v>
      </c>
      <c r="AZ2904" s="46">
        <f t="shared" si="138"/>
        <v>0</v>
      </c>
    </row>
    <row r="2905" spans="50:52">
      <c r="AX2905" s="46">
        <f t="shared" si="136"/>
        <v>0</v>
      </c>
      <c r="AY2905" s="46">
        <f t="shared" si="137"/>
        <v>0</v>
      </c>
      <c r="AZ2905" s="46">
        <f t="shared" si="138"/>
        <v>0</v>
      </c>
    </row>
    <row r="2906" spans="50:52">
      <c r="AX2906" s="46">
        <f t="shared" si="136"/>
        <v>0</v>
      </c>
      <c r="AY2906" s="46">
        <f t="shared" si="137"/>
        <v>0</v>
      </c>
      <c r="AZ2906" s="46">
        <f t="shared" si="138"/>
        <v>0</v>
      </c>
    </row>
    <row r="2907" spans="50:52">
      <c r="AX2907" s="46">
        <f t="shared" si="136"/>
        <v>0</v>
      </c>
      <c r="AY2907" s="46">
        <f t="shared" si="137"/>
        <v>0</v>
      </c>
      <c r="AZ2907" s="46">
        <f t="shared" si="138"/>
        <v>0</v>
      </c>
    </row>
    <row r="2908" spans="50:52">
      <c r="AX2908" s="46">
        <f t="shared" si="136"/>
        <v>0</v>
      </c>
      <c r="AY2908" s="46">
        <f t="shared" si="137"/>
        <v>0</v>
      </c>
      <c r="AZ2908" s="46">
        <f t="shared" si="138"/>
        <v>0</v>
      </c>
    </row>
    <row r="2909" spans="50:52">
      <c r="AX2909" s="46">
        <f t="shared" si="136"/>
        <v>0</v>
      </c>
      <c r="AY2909" s="46">
        <f t="shared" si="137"/>
        <v>0</v>
      </c>
      <c r="AZ2909" s="46">
        <f t="shared" si="138"/>
        <v>0</v>
      </c>
    </row>
    <row r="2910" spans="50:52">
      <c r="AX2910" s="46">
        <f t="shared" si="136"/>
        <v>0</v>
      </c>
      <c r="AY2910" s="46">
        <f t="shared" si="137"/>
        <v>0</v>
      </c>
      <c r="AZ2910" s="46">
        <f t="shared" si="138"/>
        <v>0</v>
      </c>
    </row>
    <row r="2911" spans="50:52">
      <c r="AX2911" s="46">
        <f t="shared" si="136"/>
        <v>0</v>
      </c>
      <c r="AY2911" s="46">
        <f t="shared" si="137"/>
        <v>0</v>
      </c>
      <c r="AZ2911" s="46">
        <f t="shared" si="138"/>
        <v>0</v>
      </c>
    </row>
    <row r="2912" spans="50:52">
      <c r="AX2912" s="46">
        <f t="shared" si="136"/>
        <v>0</v>
      </c>
      <c r="AY2912" s="46">
        <f t="shared" si="137"/>
        <v>0</v>
      </c>
      <c r="AZ2912" s="46">
        <f t="shared" si="138"/>
        <v>0</v>
      </c>
    </row>
    <row r="2913" spans="50:52">
      <c r="AX2913" s="46">
        <f t="shared" si="136"/>
        <v>0</v>
      </c>
      <c r="AY2913" s="46">
        <f t="shared" si="137"/>
        <v>0</v>
      </c>
      <c r="AZ2913" s="46">
        <f t="shared" si="138"/>
        <v>0</v>
      </c>
    </row>
    <row r="2914" spans="50:52">
      <c r="AX2914" s="46">
        <f t="shared" si="136"/>
        <v>0</v>
      </c>
      <c r="AY2914" s="46">
        <f t="shared" si="137"/>
        <v>0</v>
      </c>
      <c r="AZ2914" s="46">
        <f t="shared" si="138"/>
        <v>0</v>
      </c>
    </row>
    <row r="2915" spans="50:52">
      <c r="AX2915" s="46">
        <f t="shared" si="136"/>
        <v>0</v>
      </c>
      <c r="AY2915" s="46">
        <f t="shared" si="137"/>
        <v>0</v>
      </c>
      <c r="AZ2915" s="46">
        <f t="shared" si="138"/>
        <v>0</v>
      </c>
    </row>
    <row r="2916" spans="50:52">
      <c r="AX2916" s="46">
        <f t="shared" si="136"/>
        <v>0</v>
      </c>
      <c r="AY2916" s="46">
        <f t="shared" si="137"/>
        <v>0</v>
      </c>
      <c r="AZ2916" s="46">
        <f t="shared" si="138"/>
        <v>0</v>
      </c>
    </row>
    <row r="2917" spans="50:52">
      <c r="AX2917" s="46">
        <f t="shared" si="136"/>
        <v>0</v>
      </c>
      <c r="AY2917" s="46">
        <f t="shared" si="137"/>
        <v>0</v>
      </c>
      <c r="AZ2917" s="46">
        <f t="shared" si="138"/>
        <v>0</v>
      </c>
    </row>
    <row r="2918" spans="50:52">
      <c r="AX2918" s="46">
        <f t="shared" si="136"/>
        <v>0</v>
      </c>
      <c r="AY2918" s="46">
        <f t="shared" si="137"/>
        <v>0</v>
      </c>
      <c r="AZ2918" s="46">
        <f t="shared" si="138"/>
        <v>0</v>
      </c>
    </row>
    <row r="2919" spans="50:52">
      <c r="AX2919" s="46">
        <f t="shared" si="136"/>
        <v>0</v>
      </c>
      <c r="AY2919" s="46">
        <f t="shared" si="137"/>
        <v>0</v>
      </c>
      <c r="AZ2919" s="46">
        <f t="shared" si="138"/>
        <v>0</v>
      </c>
    </row>
    <row r="2920" spans="50:52">
      <c r="AX2920" s="46">
        <f t="shared" si="136"/>
        <v>0</v>
      </c>
      <c r="AY2920" s="46">
        <f t="shared" si="137"/>
        <v>0</v>
      </c>
      <c r="AZ2920" s="46">
        <f t="shared" si="138"/>
        <v>0</v>
      </c>
    </row>
    <row r="2921" spans="50:52">
      <c r="AX2921" s="46">
        <f t="shared" si="136"/>
        <v>0</v>
      </c>
      <c r="AY2921" s="46">
        <f t="shared" si="137"/>
        <v>0</v>
      </c>
      <c r="AZ2921" s="46">
        <f t="shared" si="138"/>
        <v>0</v>
      </c>
    </row>
    <row r="2922" spans="50:52">
      <c r="AX2922" s="46">
        <f t="shared" si="136"/>
        <v>0</v>
      </c>
      <c r="AY2922" s="46">
        <f t="shared" si="137"/>
        <v>0</v>
      </c>
      <c r="AZ2922" s="46">
        <f t="shared" si="138"/>
        <v>0</v>
      </c>
    </row>
    <row r="2923" spans="50:52">
      <c r="AX2923" s="46">
        <f t="shared" si="136"/>
        <v>0</v>
      </c>
      <c r="AY2923" s="46">
        <f t="shared" si="137"/>
        <v>0</v>
      </c>
      <c r="AZ2923" s="46">
        <f t="shared" si="138"/>
        <v>0</v>
      </c>
    </row>
    <row r="2924" spans="50:52">
      <c r="AX2924" s="46">
        <f t="shared" si="136"/>
        <v>0</v>
      </c>
      <c r="AY2924" s="46">
        <f t="shared" si="137"/>
        <v>0</v>
      </c>
      <c r="AZ2924" s="46">
        <f t="shared" si="138"/>
        <v>0</v>
      </c>
    </row>
    <row r="2925" spans="50:52">
      <c r="AX2925" s="46">
        <f t="shared" si="136"/>
        <v>0</v>
      </c>
      <c r="AY2925" s="46">
        <f t="shared" si="137"/>
        <v>0</v>
      </c>
      <c r="AZ2925" s="46">
        <f t="shared" si="138"/>
        <v>0</v>
      </c>
    </row>
    <row r="2926" spans="50:52">
      <c r="AX2926" s="46">
        <f t="shared" si="136"/>
        <v>0</v>
      </c>
      <c r="AY2926" s="46">
        <f t="shared" si="137"/>
        <v>0</v>
      </c>
      <c r="AZ2926" s="46">
        <f t="shared" si="138"/>
        <v>0</v>
      </c>
    </row>
    <row r="2927" spans="50:52">
      <c r="AX2927" s="46">
        <f t="shared" si="136"/>
        <v>0</v>
      </c>
      <c r="AY2927" s="46">
        <f t="shared" si="137"/>
        <v>0</v>
      </c>
      <c r="AZ2927" s="46">
        <f t="shared" si="138"/>
        <v>0</v>
      </c>
    </row>
    <row r="2928" spans="50:52">
      <c r="AX2928" s="46">
        <f t="shared" si="136"/>
        <v>0</v>
      </c>
      <c r="AY2928" s="46">
        <f t="shared" si="137"/>
        <v>0</v>
      </c>
      <c r="AZ2928" s="46">
        <f t="shared" si="138"/>
        <v>0</v>
      </c>
    </row>
    <row r="2929" spans="50:52">
      <c r="AX2929" s="46">
        <f t="shared" si="136"/>
        <v>0</v>
      </c>
      <c r="AY2929" s="46">
        <f t="shared" si="137"/>
        <v>0</v>
      </c>
      <c r="AZ2929" s="46">
        <f t="shared" si="138"/>
        <v>0</v>
      </c>
    </row>
    <row r="2930" spans="50:52">
      <c r="AX2930" s="46">
        <f t="shared" si="136"/>
        <v>0</v>
      </c>
      <c r="AY2930" s="46">
        <f t="shared" si="137"/>
        <v>0</v>
      </c>
      <c r="AZ2930" s="46">
        <f t="shared" si="138"/>
        <v>0</v>
      </c>
    </row>
    <row r="2931" spans="50:52">
      <c r="AX2931" s="46">
        <f t="shared" si="136"/>
        <v>0</v>
      </c>
      <c r="AY2931" s="46">
        <f t="shared" si="137"/>
        <v>0</v>
      </c>
      <c r="AZ2931" s="46">
        <f t="shared" si="138"/>
        <v>0</v>
      </c>
    </row>
    <row r="2932" spans="50:52">
      <c r="AX2932" s="46">
        <f t="shared" si="136"/>
        <v>0</v>
      </c>
      <c r="AY2932" s="46">
        <f t="shared" si="137"/>
        <v>0</v>
      </c>
      <c r="AZ2932" s="46">
        <f t="shared" si="138"/>
        <v>0</v>
      </c>
    </row>
    <row r="2933" spans="50:52">
      <c r="AX2933" s="46">
        <f t="shared" si="136"/>
        <v>0</v>
      </c>
      <c r="AY2933" s="46">
        <f t="shared" si="137"/>
        <v>0</v>
      </c>
      <c r="AZ2933" s="46">
        <f t="shared" si="138"/>
        <v>0</v>
      </c>
    </row>
    <row r="2934" spans="50:52">
      <c r="AX2934" s="46">
        <f t="shared" si="136"/>
        <v>0</v>
      </c>
      <c r="AY2934" s="46">
        <f t="shared" si="137"/>
        <v>0</v>
      </c>
      <c r="AZ2934" s="46">
        <f t="shared" si="138"/>
        <v>0</v>
      </c>
    </row>
    <row r="2935" spans="50:52">
      <c r="AX2935" s="46">
        <f t="shared" si="136"/>
        <v>0</v>
      </c>
      <c r="AY2935" s="46">
        <f t="shared" si="137"/>
        <v>0</v>
      </c>
      <c r="AZ2935" s="46">
        <f t="shared" si="138"/>
        <v>0</v>
      </c>
    </row>
    <row r="2936" spans="50:52">
      <c r="AX2936" s="46">
        <f t="shared" si="136"/>
        <v>0</v>
      </c>
      <c r="AY2936" s="46">
        <f t="shared" si="137"/>
        <v>0</v>
      </c>
      <c r="AZ2936" s="46">
        <f t="shared" si="138"/>
        <v>0</v>
      </c>
    </row>
    <row r="2937" spans="50:52">
      <c r="AX2937" s="46">
        <f t="shared" si="136"/>
        <v>0</v>
      </c>
      <c r="AY2937" s="46">
        <f t="shared" si="137"/>
        <v>0</v>
      </c>
      <c r="AZ2937" s="46">
        <f t="shared" si="138"/>
        <v>0</v>
      </c>
    </row>
    <row r="2938" spans="50:52">
      <c r="AX2938" s="46">
        <f t="shared" si="136"/>
        <v>0</v>
      </c>
      <c r="AY2938" s="46">
        <f t="shared" si="137"/>
        <v>0</v>
      </c>
      <c r="AZ2938" s="46">
        <f t="shared" si="138"/>
        <v>0</v>
      </c>
    </row>
    <row r="2939" spans="50:52">
      <c r="AX2939" s="46">
        <f t="shared" si="136"/>
        <v>0</v>
      </c>
      <c r="AY2939" s="46">
        <f t="shared" si="137"/>
        <v>0</v>
      </c>
      <c r="AZ2939" s="46">
        <f t="shared" si="138"/>
        <v>0</v>
      </c>
    </row>
    <row r="2940" spans="50:52">
      <c r="AX2940" s="46">
        <f t="shared" si="136"/>
        <v>0</v>
      </c>
      <c r="AY2940" s="46">
        <f t="shared" si="137"/>
        <v>0</v>
      </c>
      <c r="AZ2940" s="46">
        <f t="shared" si="138"/>
        <v>0</v>
      </c>
    </row>
    <row r="2941" spans="50:52">
      <c r="AX2941" s="46">
        <f t="shared" si="136"/>
        <v>0</v>
      </c>
      <c r="AY2941" s="46">
        <f t="shared" si="137"/>
        <v>0</v>
      </c>
      <c r="AZ2941" s="46">
        <f t="shared" si="138"/>
        <v>0</v>
      </c>
    </row>
    <row r="2942" spans="50:52">
      <c r="AX2942" s="46">
        <f t="shared" si="136"/>
        <v>0</v>
      </c>
      <c r="AY2942" s="46">
        <f t="shared" si="137"/>
        <v>0</v>
      </c>
      <c r="AZ2942" s="46">
        <f t="shared" si="138"/>
        <v>0</v>
      </c>
    </row>
    <row r="2943" spans="50:52">
      <c r="AX2943" s="46">
        <f t="shared" si="136"/>
        <v>0</v>
      </c>
      <c r="AY2943" s="46">
        <f t="shared" si="137"/>
        <v>0</v>
      </c>
      <c r="AZ2943" s="46">
        <f t="shared" si="138"/>
        <v>0</v>
      </c>
    </row>
    <row r="2944" spans="50:52">
      <c r="AX2944" s="46">
        <f t="shared" si="136"/>
        <v>0</v>
      </c>
      <c r="AY2944" s="46">
        <f t="shared" si="137"/>
        <v>0</v>
      </c>
      <c r="AZ2944" s="46">
        <f t="shared" si="138"/>
        <v>0</v>
      </c>
    </row>
    <row r="2945" spans="50:52">
      <c r="AX2945" s="46">
        <f t="shared" si="136"/>
        <v>0</v>
      </c>
      <c r="AY2945" s="46">
        <f t="shared" si="137"/>
        <v>0</v>
      </c>
      <c r="AZ2945" s="46">
        <f t="shared" si="138"/>
        <v>0</v>
      </c>
    </row>
    <row r="2946" spans="50:52">
      <c r="AX2946" s="46">
        <f t="shared" si="136"/>
        <v>0</v>
      </c>
      <c r="AY2946" s="46">
        <f t="shared" si="137"/>
        <v>0</v>
      </c>
      <c r="AZ2946" s="46">
        <f t="shared" si="138"/>
        <v>0</v>
      </c>
    </row>
    <row r="2947" spans="50:52">
      <c r="AX2947" s="46">
        <f t="shared" si="136"/>
        <v>0</v>
      </c>
      <c r="AY2947" s="46">
        <f t="shared" si="137"/>
        <v>0</v>
      </c>
      <c r="AZ2947" s="46">
        <f t="shared" si="138"/>
        <v>0</v>
      </c>
    </row>
    <row r="2948" spans="50:52">
      <c r="AX2948" s="46">
        <f t="shared" si="136"/>
        <v>0</v>
      </c>
      <c r="AY2948" s="46">
        <f t="shared" si="137"/>
        <v>0</v>
      </c>
      <c r="AZ2948" s="46">
        <f t="shared" si="138"/>
        <v>0</v>
      </c>
    </row>
    <row r="2949" spans="50:52">
      <c r="AX2949" s="46">
        <f t="shared" si="136"/>
        <v>0</v>
      </c>
      <c r="AY2949" s="46">
        <f t="shared" si="137"/>
        <v>0</v>
      </c>
      <c r="AZ2949" s="46">
        <f t="shared" si="138"/>
        <v>0</v>
      </c>
    </row>
    <row r="2950" spans="50:52">
      <c r="AX2950" s="46">
        <f t="shared" si="136"/>
        <v>0</v>
      </c>
      <c r="AY2950" s="46">
        <f t="shared" si="137"/>
        <v>0</v>
      </c>
      <c r="AZ2950" s="46">
        <f t="shared" si="138"/>
        <v>0</v>
      </c>
    </row>
    <row r="2951" spans="50:52">
      <c r="AX2951" s="46">
        <f t="shared" si="136"/>
        <v>0</v>
      </c>
      <c r="AY2951" s="46">
        <f t="shared" si="137"/>
        <v>0</v>
      </c>
      <c r="AZ2951" s="46">
        <f t="shared" si="138"/>
        <v>0</v>
      </c>
    </row>
    <row r="2952" spans="50:52">
      <c r="AX2952" s="46">
        <f t="shared" si="136"/>
        <v>0</v>
      </c>
      <c r="AY2952" s="46">
        <f t="shared" si="137"/>
        <v>0</v>
      </c>
      <c r="AZ2952" s="46">
        <f t="shared" si="138"/>
        <v>0</v>
      </c>
    </row>
    <row r="2953" spans="50:52">
      <c r="AX2953" s="46">
        <f t="shared" si="136"/>
        <v>0</v>
      </c>
      <c r="AY2953" s="46">
        <f t="shared" si="137"/>
        <v>0</v>
      </c>
      <c r="AZ2953" s="46">
        <f t="shared" si="138"/>
        <v>0</v>
      </c>
    </row>
    <row r="2954" spans="50:52">
      <c r="AX2954" s="46">
        <f t="shared" si="136"/>
        <v>0</v>
      </c>
      <c r="AY2954" s="46">
        <f t="shared" si="137"/>
        <v>0</v>
      </c>
      <c r="AZ2954" s="46">
        <f t="shared" si="138"/>
        <v>0</v>
      </c>
    </row>
    <row r="2955" spans="50:52">
      <c r="AX2955" s="46">
        <f t="shared" ref="AX2955:AX3018" si="139">IFERROR(SUM(Q2955:AS2955)-SUM(AT2955:AU2955)+AV2955,"-")</f>
        <v>0</v>
      </c>
      <c r="AY2955" s="46">
        <f t="shared" ref="AY2955:AY3018" si="140">IFERROR(SUM(Q2955:AS2955)-SUM(AT2955:AT2955),"-")</f>
        <v>0</v>
      </c>
      <c r="AZ2955" s="46">
        <f t="shared" ref="AZ2955:AZ3018" si="141">SUM(Q2955:AS2955)</f>
        <v>0</v>
      </c>
    </row>
    <row r="2956" spans="50:52">
      <c r="AX2956" s="46">
        <f t="shared" si="139"/>
        <v>0</v>
      </c>
      <c r="AY2956" s="46">
        <f t="shared" si="140"/>
        <v>0</v>
      </c>
      <c r="AZ2956" s="46">
        <f t="shared" si="141"/>
        <v>0</v>
      </c>
    </row>
    <row r="2957" spans="50:52">
      <c r="AX2957" s="46">
        <f t="shared" si="139"/>
        <v>0</v>
      </c>
      <c r="AY2957" s="46">
        <f t="shared" si="140"/>
        <v>0</v>
      </c>
      <c r="AZ2957" s="46">
        <f t="shared" si="141"/>
        <v>0</v>
      </c>
    </row>
    <row r="2958" spans="50:52">
      <c r="AX2958" s="46">
        <f t="shared" si="139"/>
        <v>0</v>
      </c>
      <c r="AY2958" s="46">
        <f t="shared" si="140"/>
        <v>0</v>
      </c>
      <c r="AZ2958" s="46">
        <f t="shared" si="141"/>
        <v>0</v>
      </c>
    </row>
    <row r="2959" spans="50:52">
      <c r="AX2959" s="46">
        <f t="shared" si="139"/>
        <v>0</v>
      </c>
      <c r="AY2959" s="46">
        <f t="shared" si="140"/>
        <v>0</v>
      </c>
      <c r="AZ2959" s="46">
        <f t="shared" si="141"/>
        <v>0</v>
      </c>
    </row>
    <row r="2960" spans="50:52">
      <c r="AX2960" s="46">
        <f t="shared" si="139"/>
        <v>0</v>
      </c>
      <c r="AY2960" s="46">
        <f t="shared" si="140"/>
        <v>0</v>
      </c>
      <c r="AZ2960" s="46">
        <f t="shared" si="141"/>
        <v>0</v>
      </c>
    </row>
    <row r="2961" spans="50:52">
      <c r="AX2961" s="46">
        <f t="shared" si="139"/>
        <v>0</v>
      </c>
      <c r="AY2961" s="46">
        <f t="shared" si="140"/>
        <v>0</v>
      </c>
      <c r="AZ2961" s="46">
        <f t="shared" si="141"/>
        <v>0</v>
      </c>
    </row>
    <row r="2962" spans="50:52">
      <c r="AX2962" s="46">
        <f t="shared" si="139"/>
        <v>0</v>
      </c>
      <c r="AY2962" s="46">
        <f t="shared" si="140"/>
        <v>0</v>
      </c>
      <c r="AZ2962" s="46">
        <f t="shared" si="141"/>
        <v>0</v>
      </c>
    </row>
    <row r="2963" spans="50:52">
      <c r="AX2963" s="46">
        <f t="shared" si="139"/>
        <v>0</v>
      </c>
      <c r="AY2963" s="46">
        <f t="shared" si="140"/>
        <v>0</v>
      </c>
      <c r="AZ2963" s="46">
        <f t="shared" si="141"/>
        <v>0</v>
      </c>
    </row>
    <row r="2964" spans="50:52">
      <c r="AX2964" s="46">
        <f t="shared" si="139"/>
        <v>0</v>
      </c>
      <c r="AY2964" s="46">
        <f t="shared" si="140"/>
        <v>0</v>
      </c>
      <c r="AZ2964" s="46">
        <f t="shared" si="141"/>
        <v>0</v>
      </c>
    </row>
    <row r="2965" spans="50:52">
      <c r="AX2965" s="46">
        <f t="shared" si="139"/>
        <v>0</v>
      </c>
      <c r="AY2965" s="46">
        <f t="shared" si="140"/>
        <v>0</v>
      </c>
      <c r="AZ2965" s="46">
        <f t="shared" si="141"/>
        <v>0</v>
      </c>
    </row>
    <row r="2966" spans="50:52">
      <c r="AX2966" s="46">
        <f t="shared" si="139"/>
        <v>0</v>
      </c>
      <c r="AY2966" s="46">
        <f t="shared" si="140"/>
        <v>0</v>
      </c>
      <c r="AZ2966" s="46">
        <f t="shared" si="141"/>
        <v>0</v>
      </c>
    </row>
    <row r="2967" spans="50:52">
      <c r="AX2967" s="46">
        <f t="shared" si="139"/>
        <v>0</v>
      </c>
      <c r="AY2967" s="46">
        <f t="shared" si="140"/>
        <v>0</v>
      </c>
      <c r="AZ2967" s="46">
        <f t="shared" si="141"/>
        <v>0</v>
      </c>
    </row>
    <row r="2968" spans="50:52">
      <c r="AX2968" s="46">
        <f t="shared" si="139"/>
        <v>0</v>
      </c>
      <c r="AY2968" s="46">
        <f t="shared" si="140"/>
        <v>0</v>
      </c>
      <c r="AZ2968" s="46">
        <f t="shared" si="141"/>
        <v>0</v>
      </c>
    </row>
    <row r="2969" spans="50:52">
      <c r="AX2969" s="46">
        <f t="shared" si="139"/>
        <v>0</v>
      </c>
      <c r="AY2969" s="46">
        <f t="shared" si="140"/>
        <v>0</v>
      </c>
      <c r="AZ2969" s="46">
        <f t="shared" si="141"/>
        <v>0</v>
      </c>
    </row>
    <row r="2970" spans="50:52">
      <c r="AX2970" s="46">
        <f t="shared" si="139"/>
        <v>0</v>
      </c>
      <c r="AY2970" s="46">
        <f t="shared" si="140"/>
        <v>0</v>
      </c>
      <c r="AZ2970" s="46">
        <f t="shared" si="141"/>
        <v>0</v>
      </c>
    </row>
    <row r="2971" spans="50:52">
      <c r="AX2971" s="46">
        <f t="shared" si="139"/>
        <v>0</v>
      </c>
      <c r="AY2971" s="46">
        <f t="shared" si="140"/>
        <v>0</v>
      </c>
      <c r="AZ2971" s="46">
        <f t="shared" si="141"/>
        <v>0</v>
      </c>
    </row>
    <row r="2972" spans="50:52">
      <c r="AX2972" s="46">
        <f t="shared" si="139"/>
        <v>0</v>
      </c>
      <c r="AY2972" s="46">
        <f t="shared" si="140"/>
        <v>0</v>
      </c>
      <c r="AZ2972" s="46">
        <f t="shared" si="141"/>
        <v>0</v>
      </c>
    </row>
    <row r="2973" spans="50:52">
      <c r="AX2973" s="46">
        <f t="shared" si="139"/>
        <v>0</v>
      </c>
      <c r="AY2973" s="46">
        <f t="shared" si="140"/>
        <v>0</v>
      </c>
      <c r="AZ2973" s="46">
        <f t="shared" si="141"/>
        <v>0</v>
      </c>
    </row>
    <row r="2974" spans="50:52">
      <c r="AX2974" s="46">
        <f t="shared" si="139"/>
        <v>0</v>
      </c>
      <c r="AY2974" s="46">
        <f t="shared" si="140"/>
        <v>0</v>
      </c>
      <c r="AZ2974" s="46">
        <f t="shared" si="141"/>
        <v>0</v>
      </c>
    </row>
    <row r="2975" spans="50:52">
      <c r="AX2975" s="46">
        <f t="shared" si="139"/>
        <v>0</v>
      </c>
      <c r="AY2975" s="46">
        <f t="shared" si="140"/>
        <v>0</v>
      </c>
      <c r="AZ2975" s="46">
        <f t="shared" si="141"/>
        <v>0</v>
      </c>
    </row>
    <row r="2976" spans="50:52">
      <c r="AX2976" s="46">
        <f t="shared" si="139"/>
        <v>0</v>
      </c>
      <c r="AY2976" s="46">
        <f t="shared" si="140"/>
        <v>0</v>
      </c>
      <c r="AZ2976" s="46">
        <f t="shared" si="141"/>
        <v>0</v>
      </c>
    </row>
    <row r="2977" spans="50:52">
      <c r="AX2977" s="46">
        <f t="shared" si="139"/>
        <v>0</v>
      </c>
      <c r="AY2977" s="46">
        <f t="shared" si="140"/>
        <v>0</v>
      </c>
      <c r="AZ2977" s="46">
        <f t="shared" si="141"/>
        <v>0</v>
      </c>
    </row>
    <row r="2978" spans="50:52">
      <c r="AX2978" s="46">
        <f t="shared" si="139"/>
        <v>0</v>
      </c>
      <c r="AY2978" s="46">
        <f t="shared" si="140"/>
        <v>0</v>
      </c>
      <c r="AZ2978" s="46">
        <f t="shared" si="141"/>
        <v>0</v>
      </c>
    </row>
    <row r="2979" spans="50:52">
      <c r="AX2979" s="46">
        <f t="shared" si="139"/>
        <v>0</v>
      </c>
      <c r="AY2979" s="46">
        <f t="shared" si="140"/>
        <v>0</v>
      </c>
      <c r="AZ2979" s="46">
        <f t="shared" si="141"/>
        <v>0</v>
      </c>
    </row>
    <row r="2980" spans="50:52">
      <c r="AX2980" s="46">
        <f t="shared" si="139"/>
        <v>0</v>
      </c>
      <c r="AY2980" s="46">
        <f t="shared" si="140"/>
        <v>0</v>
      </c>
      <c r="AZ2980" s="46">
        <f t="shared" si="141"/>
        <v>0</v>
      </c>
    </row>
    <row r="2981" spans="50:52">
      <c r="AX2981" s="46">
        <f t="shared" si="139"/>
        <v>0</v>
      </c>
      <c r="AY2981" s="46">
        <f t="shared" si="140"/>
        <v>0</v>
      </c>
      <c r="AZ2981" s="46">
        <f t="shared" si="141"/>
        <v>0</v>
      </c>
    </row>
    <row r="2982" spans="50:52">
      <c r="AX2982" s="46">
        <f t="shared" si="139"/>
        <v>0</v>
      </c>
      <c r="AY2982" s="46">
        <f t="shared" si="140"/>
        <v>0</v>
      </c>
      <c r="AZ2982" s="46">
        <f t="shared" si="141"/>
        <v>0</v>
      </c>
    </row>
    <row r="2983" spans="50:52">
      <c r="AX2983" s="46">
        <f t="shared" si="139"/>
        <v>0</v>
      </c>
      <c r="AY2983" s="46">
        <f t="shared" si="140"/>
        <v>0</v>
      </c>
      <c r="AZ2983" s="46">
        <f t="shared" si="141"/>
        <v>0</v>
      </c>
    </row>
    <row r="2984" spans="50:52">
      <c r="AX2984" s="46">
        <f t="shared" si="139"/>
        <v>0</v>
      </c>
      <c r="AY2984" s="46">
        <f t="shared" si="140"/>
        <v>0</v>
      </c>
      <c r="AZ2984" s="46">
        <f t="shared" si="141"/>
        <v>0</v>
      </c>
    </row>
    <row r="2985" spans="50:52">
      <c r="AX2985" s="46">
        <f t="shared" si="139"/>
        <v>0</v>
      </c>
      <c r="AY2985" s="46">
        <f t="shared" si="140"/>
        <v>0</v>
      </c>
      <c r="AZ2985" s="46">
        <f t="shared" si="141"/>
        <v>0</v>
      </c>
    </row>
    <row r="2986" spans="50:52">
      <c r="AX2986" s="46">
        <f t="shared" si="139"/>
        <v>0</v>
      </c>
      <c r="AY2986" s="46">
        <f t="shared" si="140"/>
        <v>0</v>
      </c>
      <c r="AZ2986" s="46">
        <f t="shared" si="141"/>
        <v>0</v>
      </c>
    </row>
    <row r="2987" spans="50:52">
      <c r="AX2987" s="46">
        <f t="shared" si="139"/>
        <v>0</v>
      </c>
      <c r="AY2987" s="46">
        <f t="shared" si="140"/>
        <v>0</v>
      </c>
      <c r="AZ2987" s="46">
        <f t="shared" si="141"/>
        <v>0</v>
      </c>
    </row>
    <row r="2988" spans="50:52">
      <c r="AX2988" s="46">
        <f t="shared" si="139"/>
        <v>0</v>
      </c>
      <c r="AY2988" s="46">
        <f t="shared" si="140"/>
        <v>0</v>
      </c>
      <c r="AZ2988" s="46">
        <f t="shared" si="141"/>
        <v>0</v>
      </c>
    </row>
    <row r="2989" spans="50:52">
      <c r="AX2989" s="46">
        <f t="shared" si="139"/>
        <v>0</v>
      </c>
      <c r="AY2989" s="46">
        <f t="shared" si="140"/>
        <v>0</v>
      </c>
      <c r="AZ2989" s="46">
        <f t="shared" si="141"/>
        <v>0</v>
      </c>
    </row>
    <row r="2990" spans="50:52">
      <c r="AX2990" s="46">
        <f t="shared" si="139"/>
        <v>0</v>
      </c>
      <c r="AY2990" s="46">
        <f t="shared" si="140"/>
        <v>0</v>
      </c>
      <c r="AZ2990" s="46">
        <f t="shared" si="141"/>
        <v>0</v>
      </c>
    </row>
    <row r="2991" spans="50:52">
      <c r="AX2991" s="46">
        <f t="shared" si="139"/>
        <v>0</v>
      </c>
      <c r="AY2991" s="46">
        <f t="shared" si="140"/>
        <v>0</v>
      </c>
      <c r="AZ2991" s="46">
        <f t="shared" si="141"/>
        <v>0</v>
      </c>
    </row>
    <row r="2992" spans="50:52">
      <c r="AX2992" s="46">
        <f t="shared" si="139"/>
        <v>0</v>
      </c>
      <c r="AY2992" s="46">
        <f t="shared" si="140"/>
        <v>0</v>
      </c>
      <c r="AZ2992" s="46">
        <f t="shared" si="141"/>
        <v>0</v>
      </c>
    </row>
    <row r="2993" spans="50:52">
      <c r="AX2993" s="46">
        <f t="shared" si="139"/>
        <v>0</v>
      </c>
      <c r="AY2993" s="46">
        <f t="shared" si="140"/>
        <v>0</v>
      </c>
      <c r="AZ2993" s="46">
        <f t="shared" si="141"/>
        <v>0</v>
      </c>
    </row>
    <row r="2994" spans="50:52">
      <c r="AX2994" s="46">
        <f t="shared" si="139"/>
        <v>0</v>
      </c>
      <c r="AY2994" s="46">
        <f t="shared" si="140"/>
        <v>0</v>
      </c>
      <c r="AZ2994" s="46">
        <f t="shared" si="141"/>
        <v>0</v>
      </c>
    </row>
    <row r="2995" spans="50:52">
      <c r="AX2995" s="46">
        <f t="shared" si="139"/>
        <v>0</v>
      </c>
      <c r="AY2995" s="46">
        <f t="shared" si="140"/>
        <v>0</v>
      </c>
      <c r="AZ2995" s="46">
        <f t="shared" si="141"/>
        <v>0</v>
      </c>
    </row>
    <row r="2996" spans="50:52">
      <c r="AX2996" s="46">
        <f t="shared" si="139"/>
        <v>0</v>
      </c>
      <c r="AY2996" s="46">
        <f t="shared" si="140"/>
        <v>0</v>
      </c>
      <c r="AZ2996" s="46">
        <f t="shared" si="141"/>
        <v>0</v>
      </c>
    </row>
    <row r="2997" spans="50:52">
      <c r="AX2997" s="46">
        <f t="shared" si="139"/>
        <v>0</v>
      </c>
      <c r="AY2997" s="46">
        <f t="shared" si="140"/>
        <v>0</v>
      </c>
      <c r="AZ2997" s="46">
        <f t="shared" si="141"/>
        <v>0</v>
      </c>
    </row>
    <row r="2998" spans="50:52">
      <c r="AX2998" s="46">
        <f t="shared" si="139"/>
        <v>0</v>
      </c>
      <c r="AY2998" s="46">
        <f t="shared" si="140"/>
        <v>0</v>
      </c>
      <c r="AZ2998" s="46">
        <f t="shared" si="141"/>
        <v>0</v>
      </c>
    </row>
    <row r="2999" spans="50:52">
      <c r="AX2999" s="46">
        <f t="shared" si="139"/>
        <v>0</v>
      </c>
      <c r="AY2999" s="46">
        <f t="shared" si="140"/>
        <v>0</v>
      </c>
      <c r="AZ2999" s="46">
        <f t="shared" si="141"/>
        <v>0</v>
      </c>
    </row>
    <row r="3000" spans="50:52">
      <c r="AX3000" s="46">
        <f t="shared" si="139"/>
        <v>0</v>
      </c>
      <c r="AY3000" s="46">
        <f t="shared" si="140"/>
        <v>0</v>
      </c>
      <c r="AZ3000" s="46">
        <f t="shared" si="141"/>
        <v>0</v>
      </c>
    </row>
    <row r="3001" spans="50:52">
      <c r="AX3001" s="46">
        <f t="shared" si="139"/>
        <v>0</v>
      </c>
      <c r="AY3001" s="46">
        <f t="shared" si="140"/>
        <v>0</v>
      </c>
      <c r="AZ3001" s="46">
        <f t="shared" si="141"/>
        <v>0</v>
      </c>
    </row>
    <row r="3002" spans="50:52">
      <c r="AX3002" s="46">
        <f t="shared" si="139"/>
        <v>0</v>
      </c>
      <c r="AY3002" s="46">
        <f t="shared" si="140"/>
        <v>0</v>
      </c>
      <c r="AZ3002" s="46">
        <f t="shared" si="141"/>
        <v>0</v>
      </c>
    </row>
    <row r="3003" spans="50:52">
      <c r="AX3003" s="46">
        <f t="shared" si="139"/>
        <v>0</v>
      </c>
      <c r="AY3003" s="46">
        <f t="shared" si="140"/>
        <v>0</v>
      </c>
      <c r="AZ3003" s="46">
        <f t="shared" si="141"/>
        <v>0</v>
      </c>
    </row>
    <row r="3004" spans="50:52">
      <c r="AX3004" s="46">
        <f t="shared" si="139"/>
        <v>0</v>
      </c>
      <c r="AY3004" s="46">
        <f t="shared" si="140"/>
        <v>0</v>
      </c>
      <c r="AZ3004" s="46">
        <f t="shared" si="141"/>
        <v>0</v>
      </c>
    </row>
    <row r="3005" spans="50:52">
      <c r="AX3005" s="46">
        <f t="shared" si="139"/>
        <v>0</v>
      </c>
      <c r="AY3005" s="46">
        <f t="shared" si="140"/>
        <v>0</v>
      </c>
      <c r="AZ3005" s="46">
        <f t="shared" si="141"/>
        <v>0</v>
      </c>
    </row>
    <row r="3006" spans="50:52">
      <c r="AX3006" s="46">
        <f t="shared" si="139"/>
        <v>0</v>
      </c>
      <c r="AY3006" s="46">
        <f t="shared" si="140"/>
        <v>0</v>
      </c>
      <c r="AZ3006" s="46">
        <f t="shared" si="141"/>
        <v>0</v>
      </c>
    </row>
    <row r="3007" spans="50:52">
      <c r="AX3007" s="46">
        <f t="shared" si="139"/>
        <v>0</v>
      </c>
      <c r="AY3007" s="46">
        <f t="shared" si="140"/>
        <v>0</v>
      </c>
      <c r="AZ3007" s="46">
        <f t="shared" si="141"/>
        <v>0</v>
      </c>
    </row>
    <row r="3008" spans="50:52">
      <c r="AX3008" s="46">
        <f t="shared" si="139"/>
        <v>0</v>
      </c>
      <c r="AY3008" s="46">
        <f t="shared" si="140"/>
        <v>0</v>
      </c>
      <c r="AZ3008" s="46">
        <f t="shared" si="141"/>
        <v>0</v>
      </c>
    </row>
    <row r="3009" spans="50:52">
      <c r="AX3009" s="46">
        <f t="shared" si="139"/>
        <v>0</v>
      </c>
      <c r="AY3009" s="46">
        <f t="shared" si="140"/>
        <v>0</v>
      </c>
      <c r="AZ3009" s="46">
        <f t="shared" si="141"/>
        <v>0</v>
      </c>
    </row>
    <row r="3010" spans="50:52">
      <c r="AX3010" s="46">
        <f t="shared" si="139"/>
        <v>0</v>
      </c>
      <c r="AY3010" s="46">
        <f t="shared" si="140"/>
        <v>0</v>
      </c>
      <c r="AZ3010" s="46">
        <f t="shared" si="141"/>
        <v>0</v>
      </c>
    </row>
    <row r="3011" spans="50:52">
      <c r="AX3011" s="46">
        <f t="shared" si="139"/>
        <v>0</v>
      </c>
      <c r="AY3011" s="46">
        <f t="shared" si="140"/>
        <v>0</v>
      </c>
      <c r="AZ3011" s="46">
        <f t="shared" si="141"/>
        <v>0</v>
      </c>
    </row>
    <row r="3012" spans="50:52">
      <c r="AX3012" s="46">
        <f t="shared" si="139"/>
        <v>0</v>
      </c>
      <c r="AY3012" s="46">
        <f t="shared" si="140"/>
        <v>0</v>
      </c>
      <c r="AZ3012" s="46">
        <f t="shared" si="141"/>
        <v>0</v>
      </c>
    </row>
    <row r="3013" spans="50:52">
      <c r="AX3013" s="46">
        <f t="shared" si="139"/>
        <v>0</v>
      </c>
      <c r="AY3013" s="46">
        <f t="shared" si="140"/>
        <v>0</v>
      </c>
      <c r="AZ3013" s="46">
        <f t="shared" si="141"/>
        <v>0</v>
      </c>
    </row>
    <row r="3014" spans="50:52">
      <c r="AX3014" s="46">
        <f t="shared" si="139"/>
        <v>0</v>
      </c>
      <c r="AY3014" s="46">
        <f t="shared" si="140"/>
        <v>0</v>
      </c>
      <c r="AZ3014" s="46">
        <f t="shared" si="141"/>
        <v>0</v>
      </c>
    </row>
    <row r="3015" spans="50:52">
      <c r="AX3015" s="46">
        <f t="shared" si="139"/>
        <v>0</v>
      </c>
      <c r="AY3015" s="46">
        <f t="shared" si="140"/>
        <v>0</v>
      </c>
      <c r="AZ3015" s="46">
        <f t="shared" si="141"/>
        <v>0</v>
      </c>
    </row>
    <row r="3016" spans="50:52">
      <c r="AX3016" s="46">
        <f t="shared" si="139"/>
        <v>0</v>
      </c>
      <c r="AY3016" s="46">
        <f t="shared" si="140"/>
        <v>0</v>
      </c>
      <c r="AZ3016" s="46">
        <f t="shared" si="141"/>
        <v>0</v>
      </c>
    </row>
    <row r="3017" spans="50:52">
      <c r="AX3017" s="46">
        <f t="shared" si="139"/>
        <v>0</v>
      </c>
      <c r="AY3017" s="46">
        <f t="shared" si="140"/>
        <v>0</v>
      </c>
      <c r="AZ3017" s="46">
        <f t="shared" si="141"/>
        <v>0</v>
      </c>
    </row>
    <row r="3018" spans="50:52">
      <c r="AX3018" s="46">
        <f t="shared" si="139"/>
        <v>0</v>
      </c>
      <c r="AY3018" s="46">
        <f t="shared" si="140"/>
        <v>0</v>
      </c>
      <c r="AZ3018" s="46">
        <f t="shared" si="141"/>
        <v>0</v>
      </c>
    </row>
    <row r="3019" spans="50:52">
      <c r="AX3019" s="46">
        <f t="shared" ref="AX3019:AX3082" si="142">IFERROR(SUM(Q3019:AS3019)-SUM(AT3019:AU3019)+AV3019,"-")</f>
        <v>0</v>
      </c>
      <c r="AY3019" s="46">
        <f t="shared" ref="AY3019:AY3082" si="143">IFERROR(SUM(Q3019:AS3019)-SUM(AT3019:AT3019),"-")</f>
        <v>0</v>
      </c>
      <c r="AZ3019" s="46">
        <f t="shared" ref="AZ3019:AZ3082" si="144">SUM(Q3019:AS3019)</f>
        <v>0</v>
      </c>
    </row>
    <row r="3020" spans="50:52">
      <c r="AX3020" s="46">
        <f t="shared" si="142"/>
        <v>0</v>
      </c>
      <c r="AY3020" s="46">
        <f t="shared" si="143"/>
        <v>0</v>
      </c>
      <c r="AZ3020" s="46">
        <f t="shared" si="144"/>
        <v>0</v>
      </c>
    </row>
    <row r="3021" spans="50:52">
      <c r="AX3021" s="46">
        <f t="shared" si="142"/>
        <v>0</v>
      </c>
      <c r="AY3021" s="46">
        <f t="shared" si="143"/>
        <v>0</v>
      </c>
      <c r="AZ3021" s="46">
        <f t="shared" si="144"/>
        <v>0</v>
      </c>
    </row>
    <row r="3022" spans="50:52">
      <c r="AX3022" s="46">
        <f t="shared" si="142"/>
        <v>0</v>
      </c>
      <c r="AY3022" s="46">
        <f t="shared" si="143"/>
        <v>0</v>
      </c>
      <c r="AZ3022" s="46">
        <f t="shared" si="144"/>
        <v>0</v>
      </c>
    </row>
    <row r="3023" spans="50:52">
      <c r="AX3023" s="46">
        <f t="shared" si="142"/>
        <v>0</v>
      </c>
      <c r="AY3023" s="46">
        <f t="shared" si="143"/>
        <v>0</v>
      </c>
      <c r="AZ3023" s="46">
        <f t="shared" si="144"/>
        <v>0</v>
      </c>
    </row>
    <row r="3024" spans="50:52">
      <c r="AX3024" s="46">
        <f t="shared" si="142"/>
        <v>0</v>
      </c>
      <c r="AY3024" s="46">
        <f t="shared" si="143"/>
        <v>0</v>
      </c>
      <c r="AZ3024" s="46">
        <f t="shared" si="144"/>
        <v>0</v>
      </c>
    </row>
    <row r="3025" spans="50:52">
      <c r="AX3025" s="46">
        <f t="shared" si="142"/>
        <v>0</v>
      </c>
      <c r="AY3025" s="46">
        <f t="shared" si="143"/>
        <v>0</v>
      </c>
      <c r="AZ3025" s="46">
        <f t="shared" si="144"/>
        <v>0</v>
      </c>
    </row>
    <row r="3026" spans="50:52">
      <c r="AX3026" s="46">
        <f t="shared" si="142"/>
        <v>0</v>
      </c>
      <c r="AY3026" s="46">
        <f t="shared" si="143"/>
        <v>0</v>
      </c>
      <c r="AZ3026" s="46">
        <f t="shared" si="144"/>
        <v>0</v>
      </c>
    </row>
    <row r="3027" spans="50:52">
      <c r="AX3027" s="46">
        <f t="shared" si="142"/>
        <v>0</v>
      </c>
      <c r="AY3027" s="46">
        <f t="shared" si="143"/>
        <v>0</v>
      </c>
      <c r="AZ3027" s="46">
        <f t="shared" si="144"/>
        <v>0</v>
      </c>
    </row>
    <row r="3028" spans="50:52">
      <c r="AX3028" s="46">
        <f t="shared" si="142"/>
        <v>0</v>
      </c>
      <c r="AY3028" s="46">
        <f t="shared" si="143"/>
        <v>0</v>
      </c>
      <c r="AZ3028" s="46">
        <f t="shared" si="144"/>
        <v>0</v>
      </c>
    </row>
    <row r="3029" spans="50:52">
      <c r="AX3029" s="46">
        <f t="shared" si="142"/>
        <v>0</v>
      </c>
      <c r="AY3029" s="46">
        <f t="shared" si="143"/>
        <v>0</v>
      </c>
      <c r="AZ3029" s="46">
        <f t="shared" si="144"/>
        <v>0</v>
      </c>
    </row>
    <row r="3030" spans="50:52">
      <c r="AX3030" s="46">
        <f t="shared" si="142"/>
        <v>0</v>
      </c>
      <c r="AY3030" s="46">
        <f t="shared" si="143"/>
        <v>0</v>
      </c>
      <c r="AZ3030" s="46">
        <f t="shared" si="144"/>
        <v>0</v>
      </c>
    </row>
    <row r="3031" spans="50:52">
      <c r="AX3031" s="46">
        <f t="shared" si="142"/>
        <v>0</v>
      </c>
      <c r="AY3031" s="46">
        <f t="shared" si="143"/>
        <v>0</v>
      </c>
      <c r="AZ3031" s="46">
        <f t="shared" si="144"/>
        <v>0</v>
      </c>
    </row>
    <row r="3032" spans="50:52">
      <c r="AX3032" s="46">
        <f t="shared" si="142"/>
        <v>0</v>
      </c>
      <c r="AY3032" s="46">
        <f t="shared" si="143"/>
        <v>0</v>
      </c>
      <c r="AZ3032" s="46">
        <f t="shared" si="144"/>
        <v>0</v>
      </c>
    </row>
    <row r="3033" spans="50:52">
      <c r="AX3033" s="46">
        <f t="shared" si="142"/>
        <v>0</v>
      </c>
      <c r="AY3033" s="46">
        <f t="shared" si="143"/>
        <v>0</v>
      </c>
      <c r="AZ3033" s="46">
        <f t="shared" si="144"/>
        <v>0</v>
      </c>
    </row>
    <row r="3034" spans="50:52">
      <c r="AX3034" s="46">
        <f t="shared" si="142"/>
        <v>0</v>
      </c>
      <c r="AY3034" s="46">
        <f t="shared" si="143"/>
        <v>0</v>
      </c>
      <c r="AZ3034" s="46">
        <f t="shared" si="144"/>
        <v>0</v>
      </c>
    </row>
    <row r="3035" spans="50:52">
      <c r="AX3035" s="46">
        <f t="shared" si="142"/>
        <v>0</v>
      </c>
      <c r="AY3035" s="46">
        <f t="shared" si="143"/>
        <v>0</v>
      </c>
      <c r="AZ3035" s="46">
        <f t="shared" si="144"/>
        <v>0</v>
      </c>
    </row>
    <row r="3036" spans="50:52">
      <c r="AX3036" s="46">
        <f t="shared" si="142"/>
        <v>0</v>
      </c>
      <c r="AY3036" s="46">
        <f t="shared" si="143"/>
        <v>0</v>
      </c>
      <c r="AZ3036" s="46">
        <f t="shared" si="144"/>
        <v>0</v>
      </c>
    </row>
    <row r="3037" spans="50:52">
      <c r="AX3037" s="46">
        <f t="shared" si="142"/>
        <v>0</v>
      </c>
      <c r="AY3037" s="46">
        <f t="shared" si="143"/>
        <v>0</v>
      </c>
      <c r="AZ3037" s="46">
        <f t="shared" si="144"/>
        <v>0</v>
      </c>
    </row>
    <row r="3038" spans="50:52">
      <c r="AX3038" s="46">
        <f t="shared" si="142"/>
        <v>0</v>
      </c>
      <c r="AY3038" s="46">
        <f t="shared" si="143"/>
        <v>0</v>
      </c>
      <c r="AZ3038" s="46">
        <f t="shared" si="144"/>
        <v>0</v>
      </c>
    </row>
    <row r="3039" spans="50:52">
      <c r="AX3039" s="46">
        <f t="shared" si="142"/>
        <v>0</v>
      </c>
      <c r="AY3039" s="46">
        <f t="shared" si="143"/>
        <v>0</v>
      </c>
      <c r="AZ3039" s="46">
        <f t="shared" si="144"/>
        <v>0</v>
      </c>
    </row>
    <row r="3040" spans="50:52">
      <c r="AX3040" s="46">
        <f t="shared" si="142"/>
        <v>0</v>
      </c>
      <c r="AY3040" s="46">
        <f t="shared" si="143"/>
        <v>0</v>
      </c>
      <c r="AZ3040" s="46">
        <f t="shared" si="144"/>
        <v>0</v>
      </c>
    </row>
    <row r="3041" spans="50:52">
      <c r="AX3041" s="46">
        <f t="shared" si="142"/>
        <v>0</v>
      </c>
      <c r="AY3041" s="46">
        <f t="shared" si="143"/>
        <v>0</v>
      </c>
      <c r="AZ3041" s="46">
        <f t="shared" si="144"/>
        <v>0</v>
      </c>
    </row>
    <row r="3042" spans="50:52">
      <c r="AX3042" s="46">
        <f t="shared" si="142"/>
        <v>0</v>
      </c>
      <c r="AY3042" s="46">
        <f t="shared" si="143"/>
        <v>0</v>
      </c>
      <c r="AZ3042" s="46">
        <f t="shared" si="144"/>
        <v>0</v>
      </c>
    </row>
    <row r="3043" spans="50:52">
      <c r="AX3043" s="46">
        <f t="shared" si="142"/>
        <v>0</v>
      </c>
      <c r="AY3043" s="46">
        <f t="shared" si="143"/>
        <v>0</v>
      </c>
      <c r="AZ3043" s="46">
        <f t="shared" si="144"/>
        <v>0</v>
      </c>
    </row>
    <row r="3044" spans="50:52">
      <c r="AX3044" s="46">
        <f t="shared" si="142"/>
        <v>0</v>
      </c>
      <c r="AY3044" s="46">
        <f t="shared" si="143"/>
        <v>0</v>
      </c>
      <c r="AZ3044" s="46">
        <f t="shared" si="144"/>
        <v>0</v>
      </c>
    </row>
    <row r="3045" spans="50:52">
      <c r="AX3045" s="46">
        <f t="shared" si="142"/>
        <v>0</v>
      </c>
      <c r="AY3045" s="46">
        <f t="shared" si="143"/>
        <v>0</v>
      </c>
      <c r="AZ3045" s="46">
        <f t="shared" si="144"/>
        <v>0</v>
      </c>
    </row>
    <row r="3046" spans="50:52">
      <c r="AX3046" s="46">
        <f t="shared" si="142"/>
        <v>0</v>
      </c>
      <c r="AY3046" s="46">
        <f t="shared" si="143"/>
        <v>0</v>
      </c>
      <c r="AZ3046" s="46">
        <f t="shared" si="144"/>
        <v>0</v>
      </c>
    </row>
    <row r="3047" spans="50:52">
      <c r="AX3047" s="46">
        <f t="shared" si="142"/>
        <v>0</v>
      </c>
      <c r="AY3047" s="46">
        <f t="shared" si="143"/>
        <v>0</v>
      </c>
      <c r="AZ3047" s="46">
        <f t="shared" si="144"/>
        <v>0</v>
      </c>
    </row>
    <row r="3048" spans="50:52">
      <c r="AX3048" s="46">
        <f t="shared" si="142"/>
        <v>0</v>
      </c>
      <c r="AY3048" s="46">
        <f t="shared" si="143"/>
        <v>0</v>
      </c>
      <c r="AZ3048" s="46">
        <f t="shared" si="144"/>
        <v>0</v>
      </c>
    </row>
    <row r="3049" spans="50:52">
      <c r="AX3049" s="46">
        <f t="shared" si="142"/>
        <v>0</v>
      </c>
      <c r="AY3049" s="46">
        <f t="shared" si="143"/>
        <v>0</v>
      </c>
      <c r="AZ3049" s="46">
        <f t="shared" si="144"/>
        <v>0</v>
      </c>
    </row>
    <row r="3050" spans="50:52">
      <c r="AX3050" s="46">
        <f t="shared" si="142"/>
        <v>0</v>
      </c>
      <c r="AY3050" s="46">
        <f t="shared" si="143"/>
        <v>0</v>
      </c>
      <c r="AZ3050" s="46">
        <f t="shared" si="144"/>
        <v>0</v>
      </c>
    </row>
    <row r="3051" spans="50:52">
      <c r="AX3051" s="46">
        <f t="shared" si="142"/>
        <v>0</v>
      </c>
      <c r="AY3051" s="46">
        <f t="shared" si="143"/>
        <v>0</v>
      </c>
      <c r="AZ3051" s="46">
        <f t="shared" si="144"/>
        <v>0</v>
      </c>
    </row>
    <row r="3052" spans="50:52">
      <c r="AX3052" s="46">
        <f t="shared" si="142"/>
        <v>0</v>
      </c>
      <c r="AY3052" s="46">
        <f t="shared" si="143"/>
        <v>0</v>
      </c>
      <c r="AZ3052" s="46">
        <f t="shared" si="144"/>
        <v>0</v>
      </c>
    </row>
    <row r="3053" spans="50:52">
      <c r="AX3053" s="46">
        <f t="shared" si="142"/>
        <v>0</v>
      </c>
      <c r="AY3053" s="46">
        <f t="shared" si="143"/>
        <v>0</v>
      </c>
      <c r="AZ3053" s="46">
        <f t="shared" si="144"/>
        <v>0</v>
      </c>
    </row>
    <row r="3054" spans="50:52">
      <c r="AX3054" s="46">
        <f t="shared" si="142"/>
        <v>0</v>
      </c>
      <c r="AY3054" s="46">
        <f t="shared" si="143"/>
        <v>0</v>
      </c>
      <c r="AZ3054" s="46">
        <f t="shared" si="144"/>
        <v>0</v>
      </c>
    </row>
    <row r="3055" spans="50:52">
      <c r="AX3055" s="46">
        <f t="shared" si="142"/>
        <v>0</v>
      </c>
      <c r="AY3055" s="46">
        <f t="shared" si="143"/>
        <v>0</v>
      </c>
      <c r="AZ3055" s="46">
        <f t="shared" si="144"/>
        <v>0</v>
      </c>
    </row>
    <row r="3056" spans="50:52">
      <c r="AX3056" s="46">
        <f t="shared" si="142"/>
        <v>0</v>
      </c>
      <c r="AY3056" s="46">
        <f t="shared" si="143"/>
        <v>0</v>
      </c>
      <c r="AZ3056" s="46">
        <f t="shared" si="144"/>
        <v>0</v>
      </c>
    </row>
    <row r="3057" spans="50:52">
      <c r="AX3057" s="46">
        <f t="shared" si="142"/>
        <v>0</v>
      </c>
      <c r="AY3057" s="46">
        <f t="shared" si="143"/>
        <v>0</v>
      </c>
      <c r="AZ3057" s="46">
        <f t="shared" si="144"/>
        <v>0</v>
      </c>
    </row>
    <row r="3058" spans="50:52">
      <c r="AX3058" s="46">
        <f t="shared" si="142"/>
        <v>0</v>
      </c>
      <c r="AY3058" s="46">
        <f t="shared" si="143"/>
        <v>0</v>
      </c>
      <c r="AZ3058" s="46">
        <f t="shared" si="144"/>
        <v>0</v>
      </c>
    </row>
    <row r="3059" spans="50:52">
      <c r="AX3059" s="46">
        <f t="shared" si="142"/>
        <v>0</v>
      </c>
      <c r="AY3059" s="46">
        <f t="shared" si="143"/>
        <v>0</v>
      </c>
      <c r="AZ3059" s="46">
        <f t="shared" si="144"/>
        <v>0</v>
      </c>
    </row>
    <row r="3060" spans="50:52">
      <c r="AX3060" s="46">
        <f t="shared" si="142"/>
        <v>0</v>
      </c>
      <c r="AY3060" s="46">
        <f t="shared" si="143"/>
        <v>0</v>
      </c>
      <c r="AZ3060" s="46">
        <f t="shared" si="144"/>
        <v>0</v>
      </c>
    </row>
    <row r="3061" spans="50:52">
      <c r="AX3061" s="46">
        <f t="shared" si="142"/>
        <v>0</v>
      </c>
      <c r="AY3061" s="46">
        <f t="shared" si="143"/>
        <v>0</v>
      </c>
      <c r="AZ3061" s="46">
        <f t="shared" si="144"/>
        <v>0</v>
      </c>
    </row>
    <row r="3062" spans="50:52">
      <c r="AX3062" s="46">
        <f t="shared" si="142"/>
        <v>0</v>
      </c>
      <c r="AY3062" s="46">
        <f t="shared" si="143"/>
        <v>0</v>
      </c>
      <c r="AZ3062" s="46">
        <f t="shared" si="144"/>
        <v>0</v>
      </c>
    </row>
    <row r="3063" spans="50:52">
      <c r="AX3063" s="46">
        <f t="shared" si="142"/>
        <v>0</v>
      </c>
      <c r="AY3063" s="46">
        <f t="shared" si="143"/>
        <v>0</v>
      </c>
      <c r="AZ3063" s="46">
        <f t="shared" si="144"/>
        <v>0</v>
      </c>
    </row>
    <row r="3064" spans="50:52">
      <c r="AX3064" s="46">
        <f t="shared" si="142"/>
        <v>0</v>
      </c>
      <c r="AY3064" s="46">
        <f t="shared" si="143"/>
        <v>0</v>
      </c>
      <c r="AZ3064" s="46">
        <f t="shared" si="144"/>
        <v>0</v>
      </c>
    </row>
    <row r="3065" spans="50:52">
      <c r="AX3065" s="46">
        <f t="shared" si="142"/>
        <v>0</v>
      </c>
      <c r="AY3065" s="46">
        <f t="shared" si="143"/>
        <v>0</v>
      </c>
      <c r="AZ3065" s="46">
        <f t="shared" si="144"/>
        <v>0</v>
      </c>
    </row>
    <row r="3066" spans="50:52">
      <c r="AX3066" s="46">
        <f t="shared" si="142"/>
        <v>0</v>
      </c>
      <c r="AY3066" s="46">
        <f t="shared" si="143"/>
        <v>0</v>
      </c>
      <c r="AZ3066" s="46">
        <f t="shared" si="144"/>
        <v>0</v>
      </c>
    </row>
    <row r="3067" spans="50:52">
      <c r="AX3067" s="46">
        <f t="shared" si="142"/>
        <v>0</v>
      </c>
      <c r="AY3067" s="46">
        <f t="shared" si="143"/>
        <v>0</v>
      </c>
      <c r="AZ3067" s="46">
        <f t="shared" si="144"/>
        <v>0</v>
      </c>
    </row>
    <row r="3068" spans="50:52">
      <c r="AX3068" s="46">
        <f t="shared" si="142"/>
        <v>0</v>
      </c>
      <c r="AY3068" s="46">
        <f t="shared" si="143"/>
        <v>0</v>
      </c>
      <c r="AZ3068" s="46">
        <f t="shared" si="144"/>
        <v>0</v>
      </c>
    </row>
    <row r="3069" spans="50:52">
      <c r="AX3069" s="46">
        <f t="shared" si="142"/>
        <v>0</v>
      </c>
      <c r="AY3069" s="46">
        <f t="shared" si="143"/>
        <v>0</v>
      </c>
      <c r="AZ3069" s="46">
        <f t="shared" si="144"/>
        <v>0</v>
      </c>
    </row>
    <row r="3070" spans="50:52">
      <c r="AX3070" s="46">
        <f t="shared" si="142"/>
        <v>0</v>
      </c>
      <c r="AY3070" s="46">
        <f t="shared" si="143"/>
        <v>0</v>
      </c>
      <c r="AZ3070" s="46">
        <f t="shared" si="144"/>
        <v>0</v>
      </c>
    </row>
    <row r="3071" spans="50:52">
      <c r="AX3071" s="46">
        <f t="shared" si="142"/>
        <v>0</v>
      </c>
      <c r="AY3071" s="46">
        <f t="shared" si="143"/>
        <v>0</v>
      </c>
      <c r="AZ3071" s="46">
        <f t="shared" si="144"/>
        <v>0</v>
      </c>
    </row>
    <row r="3072" spans="50:52">
      <c r="AX3072" s="46">
        <f t="shared" si="142"/>
        <v>0</v>
      </c>
      <c r="AY3072" s="46">
        <f t="shared" si="143"/>
        <v>0</v>
      </c>
      <c r="AZ3072" s="46">
        <f t="shared" si="144"/>
        <v>0</v>
      </c>
    </row>
    <row r="3073" spans="50:52">
      <c r="AX3073" s="46">
        <f t="shared" si="142"/>
        <v>0</v>
      </c>
      <c r="AY3073" s="46">
        <f t="shared" si="143"/>
        <v>0</v>
      </c>
      <c r="AZ3073" s="46">
        <f t="shared" si="144"/>
        <v>0</v>
      </c>
    </row>
    <row r="3074" spans="50:52">
      <c r="AX3074" s="46">
        <f t="shared" si="142"/>
        <v>0</v>
      </c>
      <c r="AY3074" s="46">
        <f t="shared" si="143"/>
        <v>0</v>
      </c>
      <c r="AZ3074" s="46">
        <f t="shared" si="144"/>
        <v>0</v>
      </c>
    </row>
    <row r="3075" spans="50:52">
      <c r="AX3075" s="46">
        <f t="shared" si="142"/>
        <v>0</v>
      </c>
      <c r="AY3075" s="46">
        <f t="shared" si="143"/>
        <v>0</v>
      </c>
      <c r="AZ3075" s="46">
        <f t="shared" si="144"/>
        <v>0</v>
      </c>
    </row>
    <row r="3076" spans="50:52">
      <c r="AX3076" s="46">
        <f t="shared" si="142"/>
        <v>0</v>
      </c>
      <c r="AY3076" s="46">
        <f t="shared" si="143"/>
        <v>0</v>
      </c>
      <c r="AZ3076" s="46">
        <f t="shared" si="144"/>
        <v>0</v>
      </c>
    </row>
    <row r="3077" spans="50:52">
      <c r="AX3077" s="46">
        <f t="shared" si="142"/>
        <v>0</v>
      </c>
      <c r="AY3077" s="46">
        <f t="shared" si="143"/>
        <v>0</v>
      </c>
      <c r="AZ3077" s="46">
        <f t="shared" si="144"/>
        <v>0</v>
      </c>
    </row>
    <row r="3078" spans="50:52">
      <c r="AX3078" s="46">
        <f t="shared" si="142"/>
        <v>0</v>
      </c>
      <c r="AY3078" s="46">
        <f t="shared" si="143"/>
        <v>0</v>
      </c>
      <c r="AZ3078" s="46">
        <f t="shared" si="144"/>
        <v>0</v>
      </c>
    </row>
    <row r="3079" spans="50:52">
      <c r="AX3079" s="46">
        <f t="shared" si="142"/>
        <v>0</v>
      </c>
      <c r="AY3079" s="46">
        <f t="shared" si="143"/>
        <v>0</v>
      </c>
      <c r="AZ3079" s="46">
        <f t="shared" si="144"/>
        <v>0</v>
      </c>
    </row>
    <row r="3080" spans="50:52">
      <c r="AX3080" s="46">
        <f t="shared" si="142"/>
        <v>0</v>
      </c>
      <c r="AY3080" s="46">
        <f t="shared" si="143"/>
        <v>0</v>
      </c>
      <c r="AZ3080" s="46">
        <f t="shared" si="144"/>
        <v>0</v>
      </c>
    </row>
    <row r="3081" spans="50:52">
      <c r="AX3081" s="46">
        <f t="shared" si="142"/>
        <v>0</v>
      </c>
      <c r="AY3081" s="46">
        <f t="shared" si="143"/>
        <v>0</v>
      </c>
      <c r="AZ3081" s="46">
        <f t="shared" si="144"/>
        <v>0</v>
      </c>
    </row>
    <row r="3082" spans="50:52">
      <c r="AX3082" s="46">
        <f t="shared" si="142"/>
        <v>0</v>
      </c>
      <c r="AY3082" s="46">
        <f t="shared" si="143"/>
        <v>0</v>
      </c>
      <c r="AZ3082" s="46">
        <f t="shared" si="144"/>
        <v>0</v>
      </c>
    </row>
    <row r="3083" spans="50:52">
      <c r="AX3083" s="46">
        <f t="shared" ref="AX3083:AX3146" si="145">IFERROR(SUM(Q3083:AS3083)-SUM(AT3083:AU3083)+AV3083,"-")</f>
        <v>0</v>
      </c>
      <c r="AY3083" s="46">
        <f t="shared" ref="AY3083:AY3146" si="146">IFERROR(SUM(Q3083:AS3083)-SUM(AT3083:AT3083),"-")</f>
        <v>0</v>
      </c>
      <c r="AZ3083" s="46">
        <f t="shared" ref="AZ3083:AZ3146" si="147">SUM(Q3083:AS3083)</f>
        <v>0</v>
      </c>
    </row>
    <row r="3084" spans="50:52">
      <c r="AX3084" s="46">
        <f t="shared" si="145"/>
        <v>0</v>
      </c>
      <c r="AY3084" s="46">
        <f t="shared" si="146"/>
        <v>0</v>
      </c>
      <c r="AZ3084" s="46">
        <f t="shared" si="147"/>
        <v>0</v>
      </c>
    </row>
    <row r="3085" spans="50:52">
      <c r="AX3085" s="46">
        <f t="shared" si="145"/>
        <v>0</v>
      </c>
      <c r="AY3085" s="46">
        <f t="shared" si="146"/>
        <v>0</v>
      </c>
      <c r="AZ3085" s="46">
        <f t="shared" si="147"/>
        <v>0</v>
      </c>
    </row>
    <row r="3086" spans="50:52">
      <c r="AX3086" s="46">
        <f t="shared" si="145"/>
        <v>0</v>
      </c>
      <c r="AY3086" s="46">
        <f t="shared" si="146"/>
        <v>0</v>
      </c>
      <c r="AZ3086" s="46">
        <f t="shared" si="147"/>
        <v>0</v>
      </c>
    </row>
    <row r="3087" spans="50:52">
      <c r="AX3087" s="46">
        <f t="shared" si="145"/>
        <v>0</v>
      </c>
      <c r="AY3087" s="46">
        <f t="shared" si="146"/>
        <v>0</v>
      </c>
      <c r="AZ3087" s="46">
        <f t="shared" si="147"/>
        <v>0</v>
      </c>
    </row>
    <row r="3088" spans="50:52">
      <c r="AX3088" s="46">
        <f t="shared" si="145"/>
        <v>0</v>
      </c>
      <c r="AY3088" s="46">
        <f t="shared" si="146"/>
        <v>0</v>
      </c>
      <c r="AZ3088" s="46">
        <f t="shared" si="147"/>
        <v>0</v>
      </c>
    </row>
    <row r="3089" spans="50:52">
      <c r="AX3089" s="46">
        <f t="shared" si="145"/>
        <v>0</v>
      </c>
      <c r="AY3089" s="46">
        <f t="shared" si="146"/>
        <v>0</v>
      </c>
      <c r="AZ3089" s="46">
        <f t="shared" si="147"/>
        <v>0</v>
      </c>
    </row>
    <row r="3090" spans="50:52">
      <c r="AX3090" s="46">
        <f t="shared" si="145"/>
        <v>0</v>
      </c>
      <c r="AY3090" s="46">
        <f t="shared" si="146"/>
        <v>0</v>
      </c>
      <c r="AZ3090" s="46">
        <f t="shared" si="147"/>
        <v>0</v>
      </c>
    </row>
    <row r="3091" spans="50:52">
      <c r="AX3091" s="46">
        <f t="shared" si="145"/>
        <v>0</v>
      </c>
      <c r="AY3091" s="46">
        <f t="shared" si="146"/>
        <v>0</v>
      </c>
      <c r="AZ3091" s="46">
        <f t="shared" si="147"/>
        <v>0</v>
      </c>
    </row>
    <row r="3092" spans="50:52">
      <c r="AX3092" s="46">
        <f t="shared" si="145"/>
        <v>0</v>
      </c>
      <c r="AY3092" s="46">
        <f t="shared" si="146"/>
        <v>0</v>
      </c>
      <c r="AZ3092" s="46">
        <f t="shared" si="147"/>
        <v>0</v>
      </c>
    </row>
    <row r="3093" spans="50:52">
      <c r="AX3093" s="46">
        <f t="shared" si="145"/>
        <v>0</v>
      </c>
      <c r="AY3093" s="46">
        <f t="shared" si="146"/>
        <v>0</v>
      </c>
      <c r="AZ3093" s="46">
        <f t="shared" si="147"/>
        <v>0</v>
      </c>
    </row>
    <row r="3094" spans="50:52">
      <c r="AX3094" s="46">
        <f t="shared" si="145"/>
        <v>0</v>
      </c>
      <c r="AY3094" s="46">
        <f t="shared" si="146"/>
        <v>0</v>
      </c>
      <c r="AZ3094" s="46">
        <f t="shared" si="147"/>
        <v>0</v>
      </c>
    </row>
    <row r="3095" spans="50:52">
      <c r="AX3095" s="46">
        <f t="shared" si="145"/>
        <v>0</v>
      </c>
      <c r="AY3095" s="46">
        <f t="shared" si="146"/>
        <v>0</v>
      </c>
      <c r="AZ3095" s="46">
        <f t="shared" si="147"/>
        <v>0</v>
      </c>
    </row>
    <row r="3096" spans="50:52">
      <c r="AX3096" s="46">
        <f t="shared" si="145"/>
        <v>0</v>
      </c>
      <c r="AY3096" s="46">
        <f t="shared" si="146"/>
        <v>0</v>
      </c>
      <c r="AZ3096" s="46">
        <f t="shared" si="147"/>
        <v>0</v>
      </c>
    </row>
    <row r="3097" spans="50:52">
      <c r="AX3097" s="46">
        <f t="shared" si="145"/>
        <v>0</v>
      </c>
      <c r="AY3097" s="46">
        <f t="shared" si="146"/>
        <v>0</v>
      </c>
      <c r="AZ3097" s="46">
        <f t="shared" si="147"/>
        <v>0</v>
      </c>
    </row>
    <row r="3098" spans="50:52">
      <c r="AX3098" s="46">
        <f t="shared" si="145"/>
        <v>0</v>
      </c>
      <c r="AY3098" s="46">
        <f t="shared" si="146"/>
        <v>0</v>
      </c>
      <c r="AZ3098" s="46">
        <f t="shared" si="147"/>
        <v>0</v>
      </c>
    </row>
    <row r="3099" spans="50:52">
      <c r="AX3099" s="46">
        <f t="shared" si="145"/>
        <v>0</v>
      </c>
      <c r="AY3099" s="46">
        <f t="shared" si="146"/>
        <v>0</v>
      </c>
      <c r="AZ3099" s="46">
        <f t="shared" si="147"/>
        <v>0</v>
      </c>
    </row>
    <row r="3100" spans="50:52">
      <c r="AX3100" s="46">
        <f t="shared" si="145"/>
        <v>0</v>
      </c>
      <c r="AY3100" s="46">
        <f t="shared" si="146"/>
        <v>0</v>
      </c>
      <c r="AZ3100" s="46">
        <f t="shared" si="147"/>
        <v>0</v>
      </c>
    </row>
    <row r="3101" spans="50:52">
      <c r="AX3101" s="46">
        <f t="shared" si="145"/>
        <v>0</v>
      </c>
      <c r="AY3101" s="46">
        <f t="shared" si="146"/>
        <v>0</v>
      </c>
      <c r="AZ3101" s="46">
        <f t="shared" si="147"/>
        <v>0</v>
      </c>
    </row>
    <row r="3102" spans="50:52">
      <c r="AX3102" s="46">
        <f t="shared" si="145"/>
        <v>0</v>
      </c>
      <c r="AY3102" s="46">
        <f t="shared" si="146"/>
        <v>0</v>
      </c>
      <c r="AZ3102" s="46">
        <f t="shared" si="147"/>
        <v>0</v>
      </c>
    </row>
    <row r="3103" spans="50:52">
      <c r="AX3103" s="46">
        <f t="shared" si="145"/>
        <v>0</v>
      </c>
      <c r="AY3103" s="46">
        <f t="shared" si="146"/>
        <v>0</v>
      </c>
      <c r="AZ3103" s="46">
        <f t="shared" si="147"/>
        <v>0</v>
      </c>
    </row>
    <row r="3104" spans="50:52">
      <c r="AX3104" s="46">
        <f t="shared" si="145"/>
        <v>0</v>
      </c>
      <c r="AY3104" s="46">
        <f t="shared" si="146"/>
        <v>0</v>
      </c>
      <c r="AZ3104" s="46">
        <f t="shared" si="147"/>
        <v>0</v>
      </c>
    </row>
    <row r="3105" spans="50:52">
      <c r="AX3105" s="46">
        <f t="shared" si="145"/>
        <v>0</v>
      </c>
      <c r="AY3105" s="46">
        <f t="shared" si="146"/>
        <v>0</v>
      </c>
      <c r="AZ3105" s="46">
        <f t="shared" si="147"/>
        <v>0</v>
      </c>
    </row>
    <row r="3106" spans="50:52">
      <c r="AX3106" s="46">
        <f t="shared" si="145"/>
        <v>0</v>
      </c>
      <c r="AY3106" s="46">
        <f t="shared" si="146"/>
        <v>0</v>
      </c>
      <c r="AZ3106" s="46">
        <f t="shared" si="147"/>
        <v>0</v>
      </c>
    </row>
    <row r="3107" spans="50:52">
      <c r="AX3107" s="46">
        <f t="shared" si="145"/>
        <v>0</v>
      </c>
      <c r="AY3107" s="46">
        <f t="shared" si="146"/>
        <v>0</v>
      </c>
      <c r="AZ3107" s="46">
        <f t="shared" si="147"/>
        <v>0</v>
      </c>
    </row>
    <row r="3108" spans="50:52">
      <c r="AX3108" s="46">
        <f t="shared" si="145"/>
        <v>0</v>
      </c>
      <c r="AY3108" s="46">
        <f t="shared" si="146"/>
        <v>0</v>
      </c>
      <c r="AZ3108" s="46">
        <f t="shared" si="147"/>
        <v>0</v>
      </c>
    </row>
    <row r="3109" spans="50:52">
      <c r="AX3109" s="46">
        <f t="shared" si="145"/>
        <v>0</v>
      </c>
      <c r="AY3109" s="46">
        <f t="shared" si="146"/>
        <v>0</v>
      </c>
      <c r="AZ3109" s="46">
        <f t="shared" si="147"/>
        <v>0</v>
      </c>
    </row>
    <row r="3110" spans="50:52">
      <c r="AX3110" s="46">
        <f t="shared" si="145"/>
        <v>0</v>
      </c>
      <c r="AY3110" s="46">
        <f t="shared" si="146"/>
        <v>0</v>
      </c>
      <c r="AZ3110" s="46">
        <f t="shared" si="147"/>
        <v>0</v>
      </c>
    </row>
    <row r="3111" spans="50:52">
      <c r="AX3111" s="46">
        <f t="shared" si="145"/>
        <v>0</v>
      </c>
      <c r="AY3111" s="46">
        <f t="shared" si="146"/>
        <v>0</v>
      </c>
      <c r="AZ3111" s="46">
        <f t="shared" si="147"/>
        <v>0</v>
      </c>
    </row>
    <row r="3112" spans="50:52">
      <c r="AX3112" s="46">
        <f t="shared" si="145"/>
        <v>0</v>
      </c>
      <c r="AY3112" s="46">
        <f t="shared" si="146"/>
        <v>0</v>
      </c>
      <c r="AZ3112" s="46">
        <f t="shared" si="147"/>
        <v>0</v>
      </c>
    </row>
    <row r="3113" spans="50:52">
      <c r="AX3113" s="46">
        <f t="shared" si="145"/>
        <v>0</v>
      </c>
      <c r="AY3113" s="46">
        <f t="shared" si="146"/>
        <v>0</v>
      </c>
      <c r="AZ3113" s="46">
        <f t="shared" si="147"/>
        <v>0</v>
      </c>
    </row>
    <row r="3114" spans="50:52">
      <c r="AX3114" s="46">
        <f t="shared" si="145"/>
        <v>0</v>
      </c>
      <c r="AY3114" s="46">
        <f t="shared" si="146"/>
        <v>0</v>
      </c>
      <c r="AZ3114" s="46">
        <f t="shared" si="147"/>
        <v>0</v>
      </c>
    </row>
    <row r="3115" spans="50:52">
      <c r="AX3115" s="46">
        <f t="shared" si="145"/>
        <v>0</v>
      </c>
      <c r="AY3115" s="46">
        <f t="shared" si="146"/>
        <v>0</v>
      </c>
      <c r="AZ3115" s="46">
        <f t="shared" si="147"/>
        <v>0</v>
      </c>
    </row>
    <row r="3116" spans="50:52">
      <c r="AX3116" s="46">
        <f t="shared" si="145"/>
        <v>0</v>
      </c>
      <c r="AY3116" s="46">
        <f t="shared" si="146"/>
        <v>0</v>
      </c>
      <c r="AZ3116" s="46">
        <f t="shared" si="147"/>
        <v>0</v>
      </c>
    </row>
    <row r="3117" spans="50:52">
      <c r="AX3117" s="46">
        <f t="shared" si="145"/>
        <v>0</v>
      </c>
      <c r="AY3117" s="46">
        <f t="shared" si="146"/>
        <v>0</v>
      </c>
      <c r="AZ3117" s="46">
        <f t="shared" si="147"/>
        <v>0</v>
      </c>
    </row>
    <row r="3118" spans="50:52">
      <c r="AX3118" s="46">
        <f t="shared" si="145"/>
        <v>0</v>
      </c>
      <c r="AY3118" s="46">
        <f t="shared" si="146"/>
        <v>0</v>
      </c>
      <c r="AZ3118" s="46">
        <f t="shared" si="147"/>
        <v>0</v>
      </c>
    </row>
    <row r="3119" spans="50:52">
      <c r="AX3119" s="46">
        <f t="shared" si="145"/>
        <v>0</v>
      </c>
      <c r="AY3119" s="46">
        <f t="shared" si="146"/>
        <v>0</v>
      </c>
      <c r="AZ3119" s="46">
        <f t="shared" si="147"/>
        <v>0</v>
      </c>
    </row>
    <row r="3120" spans="50:52">
      <c r="AX3120" s="46">
        <f t="shared" si="145"/>
        <v>0</v>
      </c>
      <c r="AY3120" s="46">
        <f t="shared" si="146"/>
        <v>0</v>
      </c>
      <c r="AZ3120" s="46">
        <f t="shared" si="147"/>
        <v>0</v>
      </c>
    </row>
    <row r="3121" spans="50:52">
      <c r="AX3121" s="46">
        <f t="shared" si="145"/>
        <v>0</v>
      </c>
      <c r="AY3121" s="46">
        <f t="shared" si="146"/>
        <v>0</v>
      </c>
      <c r="AZ3121" s="46">
        <f t="shared" si="147"/>
        <v>0</v>
      </c>
    </row>
    <row r="3122" spans="50:52">
      <c r="AX3122" s="46">
        <f t="shared" si="145"/>
        <v>0</v>
      </c>
      <c r="AY3122" s="46">
        <f t="shared" si="146"/>
        <v>0</v>
      </c>
      <c r="AZ3122" s="46">
        <f t="shared" si="147"/>
        <v>0</v>
      </c>
    </row>
    <row r="3123" spans="50:52">
      <c r="AX3123" s="46">
        <f t="shared" si="145"/>
        <v>0</v>
      </c>
      <c r="AY3123" s="46">
        <f t="shared" si="146"/>
        <v>0</v>
      </c>
      <c r="AZ3123" s="46">
        <f t="shared" si="147"/>
        <v>0</v>
      </c>
    </row>
    <row r="3124" spans="50:52">
      <c r="AX3124" s="46">
        <f t="shared" si="145"/>
        <v>0</v>
      </c>
      <c r="AY3124" s="46">
        <f t="shared" si="146"/>
        <v>0</v>
      </c>
      <c r="AZ3124" s="46">
        <f t="shared" si="147"/>
        <v>0</v>
      </c>
    </row>
    <row r="3125" spans="50:52">
      <c r="AX3125" s="46">
        <f t="shared" si="145"/>
        <v>0</v>
      </c>
      <c r="AY3125" s="46">
        <f t="shared" si="146"/>
        <v>0</v>
      </c>
      <c r="AZ3125" s="46">
        <f t="shared" si="147"/>
        <v>0</v>
      </c>
    </row>
    <row r="3126" spans="50:52">
      <c r="AX3126" s="46">
        <f t="shared" si="145"/>
        <v>0</v>
      </c>
      <c r="AY3126" s="46">
        <f t="shared" si="146"/>
        <v>0</v>
      </c>
      <c r="AZ3126" s="46">
        <f t="shared" si="147"/>
        <v>0</v>
      </c>
    </row>
    <row r="3127" spans="50:52">
      <c r="AX3127" s="46">
        <f t="shared" si="145"/>
        <v>0</v>
      </c>
      <c r="AY3127" s="46">
        <f t="shared" si="146"/>
        <v>0</v>
      </c>
      <c r="AZ3127" s="46">
        <f t="shared" si="147"/>
        <v>0</v>
      </c>
    </row>
    <row r="3128" spans="50:52">
      <c r="AX3128" s="46">
        <f t="shared" si="145"/>
        <v>0</v>
      </c>
      <c r="AY3128" s="46">
        <f t="shared" si="146"/>
        <v>0</v>
      </c>
      <c r="AZ3128" s="46">
        <f t="shared" si="147"/>
        <v>0</v>
      </c>
    </row>
    <row r="3129" spans="50:52">
      <c r="AX3129" s="46">
        <f t="shared" si="145"/>
        <v>0</v>
      </c>
      <c r="AY3129" s="46">
        <f t="shared" si="146"/>
        <v>0</v>
      </c>
      <c r="AZ3129" s="46">
        <f t="shared" si="147"/>
        <v>0</v>
      </c>
    </row>
    <row r="3130" spans="50:52">
      <c r="AX3130" s="46">
        <f t="shared" si="145"/>
        <v>0</v>
      </c>
      <c r="AY3130" s="46">
        <f t="shared" si="146"/>
        <v>0</v>
      </c>
      <c r="AZ3130" s="46">
        <f t="shared" si="147"/>
        <v>0</v>
      </c>
    </row>
    <row r="3131" spans="50:52">
      <c r="AX3131" s="46">
        <f t="shared" si="145"/>
        <v>0</v>
      </c>
      <c r="AY3131" s="46">
        <f t="shared" si="146"/>
        <v>0</v>
      </c>
      <c r="AZ3131" s="46">
        <f t="shared" si="147"/>
        <v>0</v>
      </c>
    </row>
    <row r="3132" spans="50:52">
      <c r="AX3132" s="46">
        <f t="shared" si="145"/>
        <v>0</v>
      </c>
      <c r="AY3132" s="46">
        <f t="shared" si="146"/>
        <v>0</v>
      </c>
      <c r="AZ3132" s="46">
        <f t="shared" si="147"/>
        <v>0</v>
      </c>
    </row>
    <row r="3133" spans="50:52">
      <c r="AX3133" s="46">
        <f t="shared" si="145"/>
        <v>0</v>
      </c>
      <c r="AY3133" s="46">
        <f t="shared" si="146"/>
        <v>0</v>
      </c>
      <c r="AZ3133" s="46">
        <f t="shared" si="147"/>
        <v>0</v>
      </c>
    </row>
    <row r="3134" spans="50:52">
      <c r="AX3134" s="46">
        <f t="shared" si="145"/>
        <v>0</v>
      </c>
      <c r="AY3134" s="46">
        <f t="shared" si="146"/>
        <v>0</v>
      </c>
      <c r="AZ3134" s="46">
        <f t="shared" si="147"/>
        <v>0</v>
      </c>
    </row>
    <row r="3135" spans="50:52">
      <c r="AX3135" s="46">
        <f t="shared" si="145"/>
        <v>0</v>
      </c>
      <c r="AY3135" s="46">
        <f t="shared" si="146"/>
        <v>0</v>
      </c>
      <c r="AZ3135" s="46">
        <f t="shared" si="147"/>
        <v>0</v>
      </c>
    </row>
    <row r="3136" spans="50:52">
      <c r="AX3136" s="46">
        <f t="shared" si="145"/>
        <v>0</v>
      </c>
      <c r="AY3136" s="46">
        <f t="shared" si="146"/>
        <v>0</v>
      </c>
      <c r="AZ3136" s="46">
        <f t="shared" si="147"/>
        <v>0</v>
      </c>
    </row>
    <row r="3137" spans="50:52">
      <c r="AX3137" s="46">
        <f t="shared" si="145"/>
        <v>0</v>
      </c>
      <c r="AY3137" s="46">
        <f t="shared" si="146"/>
        <v>0</v>
      </c>
      <c r="AZ3137" s="46">
        <f t="shared" si="147"/>
        <v>0</v>
      </c>
    </row>
    <row r="3138" spans="50:52">
      <c r="AX3138" s="46">
        <f t="shared" si="145"/>
        <v>0</v>
      </c>
      <c r="AY3138" s="46">
        <f t="shared" si="146"/>
        <v>0</v>
      </c>
      <c r="AZ3138" s="46">
        <f t="shared" si="147"/>
        <v>0</v>
      </c>
    </row>
    <row r="3139" spans="50:52">
      <c r="AX3139" s="46">
        <f t="shared" si="145"/>
        <v>0</v>
      </c>
      <c r="AY3139" s="46">
        <f t="shared" si="146"/>
        <v>0</v>
      </c>
      <c r="AZ3139" s="46">
        <f t="shared" si="147"/>
        <v>0</v>
      </c>
    </row>
    <row r="3140" spans="50:52">
      <c r="AX3140" s="46">
        <f t="shared" si="145"/>
        <v>0</v>
      </c>
      <c r="AY3140" s="46">
        <f t="shared" si="146"/>
        <v>0</v>
      </c>
      <c r="AZ3140" s="46">
        <f t="shared" si="147"/>
        <v>0</v>
      </c>
    </row>
    <row r="3141" spans="50:52">
      <c r="AX3141" s="46">
        <f t="shared" si="145"/>
        <v>0</v>
      </c>
      <c r="AY3141" s="46">
        <f t="shared" si="146"/>
        <v>0</v>
      </c>
      <c r="AZ3141" s="46">
        <f t="shared" si="147"/>
        <v>0</v>
      </c>
    </row>
    <row r="3142" spans="50:52">
      <c r="AX3142" s="46">
        <f t="shared" si="145"/>
        <v>0</v>
      </c>
      <c r="AY3142" s="46">
        <f t="shared" si="146"/>
        <v>0</v>
      </c>
      <c r="AZ3142" s="46">
        <f t="shared" si="147"/>
        <v>0</v>
      </c>
    </row>
    <row r="3143" spans="50:52">
      <c r="AX3143" s="46">
        <f t="shared" si="145"/>
        <v>0</v>
      </c>
      <c r="AY3143" s="46">
        <f t="shared" si="146"/>
        <v>0</v>
      </c>
      <c r="AZ3143" s="46">
        <f t="shared" si="147"/>
        <v>0</v>
      </c>
    </row>
    <row r="3144" spans="50:52">
      <c r="AX3144" s="46">
        <f t="shared" si="145"/>
        <v>0</v>
      </c>
      <c r="AY3144" s="46">
        <f t="shared" si="146"/>
        <v>0</v>
      </c>
      <c r="AZ3144" s="46">
        <f t="shared" si="147"/>
        <v>0</v>
      </c>
    </row>
    <row r="3145" spans="50:52">
      <c r="AX3145" s="46">
        <f t="shared" si="145"/>
        <v>0</v>
      </c>
      <c r="AY3145" s="46">
        <f t="shared" si="146"/>
        <v>0</v>
      </c>
      <c r="AZ3145" s="46">
        <f t="shared" si="147"/>
        <v>0</v>
      </c>
    </row>
    <row r="3146" spans="50:52">
      <c r="AX3146" s="46">
        <f t="shared" si="145"/>
        <v>0</v>
      </c>
      <c r="AY3146" s="46">
        <f t="shared" si="146"/>
        <v>0</v>
      </c>
      <c r="AZ3146" s="46">
        <f t="shared" si="147"/>
        <v>0</v>
      </c>
    </row>
    <row r="3147" spans="50:52">
      <c r="AX3147" s="46">
        <f t="shared" ref="AX3147:AX3210" si="148">IFERROR(SUM(Q3147:AS3147)-SUM(AT3147:AU3147)+AV3147,"-")</f>
        <v>0</v>
      </c>
      <c r="AY3147" s="46">
        <f t="shared" ref="AY3147:AY3210" si="149">IFERROR(SUM(Q3147:AS3147)-SUM(AT3147:AT3147),"-")</f>
        <v>0</v>
      </c>
      <c r="AZ3147" s="46">
        <f t="shared" ref="AZ3147:AZ3210" si="150">SUM(Q3147:AS3147)</f>
        <v>0</v>
      </c>
    </row>
    <row r="3148" spans="50:52">
      <c r="AX3148" s="46">
        <f t="shared" si="148"/>
        <v>0</v>
      </c>
      <c r="AY3148" s="46">
        <f t="shared" si="149"/>
        <v>0</v>
      </c>
      <c r="AZ3148" s="46">
        <f t="shared" si="150"/>
        <v>0</v>
      </c>
    </row>
    <row r="3149" spans="50:52">
      <c r="AX3149" s="46">
        <f t="shared" si="148"/>
        <v>0</v>
      </c>
      <c r="AY3149" s="46">
        <f t="shared" si="149"/>
        <v>0</v>
      </c>
      <c r="AZ3149" s="46">
        <f t="shared" si="150"/>
        <v>0</v>
      </c>
    </row>
    <row r="3150" spans="50:52">
      <c r="AX3150" s="46">
        <f t="shared" si="148"/>
        <v>0</v>
      </c>
      <c r="AY3150" s="46">
        <f t="shared" si="149"/>
        <v>0</v>
      </c>
      <c r="AZ3150" s="46">
        <f t="shared" si="150"/>
        <v>0</v>
      </c>
    </row>
    <row r="3151" spans="50:52">
      <c r="AX3151" s="46">
        <f t="shared" si="148"/>
        <v>0</v>
      </c>
      <c r="AY3151" s="46">
        <f t="shared" si="149"/>
        <v>0</v>
      </c>
      <c r="AZ3151" s="46">
        <f t="shared" si="150"/>
        <v>0</v>
      </c>
    </row>
    <row r="3152" spans="50:52">
      <c r="AX3152" s="46">
        <f t="shared" si="148"/>
        <v>0</v>
      </c>
      <c r="AY3152" s="46">
        <f t="shared" si="149"/>
        <v>0</v>
      </c>
      <c r="AZ3152" s="46">
        <f t="shared" si="150"/>
        <v>0</v>
      </c>
    </row>
    <row r="3153" spans="50:52">
      <c r="AX3153" s="46">
        <f t="shared" si="148"/>
        <v>0</v>
      </c>
      <c r="AY3153" s="46">
        <f t="shared" si="149"/>
        <v>0</v>
      </c>
      <c r="AZ3153" s="46">
        <f t="shared" si="150"/>
        <v>0</v>
      </c>
    </row>
    <row r="3154" spans="50:52">
      <c r="AX3154" s="46">
        <f t="shared" si="148"/>
        <v>0</v>
      </c>
      <c r="AY3154" s="46">
        <f t="shared" si="149"/>
        <v>0</v>
      </c>
      <c r="AZ3154" s="46">
        <f t="shared" si="150"/>
        <v>0</v>
      </c>
    </row>
    <row r="3155" spans="50:52">
      <c r="AX3155" s="46">
        <f t="shared" si="148"/>
        <v>0</v>
      </c>
      <c r="AY3155" s="46">
        <f t="shared" si="149"/>
        <v>0</v>
      </c>
      <c r="AZ3155" s="46">
        <f t="shared" si="150"/>
        <v>0</v>
      </c>
    </row>
    <row r="3156" spans="50:52">
      <c r="AX3156" s="46">
        <f t="shared" si="148"/>
        <v>0</v>
      </c>
      <c r="AY3156" s="46">
        <f t="shared" si="149"/>
        <v>0</v>
      </c>
      <c r="AZ3156" s="46">
        <f t="shared" si="150"/>
        <v>0</v>
      </c>
    </row>
    <row r="3157" spans="50:52">
      <c r="AX3157" s="46">
        <f t="shared" si="148"/>
        <v>0</v>
      </c>
      <c r="AY3157" s="46">
        <f t="shared" si="149"/>
        <v>0</v>
      </c>
      <c r="AZ3157" s="46">
        <f t="shared" si="150"/>
        <v>0</v>
      </c>
    </row>
    <row r="3158" spans="50:52">
      <c r="AX3158" s="46">
        <f t="shared" si="148"/>
        <v>0</v>
      </c>
      <c r="AY3158" s="46">
        <f t="shared" si="149"/>
        <v>0</v>
      </c>
      <c r="AZ3158" s="46">
        <f t="shared" si="150"/>
        <v>0</v>
      </c>
    </row>
    <row r="3159" spans="50:52">
      <c r="AX3159" s="46">
        <f t="shared" si="148"/>
        <v>0</v>
      </c>
      <c r="AY3159" s="46">
        <f t="shared" si="149"/>
        <v>0</v>
      </c>
      <c r="AZ3159" s="46">
        <f t="shared" si="150"/>
        <v>0</v>
      </c>
    </row>
    <row r="3160" spans="50:52">
      <c r="AX3160" s="46">
        <f t="shared" si="148"/>
        <v>0</v>
      </c>
      <c r="AY3160" s="46">
        <f t="shared" si="149"/>
        <v>0</v>
      </c>
      <c r="AZ3160" s="46">
        <f t="shared" si="150"/>
        <v>0</v>
      </c>
    </row>
    <row r="3161" spans="50:52">
      <c r="AX3161" s="46">
        <f t="shared" si="148"/>
        <v>0</v>
      </c>
      <c r="AY3161" s="46">
        <f t="shared" si="149"/>
        <v>0</v>
      </c>
      <c r="AZ3161" s="46">
        <f t="shared" si="150"/>
        <v>0</v>
      </c>
    </row>
    <row r="3162" spans="50:52">
      <c r="AX3162" s="46">
        <f t="shared" si="148"/>
        <v>0</v>
      </c>
      <c r="AY3162" s="46">
        <f t="shared" si="149"/>
        <v>0</v>
      </c>
      <c r="AZ3162" s="46">
        <f t="shared" si="150"/>
        <v>0</v>
      </c>
    </row>
    <row r="3163" spans="50:52">
      <c r="AX3163" s="46">
        <f t="shared" si="148"/>
        <v>0</v>
      </c>
      <c r="AY3163" s="46">
        <f t="shared" si="149"/>
        <v>0</v>
      </c>
      <c r="AZ3163" s="46">
        <f t="shared" si="150"/>
        <v>0</v>
      </c>
    </row>
    <row r="3164" spans="50:52">
      <c r="AX3164" s="46">
        <f t="shared" si="148"/>
        <v>0</v>
      </c>
      <c r="AY3164" s="46">
        <f t="shared" si="149"/>
        <v>0</v>
      </c>
      <c r="AZ3164" s="46">
        <f t="shared" si="150"/>
        <v>0</v>
      </c>
    </row>
    <row r="3165" spans="50:52">
      <c r="AX3165" s="46">
        <f t="shared" si="148"/>
        <v>0</v>
      </c>
      <c r="AY3165" s="46">
        <f t="shared" si="149"/>
        <v>0</v>
      </c>
      <c r="AZ3165" s="46">
        <f t="shared" si="150"/>
        <v>0</v>
      </c>
    </row>
    <row r="3166" spans="50:52">
      <c r="AX3166" s="46">
        <f t="shared" si="148"/>
        <v>0</v>
      </c>
      <c r="AY3166" s="46">
        <f t="shared" si="149"/>
        <v>0</v>
      </c>
      <c r="AZ3166" s="46">
        <f t="shared" si="150"/>
        <v>0</v>
      </c>
    </row>
    <row r="3167" spans="50:52">
      <c r="AX3167" s="46">
        <f t="shared" si="148"/>
        <v>0</v>
      </c>
      <c r="AY3167" s="46">
        <f t="shared" si="149"/>
        <v>0</v>
      </c>
      <c r="AZ3167" s="46">
        <f t="shared" si="150"/>
        <v>0</v>
      </c>
    </row>
    <row r="3168" spans="50:52">
      <c r="AX3168" s="46">
        <f t="shared" si="148"/>
        <v>0</v>
      </c>
      <c r="AY3168" s="46">
        <f t="shared" si="149"/>
        <v>0</v>
      </c>
      <c r="AZ3168" s="46">
        <f t="shared" si="150"/>
        <v>0</v>
      </c>
    </row>
    <row r="3169" spans="50:52">
      <c r="AX3169" s="46">
        <f t="shared" si="148"/>
        <v>0</v>
      </c>
      <c r="AY3169" s="46">
        <f t="shared" si="149"/>
        <v>0</v>
      </c>
      <c r="AZ3169" s="46">
        <f t="shared" si="150"/>
        <v>0</v>
      </c>
    </row>
    <row r="3170" spans="50:52">
      <c r="AX3170" s="46">
        <f t="shared" si="148"/>
        <v>0</v>
      </c>
      <c r="AY3170" s="46">
        <f t="shared" si="149"/>
        <v>0</v>
      </c>
      <c r="AZ3170" s="46">
        <f t="shared" si="150"/>
        <v>0</v>
      </c>
    </row>
    <row r="3171" spans="50:52">
      <c r="AX3171" s="46">
        <f t="shared" si="148"/>
        <v>0</v>
      </c>
      <c r="AY3171" s="46">
        <f t="shared" si="149"/>
        <v>0</v>
      </c>
      <c r="AZ3171" s="46">
        <f t="shared" si="150"/>
        <v>0</v>
      </c>
    </row>
    <row r="3172" spans="50:52">
      <c r="AX3172" s="46">
        <f t="shared" si="148"/>
        <v>0</v>
      </c>
      <c r="AY3172" s="46">
        <f t="shared" si="149"/>
        <v>0</v>
      </c>
      <c r="AZ3172" s="46">
        <f t="shared" si="150"/>
        <v>0</v>
      </c>
    </row>
    <row r="3173" spans="50:52">
      <c r="AX3173" s="46">
        <f t="shared" si="148"/>
        <v>0</v>
      </c>
      <c r="AY3173" s="46">
        <f t="shared" si="149"/>
        <v>0</v>
      </c>
      <c r="AZ3173" s="46">
        <f t="shared" si="150"/>
        <v>0</v>
      </c>
    </row>
    <row r="3174" spans="50:52">
      <c r="AX3174" s="46">
        <f t="shared" si="148"/>
        <v>0</v>
      </c>
      <c r="AY3174" s="46">
        <f t="shared" si="149"/>
        <v>0</v>
      </c>
      <c r="AZ3174" s="46">
        <f t="shared" si="150"/>
        <v>0</v>
      </c>
    </row>
    <row r="3175" spans="50:52">
      <c r="AX3175" s="46">
        <f t="shared" si="148"/>
        <v>0</v>
      </c>
      <c r="AY3175" s="46">
        <f t="shared" si="149"/>
        <v>0</v>
      </c>
      <c r="AZ3175" s="46">
        <f t="shared" si="150"/>
        <v>0</v>
      </c>
    </row>
    <row r="3176" spans="50:52">
      <c r="AX3176" s="46">
        <f t="shared" si="148"/>
        <v>0</v>
      </c>
      <c r="AY3176" s="46">
        <f t="shared" si="149"/>
        <v>0</v>
      </c>
      <c r="AZ3176" s="46">
        <f t="shared" si="150"/>
        <v>0</v>
      </c>
    </row>
    <row r="3177" spans="50:52">
      <c r="AX3177" s="46">
        <f t="shared" si="148"/>
        <v>0</v>
      </c>
      <c r="AY3177" s="46">
        <f t="shared" si="149"/>
        <v>0</v>
      </c>
      <c r="AZ3177" s="46">
        <f t="shared" si="150"/>
        <v>0</v>
      </c>
    </row>
    <row r="3178" spans="50:52">
      <c r="AX3178" s="46">
        <f t="shared" si="148"/>
        <v>0</v>
      </c>
      <c r="AY3178" s="46">
        <f t="shared" si="149"/>
        <v>0</v>
      </c>
      <c r="AZ3178" s="46">
        <f t="shared" si="150"/>
        <v>0</v>
      </c>
    </row>
    <row r="3179" spans="50:52">
      <c r="AX3179" s="46">
        <f t="shared" si="148"/>
        <v>0</v>
      </c>
      <c r="AY3179" s="46">
        <f t="shared" si="149"/>
        <v>0</v>
      </c>
      <c r="AZ3179" s="46">
        <f t="shared" si="150"/>
        <v>0</v>
      </c>
    </row>
    <row r="3180" spans="50:52">
      <c r="AX3180" s="46">
        <f t="shared" si="148"/>
        <v>0</v>
      </c>
      <c r="AY3180" s="46">
        <f t="shared" si="149"/>
        <v>0</v>
      </c>
      <c r="AZ3180" s="46">
        <f t="shared" si="150"/>
        <v>0</v>
      </c>
    </row>
    <row r="3181" spans="50:52">
      <c r="AX3181" s="46">
        <f t="shared" si="148"/>
        <v>0</v>
      </c>
      <c r="AY3181" s="46">
        <f t="shared" si="149"/>
        <v>0</v>
      </c>
      <c r="AZ3181" s="46">
        <f t="shared" si="150"/>
        <v>0</v>
      </c>
    </row>
    <row r="3182" spans="50:52">
      <c r="AX3182" s="46">
        <f t="shared" si="148"/>
        <v>0</v>
      </c>
      <c r="AY3182" s="46">
        <f t="shared" si="149"/>
        <v>0</v>
      </c>
      <c r="AZ3182" s="46">
        <f t="shared" si="150"/>
        <v>0</v>
      </c>
    </row>
    <row r="3183" spans="50:52">
      <c r="AX3183" s="46">
        <f t="shared" si="148"/>
        <v>0</v>
      </c>
      <c r="AY3183" s="46">
        <f t="shared" si="149"/>
        <v>0</v>
      </c>
      <c r="AZ3183" s="46">
        <f t="shared" si="150"/>
        <v>0</v>
      </c>
    </row>
    <row r="3184" spans="50:52">
      <c r="AX3184" s="46">
        <f t="shared" si="148"/>
        <v>0</v>
      </c>
      <c r="AY3184" s="46">
        <f t="shared" si="149"/>
        <v>0</v>
      </c>
      <c r="AZ3184" s="46">
        <f t="shared" si="150"/>
        <v>0</v>
      </c>
    </row>
    <row r="3185" spans="50:52">
      <c r="AX3185" s="46">
        <f t="shared" si="148"/>
        <v>0</v>
      </c>
      <c r="AY3185" s="46">
        <f t="shared" si="149"/>
        <v>0</v>
      </c>
      <c r="AZ3185" s="46">
        <f t="shared" si="150"/>
        <v>0</v>
      </c>
    </row>
    <row r="3186" spans="50:52">
      <c r="AX3186" s="46">
        <f t="shared" si="148"/>
        <v>0</v>
      </c>
      <c r="AY3186" s="46">
        <f t="shared" si="149"/>
        <v>0</v>
      </c>
      <c r="AZ3186" s="46">
        <f t="shared" si="150"/>
        <v>0</v>
      </c>
    </row>
    <row r="3187" spans="50:52">
      <c r="AX3187" s="46">
        <f t="shared" si="148"/>
        <v>0</v>
      </c>
      <c r="AY3187" s="46">
        <f t="shared" si="149"/>
        <v>0</v>
      </c>
      <c r="AZ3187" s="46">
        <f t="shared" si="150"/>
        <v>0</v>
      </c>
    </row>
    <row r="3188" spans="50:52">
      <c r="AX3188" s="46">
        <f t="shared" si="148"/>
        <v>0</v>
      </c>
      <c r="AY3188" s="46">
        <f t="shared" si="149"/>
        <v>0</v>
      </c>
      <c r="AZ3188" s="46">
        <f t="shared" si="150"/>
        <v>0</v>
      </c>
    </row>
    <row r="3189" spans="50:52">
      <c r="AX3189" s="46">
        <f t="shared" si="148"/>
        <v>0</v>
      </c>
      <c r="AY3189" s="46">
        <f t="shared" si="149"/>
        <v>0</v>
      </c>
      <c r="AZ3189" s="46">
        <f t="shared" si="150"/>
        <v>0</v>
      </c>
    </row>
    <row r="3190" spans="50:52">
      <c r="AX3190" s="46">
        <f t="shared" si="148"/>
        <v>0</v>
      </c>
      <c r="AY3190" s="46">
        <f t="shared" si="149"/>
        <v>0</v>
      </c>
      <c r="AZ3190" s="46">
        <f t="shared" si="150"/>
        <v>0</v>
      </c>
    </row>
    <row r="3191" spans="50:52">
      <c r="AX3191" s="46">
        <f t="shared" si="148"/>
        <v>0</v>
      </c>
      <c r="AY3191" s="46">
        <f t="shared" si="149"/>
        <v>0</v>
      </c>
      <c r="AZ3191" s="46">
        <f t="shared" si="150"/>
        <v>0</v>
      </c>
    </row>
    <row r="3192" spans="50:52">
      <c r="AX3192" s="46">
        <f t="shared" si="148"/>
        <v>0</v>
      </c>
      <c r="AY3192" s="46">
        <f t="shared" si="149"/>
        <v>0</v>
      </c>
      <c r="AZ3192" s="46">
        <f t="shared" si="150"/>
        <v>0</v>
      </c>
    </row>
    <row r="3193" spans="50:52">
      <c r="AX3193" s="46">
        <f t="shared" si="148"/>
        <v>0</v>
      </c>
      <c r="AY3193" s="46">
        <f t="shared" si="149"/>
        <v>0</v>
      </c>
      <c r="AZ3193" s="46">
        <f t="shared" si="150"/>
        <v>0</v>
      </c>
    </row>
    <row r="3194" spans="50:52">
      <c r="AX3194" s="46">
        <f t="shared" si="148"/>
        <v>0</v>
      </c>
      <c r="AY3194" s="46">
        <f t="shared" si="149"/>
        <v>0</v>
      </c>
      <c r="AZ3194" s="46">
        <f t="shared" si="150"/>
        <v>0</v>
      </c>
    </row>
    <row r="3195" spans="50:52">
      <c r="AX3195" s="46">
        <f t="shared" si="148"/>
        <v>0</v>
      </c>
      <c r="AY3195" s="46">
        <f t="shared" si="149"/>
        <v>0</v>
      </c>
      <c r="AZ3195" s="46">
        <f t="shared" si="150"/>
        <v>0</v>
      </c>
    </row>
    <row r="3196" spans="50:52">
      <c r="AX3196" s="46">
        <f t="shared" si="148"/>
        <v>0</v>
      </c>
      <c r="AY3196" s="46">
        <f t="shared" si="149"/>
        <v>0</v>
      </c>
      <c r="AZ3196" s="46">
        <f t="shared" si="150"/>
        <v>0</v>
      </c>
    </row>
    <row r="3197" spans="50:52">
      <c r="AX3197" s="46">
        <f t="shared" si="148"/>
        <v>0</v>
      </c>
      <c r="AY3197" s="46">
        <f t="shared" si="149"/>
        <v>0</v>
      </c>
      <c r="AZ3197" s="46">
        <f t="shared" si="150"/>
        <v>0</v>
      </c>
    </row>
    <row r="3198" spans="50:52">
      <c r="AX3198" s="46">
        <f t="shared" si="148"/>
        <v>0</v>
      </c>
      <c r="AY3198" s="46">
        <f t="shared" si="149"/>
        <v>0</v>
      </c>
      <c r="AZ3198" s="46">
        <f t="shared" si="150"/>
        <v>0</v>
      </c>
    </row>
    <row r="3199" spans="50:52">
      <c r="AX3199" s="46">
        <f t="shared" si="148"/>
        <v>0</v>
      </c>
      <c r="AY3199" s="46">
        <f t="shared" si="149"/>
        <v>0</v>
      </c>
      <c r="AZ3199" s="46">
        <f t="shared" si="150"/>
        <v>0</v>
      </c>
    </row>
    <row r="3200" spans="50:52">
      <c r="AX3200" s="46">
        <f t="shared" si="148"/>
        <v>0</v>
      </c>
      <c r="AY3200" s="46">
        <f t="shared" si="149"/>
        <v>0</v>
      </c>
      <c r="AZ3200" s="46">
        <f t="shared" si="150"/>
        <v>0</v>
      </c>
    </row>
    <row r="3201" spans="50:52">
      <c r="AX3201" s="46">
        <f t="shared" si="148"/>
        <v>0</v>
      </c>
      <c r="AY3201" s="46">
        <f t="shared" si="149"/>
        <v>0</v>
      </c>
      <c r="AZ3201" s="46">
        <f t="shared" si="150"/>
        <v>0</v>
      </c>
    </row>
    <row r="3202" spans="50:52">
      <c r="AX3202" s="46">
        <f t="shared" si="148"/>
        <v>0</v>
      </c>
      <c r="AY3202" s="46">
        <f t="shared" si="149"/>
        <v>0</v>
      </c>
      <c r="AZ3202" s="46">
        <f t="shared" si="150"/>
        <v>0</v>
      </c>
    </row>
    <row r="3203" spans="50:52">
      <c r="AX3203" s="46">
        <f t="shared" si="148"/>
        <v>0</v>
      </c>
      <c r="AY3203" s="46">
        <f t="shared" si="149"/>
        <v>0</v>
      </c>
      <c r="AZ3203" s="46">
        <f t="shared" si="150"/>
        <v>0</v>
      </c>
    </row>
    <row r="3204" spans="50:52">
      <c r="AX3204" s="46">
        <f t="shared" si="148"/>
        <v>0</v>
      </c>
      <c r="AY3204" s="46">
        <f t="shared" si="149"/>
        <v>0</v>
      </c>
      <c r="AZ3204" s="46">
        <f t="shared" si="150"/>
        <v>0</v>
      </c>
    </row>
    <row r="3205" spans="50:52">
      <c r="AX3205" s="46">
        <f t="shared" si="148"/>
        <v>0</v>
      </c>
      <c r="AY3205" s="46">
        <f t="shared" si="149"/>
        <v>0</v>
      </c>
      <c r="AZ3205" s="46">
        <f t="shared" si="150"/>
        <v>0</v>
      </c>
    </row>
    <row r="3206" spans="50:52">
      <c r="AX3206" s="46">
        <f t="shared" si="148"/>
        <v>0</v>
      </c>
      <c r="AY3206" s="46">
        <f t="shared" si="149"/>
        <v>0</v>
      </c>
      <c r="AZ3206" s="46">
        <f t="shared" si="150"/>
        <v>0</v>
      </c>
    </row>
    <row r="3207" spans="50:52">
      <c r="AX3207" s="46">
        <f t="shared" si="148"/>
        <v>0</v>
      </c>
      <c r="AY3207" s="46">
        <f t="shared" si="149"/>
        <v>0</v>
      </c>
      <c r="AZ3207" s="46">
        <f t="shared" si="150"/>
        <v>0</v>
      </c>
    </row>
    <row r="3208" spans="50:52">
      <c r="AX3208" s="46">
        <f t="shared" si="148"/>
        <v>0</v>
      </c>
      <c r="AY3208" s="46">
        <f t="shared" si="149"/>
        <v>0</v>
      </c>
      <c r="AZ3208" s="46">
        <f t="shared" si="150"/>
        <v>0</v>
      </c>
    </row>
    <row r="3209" spans="50:52">
      <c r="AX3209" s="46">
        <f t="shared" si="148"/>
        <v>0</v>
      </c>
      <c r="AY3209" s="46">
        <f t="shared" si="149"/>
        <v>0</v>
      </c>
      <c r="AZ3209" s="46">
        <f t="shared" si="150"/>
        <v>0</v>
      </c>
    </row>
    <row r="3210" spans="50:52">
      <c r="AX3210" s="46">
        <f t="shared" si="148"/>
        <v>0</v>
      </c>
      <c r="AY3210" s="46">
        <f t="shared" si="149"/>
        <v>0</v>
      </c>
      <c r="AZ3210" s="46">
        <f t="shared" si="150"/>
        <v>0</v>
      </c>
    </row>
    <row r="3211" spans="50:52">
      <c r="AX3211" s="46">
        <f t="shared" ref="AX3211:AX3274" si="151">IFERROR(SUM(Q3211:AS3211)-SUM(AT3211:AU3211)+AV3211,"-")</f>
        <v>0</v>
      </c>
      <c r="AY3211" s="46">
        <f t="shared" ref="AY3211:AY3274" si="152">IFERROR(SUM(Q3211:AS3211)-SUM(AT3211:AT3211),"-")</f>
        <v>0</v>
      </c>
      <c r="AZ3211" s="46">
        <f t="shared" ref="AZ3211:AZ3274" si="153">SUM(Q3211:AS3211)</f>
        <v>0</v>
      </c>
    </row>
    <row r="3212" spans="50:52">
      <c r="AX3212" s="46">
        <f t="shared" si="151"/>
        <v>0</v>
      </c>
      <c r="AY3212" s="46">
        <f t="shared" si="152"/>
        <v>0</v>
      </c>
      <c r="AZ3212" s="46">
        <f t="shared" si="153"/>
        <v>0</v>
      </c>
    </row>
    <row r="3213" spans="50:52">
      <c r="AX3213" s="46">
        <f t="shared" si="151"/>
        <v>0</v>
      </c>
      <c r="AY3213" s="46">
        <f t="shared" si="152"/>
        <v>0</v>
      </c>
      <c r="AZ3213" s="46">
        <f t="shared" si="153"/>
        <v>0</v>
      </c>
    </row>
    <row r="3214" spans="50:52">
      <c r="AX3214" s="46">
        <f t="shared" si="151"/>
        <v>0</v>
      </c>
      <c r="AY3214" s="46">
        <f t="shared" si="152"/>
        <v>0</v>
      </c>
      <c r="AZ3214" s="46">
        <f t="shared" si="153"/>
        <v>0</v>
      </c>
    </row>
    <row r="3215" spans="50:52">
      <c r="AX3215" s="46">
        <f t="shared" si="151"/>
        <v>0</v>
      </c>
      <c r="AY3215" s="46">
        <f t="shared" si="152"/>
        <v>0</v>
      </c>
      <c r="AZ3215" s="46">
        <f t="shared" si="153"/>
        <v>0</v>
      </c>
    </row>
    <row r="3216" spans="50:52">
      <c r="AX3216" s="46">
        <f t="shared" si="151"/>
        <v>0</v>
      </c>
      <c r="AY3216" s="46">
        <f t="shared" si="152"/>
        <v>0</v>
      </c>
      <c r="AZ3216" s="46">
        <f t="shared" si="153"/>
        <v>0</v>
      </c>
    </row>
    <row r="3217" spans="50:52">
      <c r="AX3217" s="46">
        <f t="shared" si="151"/>
        <v>0</v>
      </c>
      <c r="AY3217" s="46">
        <f t="shared" si="152"/>
        <v>0</v>
      </c>
      <c r="AZ3217" s="46">
        <f t="shared" si="153"/>
        <v>0</v>
      </c>
    </row>
    <row r="3218" spans="50:52">
      <c r="AX3218" s="46">
        <f t="shared" si="151"/>
        <v>0</v>
      </c>
      <c r="AY3218" s="46">
        <f t="shared" si="152"/>
        <v>0</v>
      </c>
      <c r="AZ3218" s="46">
        <f t="shared" si="153"/>
        <v>0</v>
      </c>
    </row>
    <row r="3219" spans="50:52">
      <c r="AX3219" s="46">
        <f t="shared" si="151"/>
        <v>0</v>
      </c>
      <c r="AY3219" s="46">
        <f t="shared" si="152"/>
        <v>0</v>
      </c>
      <c r="AZ3219" s="46">
        <f t="shared" si="153"/>
        <v>0</v>
      </c>
    </row>
    <row r="3220" spans="50:52">
      <c r="AX3220" s="46">
        <f t="shared" si="151"/>
        <v>0</v>
      </c>
      <c r="AY3220" s="46">
        <f t="shared" si="152"/>
        <v>0</v>
      </c>
      <c r="AZ3220" s="46">
        <f t="shared" si="153"/>
        <v>0</v>
      </c>
    </row>
    <row r="3221" spans="50:52">
      <c r="AX3221" s="46">
        <f t="shared" si="151"/>
        <v>0</v>
      </c>
      <c r="AY3221" s="46">
        <f t="shared" si="152"/>
        <v>0</v>
      </c>
      <c r="AZ3221" s="46">
        <f t="shared" si="153"/>
        <v>0</v>
      </c>
    </row>
    <row r="3222" spans="50:52">
      <c r="AX3222" s="46">
        <f t="shared" si="151"/>
        <v>0</v>
      </c>
      <c r="AY3222" s="46">
        <f t="shared" si="152"/>
        <v>0</v>
      </c>
      <c r="AZ3222" s="46">
        <f t="shared" si="153"/>
        <v>0</v>
      </c>
    </row>
    <row r="3223" spans="50:52">
      <c r="AX3223" s="46">
        <f t="shared" si="151"/>
        <v>0</v>
      </c>
      <c r="AY3223" s="46">
        <f t="shared" si="152"/>
        <v>0</v>
      </c>
      <c r="AZ3223" s="46">
        <f t="shared" si="153"/>
        <v>0</v>
      </c>
    </row>
    <row r="3224" spans="50:52">
      <c r="AX3224" s="46">
        <f t="shared" si="151"/>
        <v>0</v>
      </c>
      <c r="AY3224" s="46">
        <f t="shared" si="152"/>
        <v>0</v>
      </c>
      <c r="AZ3224" s="46">
        <f t="shared" si="153"/>
        <v>0</v>
      </c>
    </row>
    <row r="3225" spans="50:52">
      <c r="AX3225" s="46">
        <f t="shared" si="151"/>
        <v>0</v>
      </c>
      <c r="AY3225" s="46">
        <f t="shared" si="152"/>
        <v>0</v>
      </c>
      <c r="AZ3225" s="46">
        <f t="shared" si="153"/>
        <v>0</v>
      </c>
    </row>
    <row r="3226" spans="50:52">
      <c r="AX3226" s="46">
        <f t="shared" si="151"/>
        <v>0</v>
      </c>
      <c r="AY3226" s="46">
        <f t="shared" si="152"/>
        <v>0</v>
      </c>
      <c r="AZ3226" s="46">
        <f t="shared" si="153"/>
        <v>0</v>
      </c>
    </row>
    <row r="3227" spans="50:52">
      <c r="AX3227" s="46">
        <f t="shared" si="151"/>
        <v>0</v>
      </c>
      <c r="AY3227" s="46">
        <f t="shared" si="152"/>
        <v>0</v>
      </c>
      <c r="AZ3227" s="46">
        <f t="shared" si="153"/>
        <v>0</v>
      </c>
    </row>
    <row r="3228" spans="50:52">
      <c r="AX3228" s="46">
        <f t="shared" si="151"/>
        <v>0</v>
      </c>
      <c r="AY3228" s="46">
        <f t="shared" si="152"/>
        <v>0</v>
      </c>
      <c r="AZ3228" s="46">
        <f t="shared" si="153"/>
        <v>0</v>
      </c>
    </row>
    <row r="3229" spans="50:52">
      <c r="AX3229" s="46">
        <f t="shared" si="151"/>
        <v>0</v>
      </c>
      <c r="AY3229" s="46">
        <f t="shared" si="152"/>
        <v>0</v>
      </c>
      <c r="AZ3229" s="46">
        <f t="shared" si="153"/>
        <v>0</v>
      </c>
    </row>
    <row r="3230" spans="50:52">
      <c r="AX3230" s="46">
        <f t="shared" si="151"/>
        <v>0</v>
      </c>
      <c r="AY3230" s="46">
        <f t="shared" si="152"/>
        <v>0</v>
      </c>
      <c r="AZ3230" s="46">
        <f t="shared" si="153"/>
        <v>0</v>
      </c>
    </row>
    <row r="3231" spans="50:52">
      <c r="AX3231" s="46">
        <f t="shared" si="151"/>
        <v>0</v>
      </c>
      <c r="AY3231" s="46">
        <f t="shared" si="152"/>
        <v>0</v>
      </c>
      <c r="AZ3231" s="46">
        <f t="shared" si="153"/>
        <v>0</v>
      </c>
    </row>
    <row r="3232" spans="50:52">
      <c r="AX3232" s="46">
        <f t="shared" si="151"/>
        <v>0</v>
      </c>
      <c r="AY3232" s="46">
        <f t="shared" si="152"/>
        <v>0</v>
      </c>
      <c r="AZ3232" s="46">
        <f t="shared" si="153"/>
        <v>0</v>
      </c>
    </row>
    <row r="3233" spans="50:52">
      <c r="AX3233" s="46">
        <f t="shared" si="151"/>
        <v>0</v>
      </c>
      <c r="AY3233" s="46">
        <f t="shared" si="152"/>
        <v>0</v>
      </c>
      <c r="AZ3233" s="46">
        <f t="shared" si="153"/>
        <v>0</v>
      </c>
    </row>
    <row r="3234" spans="50:52">
      <c r="AX3234" s="46">
        <f t="shared" si="151"/>
        <v>0</v>
      </c>
      <c r="AY3234" s="46">
        <f t="shared" si="152"/>
        <v>0</v>
      </c>
      <c r="AZ3234" s="46">
        <f t="shared" si="153"/>
        <v>0</v>
      </c>
    </row>
    <row r="3235" spans="50:52">
      <c r="AX3235" s="46">
        <f t="shared" si="151"/>
        <v>0</v>
      </c>
      <c r="AY3235" s="46">
        <f t="shared" si="152"/>
        <v>0</v>
      </c>
      <c r="AZ3235" s="46">
        <f t="shared" si="153"/>
        <v>0</v>
      </c>
    </row>
    <row r="3236" spans="50:52">
      <c r="AX3236" s="46">
        <f t="shared" si="151"/>
        <v>0</v>
      </c>
      <c r="AY3236" s="46">
        <f t="shared" si="152"/>
        <v>0</v>
      </c>
      <c r="AZ3236" s="46">
        <f t="shared" si="153"/>
        <v>0</v>
      </c>
    </row>
    <row r="3237" spans="50:52">
      <c r="AX3237" s="46">
        <f t="shared" si="151"/>
        <v>0</v>
      </c>
      <c r="AY3237" s="46">
        <f t="shared" si="152"/>
        <v>0</v>
      </c>
      <c r="AZ3237" s="46">
        <f t="shared" si="153"/>
        <v>0</v>
      </c>
    </row>
    <row r="3238" spans="50:52">
      <c r="AX3238" s="46">
        <f t="shared" si="151"/>
        <v>0</v>
      </c>
      <c r="AY3238" s="46">
        <f t="shared" si="152"/>
        <v>0</v>
      </c>
      <c r="AZ3238" s="46">
        <f t="shared" si="153"/>
        <v>0</v>
      </c>
    </row>
    <row r="3239" spans="50:52">
      <c r="AX3239" s="46">
        <f t="shared" si="151"/>
        <v>0</v>
      </c>
      <c r="AY3239" s="46">
        <f t="shared" si="152"/>
        <v>0</v>
      </c>
      <c r="AZ3239" s="46">
        <f t="shared" si="153"/>
        <v>0</v>
      </c>
    </row>
    <row r="3240" spans="50:52">
      <c r="AX3240" s="46">
        <f t="shared" si="151"/>
        <v>0</v>
      </c>
      <c r="AY3240" s="46">
        <f t="shared" si="152"/>
        <v>0</v>
      </c>
      <c r="AZ3240" s="46">
        <f t="shared" si="153"/>
        <v>0</v>
      </c>
    </row>
    <row r="3241" spans="50:52">
      <c r="AX3241" s="46">
        <f t="shared" si="151"/>
        <v>0</v>
      </c>
      <c r="AY3241" s="46">
        <f t="shared" si="152"/>
        <v>0</v>
      </c>
      <c r="AZ3241" s="46">
        <f t="shared" si="153"/>
        <v>0</v>
      </c>
    </row>
    <row r="3242" spans="50:52">
      <c r="AX3242" s="46">
        <f t="shared" si="151"/>
        <v>0</v>
      </c>
      <c r="AY3242" s="46">
        <f t="shared" si="152"/>
        <v>0</v>
      </c>
      <c r="AZ3242" s="46">
        <f t="shared" si="153"/>
        <v>0</v>
      </c>
    </row>
    <row r="3243" spans="50:52">
      <c r="AX3243" s="46">
        <f t="shared" si="151"/>
        <v>0</v>
      </c>
      <c r="AY3243" s="46">
        <f t="shared" si="152"/>
        <v>0</v>
      </c>
      <c r="AZ3243" s="46">
        <f t="shared" si="153"/>
        <v>0</v>
      </c>
    </row>
    <row r="3244" spans="50:52">
      <c r="AX3244" s="46">
        <f t="shared" si="151"/>
        <v>0</v>
      </c>
      <c r="AY3244" s="46">
        <f t="shared" si="152"/>
        <v>0</v>
      </c>
      <c r="AZ3244" s="46">
        <f t="shared" si="153"/>
        <v>0</v>
      </c>
    </row>
    <row r="3245" spans="50:52">
      <c r="AX3245" s="46">
        <f t="shared" si="151"/>
        <v>0</v>
      </c>
      <c r="AY3245" s="46">
        <f t="shared" si="152"/>
        <v>0</v>
      </c>
      <c r="AZ3245" s="46">
        <f t="shared" si="153"/>
        <v>0</v>
      </c>
    </row>
    <row r="3246" spans="50:52">
      <c r="AX3246" s="46">
        <f t="shared" si="151"/>
        <v>0</v>
      </c>
      <c r="AY3246" s="46">
        <f t="shared" si="152"/>
        <v>0</v>
      </c>
      <c r="AZ3246" s="46">
        <f t="shared" si="153"/>
        <v>0</v>
      </c>
    </row>
    <row r="3247" spans="50:52">
      <c r="AX3247" s="46">
        <f t="shared" si="151"/>
        <v>0</v>
      </c>
      <c r="AY3247" s="46">
        <f t="shared" si="152"/>
        <v>0</v>
      </c>
      <c r="AZ3247" s="46">
        <f t="shared" si="153"/>
        <v>0</v>
      </c>
    </row>
    <row r="3248" spans="50:52">
      <c r="AX3248" s="46">
        <f t="shared" si="151"/>
        <v>0</v>
      </c>
      <c r="AY3248" s="46">
        <f t="shared" si="152"/>
        <v>0</v>
      </c>
      <c r="AZ3248" s="46">
        <f t="shared" si="153"/>
        <v>0</v>
      </c>
    </row>
    <row r="3249" spans="50:52">
      <c r="AX3249" s="46">
        <f t="shared" si="151"/>
        <v>0</v>
      </c>
      <c r="AY3249" s="46">
        <f t="shared" si="152"/>
        <v>0</v>
      </c>
      <c r="AZ3249" s="46">
        <f t="shared" si="153"/>
        <v>0</v>
      </c>
    </row>
    <row r="3250" spans="50:52">
      <c r="AX3250" s="46">
        <f t="shared" si="151"/>
        <v>0</v>
      </c>
      <c r="AY3250" s="46">
        <f t="shared" si="152"/>
        <v>0</v>
      </c>
      <c r="AZ3250" s="46">
        <f t="shared" si="153"/>
        <v>0</v>
      </c>
    </row>
    <row r="3251" spans="50:52">
      <c r="AX3251" s="46">
        <f t="shared" si="151"/>
        <v>0</v>
      </c>
      <c r="AY3251" s="46">
        <f t="shared" si="152"/>
        <v>0</v>
      </c>
      <c r="AZ3251" s="46">
        <f t="shared" si="153"/>
        <v>0</v>
      </c>
    </row>
    <row r="3252" spans="50:52">
      <c r="AX3252" s="46">
        <f t="shared" si="151"/>
        <v>0</v>
      </c>
      <c r="AY3252" s="46">
        <f t="shared" si="152"/>
        <v>0</v>
      </c>
      <c r="AZ3252" s="46">
        <f t="shared" si="153"/>
        <v>0</v>
      </c>
    </row>
    <row r="3253" spans="50:52">
      <c r="AX3253" s="46">
        <f t="shared" si="151"/>
        <v>0</v>
      </c>
      <c r="AY3253" s="46">
        <f t="shared" si="152"/>
        <v>0</v>
      </c>
      <c r="AZ3253" s="46">
        <f t="shared" si="153"/>
        <v>0</v>
      </c>
    </row>
    <row r="3254" spans="50:52">
      <c r="AX3254" s="46">
        <f t="shared" si="151"/>
        <v>0</v>
      </c>
      <c r="AY3254" s="46">
        <f t="shared" si="152"/>
        <v>0</v>
      </c>
      <c r="AZ3254" s="46">
        <f t="shared" si="153"/>
        <v>0</v>
      </c>
    </row>
    <row r="3255" spans="50:52">
      <c r="AX3255" s="46">
        <f t="shared" si="151"/>
        <v>0</v>
      </c>
      <c r="AY3255" s="46">
        <f t="shared" si="152"/>
        <v>0</v>
      </c>
      <c r="AZ3255" s="46">
        <f t="shared" si="153"/>
        <v>0</v>
      </c>
    </row>
    <row r="3256" spans="50:52">
      <c r="AX3256" s="46">
        <f t="shared" si="151"/>
        <v>0</v>
      </c>
      <c r="AY3256" s="46">
        <f t="shared" si="152"/>
        <v>0</v>
      </c>
      <c r="AZ3256" s="46">
        <f t="shared" si="153"/>
        <v>0</v>
      </c>
    </row>
    <row r="3257" spans="50:52">
      <c r="AX3257" s="46">
        <f t="shared" si="151"/>
        <v>0</v>
      </c>
      <c r="AY3257" s="46">
        <f t="shared" si="152"/>
        <v>0</v>
      </c>
      <c r="AZ3257" s="46">
        <f t="shared" si="153"/>
        <v>0</v>
      </c>
    </row>
    <row r="3258" spans="50:52">
      <c r="AX3258" s="46">
        <f t="shared" si="151"/>
        <v>0</v>
      </c>
      <c r="AY3258" s="46">
        <f t="shared" si="152"/>
        <v>0</v>
      </c>
      <c r="AZ3258" s="46">
        <f t="shared" si="153"/>
        <v>0</v>
      </c>
    </row>
    <row r="3259" spans="50:52">
      <c r="AX3259" s="46">
        <f t="shared" si="151"/>
        <v>0</v>
      </c>
      <c r="AY3259" s="46">
        <f t="shared" si="152"/>
        <v>0</v>
      </c>
      <c r="AZ3259" s="46">
        <f t="shared" si="153"/>
        <v>0</v>
      </c>
    </row>
    <row r="3260" spans="50:52">
      <c r="AX3260" s="46">
        <f t="shared" si="151"/>
        <v>0</v>
      </c>
      <c r="AY3260" s="46">
        <f t="shared" si="152"/>
        <v>0</v>
      </c>
      <c r="AZ3260" s="46">
        <f t="shared" si="153"/>
        <v>0</v>
      </c>
    </row>
    <row r="3261" spans="50:52">
      <c r="AX3261" s="46">
        <f t="shared" si="151"/>
        <v>0</v>
      </c>
      <c r="AY3261" s="46">
        <f t="shared" si="152"/>
        <v>0</v>
      </c>
      <c r="AZ3261" s="46">
        <f t="shared" si="153"/>
        <v>0</v>
      </c>
    </row>
    <row r="3262" spans="50:52">
      <c r="AX3262" s="46">
        <f t="shared" si="151"/>
        <v>0</v>
      </c>
      <c r="AY3262" s="46">
        <f t="shared" si="152"/>
        <v>0</v>
      </c>
      <c r="AZ3262" s="46">
        <f t="shared" si="153"/>
        <v>0</v>
      </c>
    </row>
    <row r="3263" spans="50:52">
      <c r="AX3263" s="46">
        <f t="shared" si="151"/>
        <v>0</v>
      </c>
      <c r="AY3263" s="46">
        <f t="shared" si="152"/>
        <v>0</v>
      </c>
      <c r="AZ3263" s="46">
        <f t="shared" si="153"/>
        <v>0</v>
      </c>
    </row>
    <row r="3264" spans="50:52">
      <c r="AX3264" s="46">
        <f t="shared" si="151"/>
        <v>0</v>
      </c>
      <c r="AY3264" s="46">
        <f t="shared" si="152"/>
        <v>0</v>
      </c>
      <c r="AZ3264" s="46">
        <f t="shared" si="153"/>
        <v>0</v>
      </c>
    </row>
    <row r="3265" spans="50:52">
      <c r="AX3265" s="46">
        <f t="shared" si="151"/>
        <v>0</v>
      </c>
      <c r="AY3265" s="46">
        <f t="shared" si="152"/>
        <v>0</v>
      </c>
      <c r="AZ3265" s="46">
        <f t="shared" si="153"/>
        <v>0</v>
      </c>
    </row>
    <row r="3266" spans="50:52">
      <c r="AX3266" s="46">
        <f t="shared" si="151"/>
        <v>0</v>
      </c>
      <c r="AY3266" s="46">
        <f t="shared" si="152"/>
        <v>0</v>
      </c>
      <c r="AZ3266" s="46">
        <f t="shared" si="153"/>
        <v>0</v>
      </c>
    </row>
    <row r="3267" spans="50:52">
      <c r="AX3267" s="46">
        <f t="shared" si="151"/>
        <v>0</v>
      </c>
      <c r="AY3267" s="46">
        <f t="shared" si="152"/>
        <v>0</v>
      </c>
      <c r="AZ3267" s="46">
        <f t="shared" si="153"/>
        <v>0</v>
      </c>
    </row>
    <row r="3268" spans="50:52">
      <c r="AX3268" s="46">
        <f t="shared" si="151"/>
        <v>0</v>
      </c>
      <c r="AY3268" s="46">
        <f t="shared" si="152"/>
        <v>0</v>
      </c>
      <c r="AZ3268" s="46">
        <f t="shared" si="153"/>
        <v>0</v>
      </c>
    </row>
    <row r="3269" spans="50:52">
      <c r="AX3269" s="46">
        <f t="shared" si="151"/>
        <v>0</v>
      </c>
      <c r="AY3269" s="46">
        <f t="shared" si="152"/>
        <v>0</v>
      </c>
      <c r="AZ3269" s="46">
        <f t="shared" si="153"/>
        <v>0</v>
      </c>
    </row>
    <row r="3270" spans="50:52">
      <c r="AX3270" s="46">
        <f t="shared" si="151"/>
        <v>0</v>
      </c>
      <c r="AY3270" s="46">
        <f t="shared" si="152"/>
        <v>0</v>
      </c>
      <c r="AZ3270" s="46">
        <f t="shared" si="153"/>
        <v>0</v>
      </c>
    </row>
    <row r="3271" spans="50:52">
      <c r="AX3271" s="46">
        <f t="shared" si="151"/>
        <v>0</v>
      </c>
      <c r="AY3271" s="46">
        <f t="shared" si="152"/>
        <v>0</v>
      </c>
      <c r="AZ3271" s="46">
        <f t="shared" si="153"/>
        <v>0</v>
      </c>
    </row>
    <row r="3272" spans="50:52">
      <c r="AX3272" s="46">
        <f t="shared" si="151"/>
        <v>0</v>
      </c>
      <c r="AY3272" s="46">
        <f t="shared" si="152"/>
        <v>0</v>
      </c>
      <c r="AZ3272" s="46">
        <f t="shared" si="153"/>
        <v>0</v>
      </c>
    </row>
    <row r="3273" spans="50:52">
      <c r="AX3273" s="46">
        <f t="shared" si="151"/>
        <v>0</v>
      </c>
      <c r="AY3273" s="46">
        <f t="shared" si="152"/>
        <v>0</v>
      </c>
      <c r="AZ3273" s="46">
        <f t="shared" si="153"/>
        <v>0</v>
      </c>
    </row>
    <row r="3274" spans="50:52">
      <c r="AX3274" s="46">
        <f t="shared" si="151"/>
        <v>0</v>
      </c>
      <c r="AY3274" s="46">
        <f t="shared" si="152"/>
        <v>0</v>
      </c>
      <c r="AZ3274" s="46">
        <f t="shared" si="153"/>
        <v>0</v>
      </c>
    </row>
    <row r="3275" spans="50:52">
      <c r="AX3275" s="46">
        <f t="shared" ref="AX3275:AX3338" si="154">IFERROR(SUM(Q3275:AS3275)-SUM(AT3275:AU3275)+AV3275,"-")</f>
        <v>0</v>
      </c>
      <c r="AY3275" s="46">
        <f t="shared" ref="AY3275:AY3338" si="155">IFERROR(SUM(Q3275:AS3275)-SUM(AT3275:AT3275),"-")</f>
        <v>0</v>
      </c>
      <c r="AZ3275" s="46">
        <f t="shared" ref="AZ3275:AZ3338" si="156">SUM(Q3275:AS3275)</f>
        <v>0</v>
      </c>
    </row>
    <row r="3276" spans="50:52">
      <c r="AX3276" s="46">
        <f t="shared" si="154"/>
        <v>0</v>
      </c>
      <c r="AY3276" s="46">
        <f t="shared" si="155"/>
        <v>0</v>
      </c>
      <c r="AZ3276" s="46">
        <f t="shared" si="156"/>
        <v>0</v>
      </c>
    </row>
    <row r="3277" spans="50:52">
      <c r="AX3277" s="46">
        <f t="shared" si="154"/>
        <v>0</v>
      </c>
      <c r="AY3277" s="46">
        <f t="shared" si="155"/>
        <v>0</v>
      </c>
      <c r="AZ3277" s="46">
        <f t="shared" si="156"/>
        <v>0</v>
      </c>
    </row>
    <row r="3278" spans="50:52">
      <c r="AX3278" s="46">
        <f t="shared" si="154"/>
        <v>0</v>
      </c>
      <c r="AY3278" s="46">
        <f t="shared" si="155"/>
        <v>0</v>
      </c>
      <c r="AZ3278" s="46">
        <f t="shared" si="156"/>
        <v>0</v>
      </c>
    </row>
    <row r="3279" spans="50:52">
      <c r="AX3279" s="46">
        <f t="shared" si="154"/>
        <v>0</v>
      </c>
      <c r="AY3279" s="46">
        <f t="shared" si="155"/>
        <v>0</v>
      </c>
      <c r="AZ3279" s="46">
        <f t="shared" si="156"/>
        <v>0</v>
      </c>
    </row>
    <row r="3280" spans="50:52">
      <c r="AX3280" s="46">
        <f t="shared" si="154"/>
        <v>0</v>
      </c>
      <c r="AY3280" s="46">
        <f t="shared" si="155"/>
        <v>0</v>
      </c>
      <c r="AZ3280" s="46">
        <f t="shared" si="156"/>
        <v>0</v>
      </c>
    </row>
    <row r="3281" spans="50:52">
      <c r="AX3281" s="46">
        <f t="shared" si="154"/>
        <v>0</v>
      </c>
      <c r="AY3281" s="46">
        <f t="shared" si="155"/>
        <v>0</v>
      </c>
      <c r="AZ3281" s="46">
        <f t="shared" si="156"/>
        <v>0</v>
      </c>
    </row>
    <row r="3282" spans="50:52">
      <c r="AX3282" s="46">
        <f t="shared" si="154"/>
        <v>0</v>
      </c>
      <c r="AY3282" s="46">
        <f t="shared" si="155"/>
        <v>0</v>
      </c>
      <c r="AZ3282" s="46">
        <f t="shared" si="156"/>
        <v>0</v>
      </c>
    </row>
    <row r="3283" spans="50:52">
      <c r="AX3283" s="46">
        <f t="shared" si="154"/>
        <v>0</v>
      </c>
      <c r="AY3283" s="46">
        <f t="shared" si="155"/>
        <v>0</v>
      </c>
      <c r="AZ3283" s="46">
        <f t="shared" si="156"/>
        <v>0</v>
      </c>
    </row>
    <row r="3284" spans="50:52">
      <c r="AX3284" s="46">
        <f t="shared" si="154"/>
        <v>0</v>
      </c>
      <c r="AY3284" s="46">
        <f t="shared" si="155"/>
        <v>0</v>
      </c>
      <c r="AZ3284" s="46">
        <f t="shared" si="156"/>
        <v>0</v>
      </c>
    </row>
    <row r="3285" spans="50:52">
      <c r="AX3285" s="46">
        <f t="shared" si="154"/>
        <v>0</v>
      </c>
      <c r="AY3285" s="46">
        <f t="shared" si="155"/>
        <v>0</v>
      </c>
      <c r="AZ3285" s="46">
        <f t="shared" si="156"/>
        <v>0</v>
      </c>
    </row>
    <row r="3286" spans="50:52">
      <c r="AX3286" s="46">
        <f t="shared" si="154"/>
        <v>0</v>
      </c>
      <c r="AY3286" s="46">
        <f t="shared" si="155"/>
        <v>0</v>
      </c>
      <c r="AZ3286" s="46">
        <f t="shared" si="156"/>
        <v>0</v>
      </c>
    </row>
    <row r="3287" spans="50:52">
      <c r="AX3287" s="46">
        <f t="shared" si="154"/>
        <v>0</v>
      </c>
      <c r="AY3287" s="46">
        <f t="shared" si="155"/>
        <v>0</v>
      </c>
      <c r="AZ3287" s="46">
        <f t="shared" si="156"/>
        <v>0</v>
      </c>
    </row>
    <row r="3288" spans="50:52">
      <c r="AX3288" s="46">
        <f t="shared" si="154"/>
        <v>0</v>
      </c>
      <c r="AY3288" s="46">
        <f t="shared" si="155"/>
        <v>0</v>
      </c>
      <c r="AZ3288" s="46">
        <f t="shared" si="156"/>
        <v>0</v>
      </c>
    </row>
    <row r="3289" spans="50:52">
      <c r="AX3289" s="46">
        <f t="shared" si="154"/>
        <v>0</v>
      </c>
      <c r="AY3289" s="46">
        <f t="shared" si="155"/>
        <v>0</v>
      </c>
      <c r="AZ3289" s="46">
        <f t="shared" si="156"/>
        <v>0</v>
      </c>
    </row>
    <row r="3290" spans="50:52">
      <c r="AX3290" s="46">
        <f t="shared" si="154"/>
        <v>0</v>
      </c>
      <c r="AY3290" s="46">
        <f t="shared" si="155"/>
        <v>0</v>
      </c>
      <c r="AZ3290" s="46">
        <f t="shared" si="156"/>
        <v>0</v>
      </c>
    </row>
    <row r="3291" spans="50:52">
      <c r="AX3291" s="46">
        <f t="shared" si="154"/>
        <v>0</v>
      </c>
      <c r="AY3291" s="46">
        <f t="shared" si="155"/>
        <v>0</v>
      </c>
      <c r="AZ3291" s="46">
        <f t="shared" si="156"/>
        <v>0</v>
      </c>
    </row>
    <row r="3292" spans="50:52">
      <c r="AX3292" s="46">
        <f t="shared" si="154"/>
        <v>0</v>
      </c>
      <c r="AY3292" s="46">
        <f t="shared" si="155"/>
        <v>0</v>
      </c>
      <c r="AZ3292" s="46">
        <f t="shared" si="156"/>
        <v>0</v>
      </c>
    </row>
    <row r="3293" spans="50:52">
      <c r="AX3293" s="46">
        <f t="shared" si="154"/>
        <v>0</v>
      </c>
      <c r="AY3293" s="46">
        <f t="shared" si="155"/>
        <v>0</v>
      </c>
      <c r="AZ3293" s="46">
        <f t="shared" si="156"/>
        <v>0</v>
      </c>
    </row>
    <row r="3294" spans="50:52">
      <c r="AX3294" s="46">
        <f t="shared" si="154"/>
        <v>0</v>
      </c>
      <c r="AY3294" s="46">
        <f t="shared" si="155"/>
        <v>0</v>
      </c>
      <c r="AZ3294" s="46">
        <f t="shared" si="156"/>
        <v>0</v>
      </c>
    </row>
    <row r="3295" spans="50:52">
      <c r="AX3295" s="46">
        <f t="shared" si="154"/>
        <v>0</v>
      </c>
      <c r="AY3295" s="46">
        <f t="shared" si="155"/>
        <v>0</v>
      </c>
      <c r="AZ3295" s="46">
        <f t="shared" si="156"/>
        <v>0</v>
      </c>
    </row>
    <row r="3296" spans="50:52">
      <c r="AX3296" s="46">
        <f t="shared" si="154"/>
        <v>0</v>
      </c>
      <c r="AY3296" s="46">
        <f t="shared" si="155"/>
        <v>0</v>
      </c>
      <c r="AZ3296" s="46">
        <f t="shared" si="156"/>
        <v>0</v>
      </c>
    </row>
    <row r="3297" spans="50:52">
      <c r="AX3297" s="46">
        <f t="shared" si="154"/>
        <v>0</v>
      </c>
      <c r="AY3297" s="46">
        <f t="shared" si="155"/>
        <v>0</v>
      </c>
      <c r="AZ3297" s="46">
        <f t="shared" si="156"/>
        <v>0</v>
      </c>
    </row>
    <row r="3298" spans="50:52">
      <c r="AX3298" s="46">
        <f t="shared" si="154"/>
        <v>0</v>
      </c>
      <c r="AY3298" s="46">
        <f t="shared" si="155"/>
        <v>0</v>
      </c>
      <c r="AZ3298" s="46">
        <f t="shared" si="156"/>
        <v>0</v>
      </c>
    </row>
    <row r="3299" spans="50:52">
      <c r="AX3299" s="46">
        <f t="shared" si="154"/>
        <v>0</v>
      </c>
      <c r="AY3299" s="46">
        <f t="shared" si="155"/>
        <v>0</v>
      </c>
      <c r="AZ3299" s="46">
        <f t="shared" si="156"/>
        <v>0</v>
      </c>
    </row>
    <row r="3300" spans="50:52">
      <c r="AX3300" s="46">
        <f t="shared" si="154"/>
        <v>0</v>
      </c>
      <c r="AY3300" s="46">
        <f t="shared" si="155"/>
        <v>0</v>
      </c>
      <c r="AZ3300" s="46">
        <f t="shared" si="156"/>
        <v>0</v>
      </c>
    </row>
    <row r="3301" spans="50:52">
      <c r="AX3301" s="46">
        <f t="shared" si="154"/>
        <v>0</v>
      </c>
      <c r="AY3301" s="46">
        <f t="shared" si="155"/>
        <v>0</v>
      </c>
      <c r="AZ3301" s="46">
        <f t="shared" si="156"/>
        <v>0</v>
      </c>
    </row>
    <row r="3302" spans="50:52">
      <c r="AX3302" s="46">
        <f t="shared" si="154"/>
        <v>0</v>
      </c>
      <c r="AY3302" s="46">
        <f t="shared" si="155"/>
        <v>0</v>
      </c>
      <c r="AZ3302" s="46">
        <f t="shared" si="156"/>
        <v>0</v>
      </c>
    </row>
    <row r="3303" spans="50:52">
      <c r="AX3303" s="46">
        <f t="shared" si="154"/>
        <v>0</v>
      </c>
      <c r="AY3303" s="46">
        <f t="shared" si="155"/>
        <v>0</v>
      </c>
      <c r="AZ3303" s="46">
        <f t="shared" si="156"/>
        <v>0</v>
      </c>
    </row>
    <row r="3304" spans="50:52">
      <c r="AX3304" s="46">
        <f t="shared" si="154"/>
        <v>0</v>
      </c>
      <c r="AY3304" s="46">
        <f t="shared" si="155"/>
        <v>0</v>
      </c>
      <c r="AZ3304" s="46">
        <f t="shared" si="156"/>
        <v>0</v>
      </c>
    </row>
    <row r="3305" spans="50:52">
      <c r="AX3305" s="46">
        <f t="shared" si="154"/>
        <v>0</v>
      </c>
      <c r="AY3305" s="46">
        <f t="shared" si="155"/>
        <v>0</v>
      </c>
      <c r="AZ3305" s="46">
        <f t="shared" si="156"/>
        <v>0</v>
      </c>
    </row>
    <row r="3306" spans="50:52">
      <c r="AX3306" s="46">
        <f t="shared" si="154"/>
        <v>0</v>
      </c>
      <c r="AY3306" s="46">
        <f t="shared" si="155"/>
        <v>0</v>
      </c>
      <c r="AZ3306" s="46">
        <f t="shared" si="156"/>
        <v>0</v>
      </c>
    </row>
    <row r="3307" spans="50:52">
      <c r="AX3307" s="46">
        <f t="shared" si="154"/>
        <v>0</v>
      </c>
      <c r="AY3307" s="46">
        <f t="shared" si="155"/>
        <v>0</v>
      </c>
      <c r="AZ3307" s="46">
        <f t="shared" si="156"/>
        <v>0</v>
      </c>
    </row>
    <row r="3308" spans="50:52">
      <c r="AX3308" s="46">
        <f t="shared" si="154"/>
        <v>0</v>
      </c>
      <c r="AY3308" s="46">
        <f t="shared" si="155"/>
        <v>0</v>
      </c>
      <c r="AZ3308" s="46">
        <f t="shared" si="156"/>
        <v>0</v>
      </c>
    </row>
    <row r="3309" spans="50:52">
      <c r="AX3309" s="46">
        <f t="shared" si="154"/>
        <v>0</v>
      </c>
      <c r="AY3309" s="46">
        <f t="shared" si="155"/>
        <v>0</v>
      </c>
      <c r="AZ3309" s="46">
        <f t="shared" si="156"/>
        <v>0</v>
      </c>
    </row>
    <row r="3310" spans="50:52">
      <c r="AX3310" s="46">
        <f t="shared" si="154"/>
        <v>0</v>
      </c>
      <c r="AY3310" s="46">
        <f t="shared" si="155"/>
        <v>0</v>
      </c>
      <c r="AZ3310" s="46">
        <f t="shared" si="156"/>
        <v>0</v>
      </c>
    </row>
    <row r="3311" spans="50:52">
      <c r="AX3311" s="46">
        <f t="shared" si="154"/>
        <v>0</v>
      </c>
      <c r="AY3311" s="46">
        <f t="shared" si="155"/>
        <v>0</v>
      </c>
      <c r="AZ3311" s="46">
        <f t="shared" si="156"/>
        <v>0</v>
      </c>
    </row>
    <row r="3312" spans="50:52">
      <c r="AX3312" s="46">
        <f t="shared" si="154"/>
        <v>0</v>
      </c>
      <c r="AY3312" s="46">
        <f t="shared" si="155"/>
        <v>0</v>
      </c>
      <c r="AZ3312" s="46">
        <f t="shared" si="156"/>
        <v>0</v>
      </c>
    </row>
    <row r="3313" spans="50:52">
      <c r="AX3313" s="46">
        <f t="shared" si="154"/>
        <v>0</v>
      </c>
      <c r="AY3313" s="46">
        <f t="shared" si="155"/>
        <v>0</v>
      </c>
      <c r="AZ3313" s="46">
        <f t="shared" si="156"/>
        <v>0</v>
      </c>
    </row>
    <row r="3314" spans="50:52">
      <c r="AX3314" s="46">
        <f t="shared" si="154"/>
        <v>0</v>
      </c>
      <c r="AY3314" s="46">
        <f t="shared" si="155"/>
        <v>0</v>
      </c>
      <c r="AZ3314" s="46">
        <f t="shared" si="156"/>
        <v>0</v>
      </c>
    </row>
    <row r="3315" spans="50:52">
      <c r="AX3315" s="46">
        <f t="shared" si="154"/>
        <v>0</v>
      </c>
      <c r="AY3315" s="46">
        <f t="shared" si="155"/>
        <v>0</v>
      </c>
      <c r="AZ3315" s="46">
        <f t="shared" si="156"/>
        <v>0</v>
      </c>
    </row>
    <row r="3316" spans="50:52">
      <c r="AX3316" s="46">
        <f t="shared" si="154"/>
        <v>0</v>
      </c>
      <c r="AY3316" s="46">
        <f t="shared" si="155"/>
        <v>0</v>
      </c>
      <c r="AZ3316" s="46">
        <f t="shared" si="156"/>
        <v>0</v>
      </c>
    </row>
    <row r="3317" spans="50:52">
      <c r="AX3317" s="46">
        <f t="shared" si="154"/>
        <v>0</v>
      </c>
      <c r="AY3317" s="46">
        <f t="shared" si="155"/>
        <v>0</v>
      </c>
      <c r="AZ3317" s="46">
        <f t="shared" si="156"/>
        <v>0</v>
      </c>
    </row>
    <row r="3318" spans="50:52">
      <c r="AX3318" s="46">
        <f t="shared" si="154"/>
        <v>0</v>
      </c>
      <c r="AY3318" s="46">
        <f t="shared" si="155"/>
        <v>0</v>
      </c>
      <c r="AZ3318" s="46">
        <f t="shared" si="156"/>
        <v>0</v>
      </c>
    </row>
    <row r="3319" spans="50:52">
      <c r="AX3319" s="46">
        <f t="shared" si="154"/>
        <v>0</v>
      </c>
      <c r="AY3319" s="46">
        <f t="shared" si="155"/>
        <v>0</v>
      </c>
      <c r="AZ3319" s="46">
        <f t="shared" si="156"/>
        <v>0</v>
      </c>
    </row>
    <row r="3320" spans="50:52">
      <c r="AX3320" s="46">
        <f t="shared" si="154"/>
        <v>0</v>
      </c>
      <c r="AY3320" s="46">
        <f t="shared" si="155"/>
        <v>0</v>
      </c>
      <c r="AZ3320" s="46">
        <f t="shared" si="156"/>
        <v>0</v>
      </c>
    </row>
    <row r="3321" spans="50:52">
      <c r="AX3321" s="46">
        <f t="shared" si="154"/>
        <v>0</v>
      </c>
      <c r="AY3321" s="46">
        <f t="shared" si="155"/>
        <v>0</v>
      </c>
      <c r="AZ3321" s="46">
        <f t="shared" si="156"/>
        <v>0</v>
      </c>
    </row>
    <row r="3322" spans="50:52">
      <c r="AX3322" s="46">
        <f t="shared" si="154"/>
        <v>0</v>
      </c>
      <c r="AY3322" s="46">
        <f t="shared" si="155"/>
        <v>0</v>
      </c>
      <c r="AZ3322" s="46">
        <f t="shared" si="156"/>
        <v>0</v>
      </c>
    </row>
    <row r="3323" spans="50:52">
      <c r="AX3323" s="46">
        <f t="shared" si="154"/>
        <v>0</v>
      </c>
      <c r="AY3323" s="46">
        <f t="shared" si="155"/>
        <v>0</v>
      </c>
      <c r="AZ3323" s="46">
        <f t="shared" si="156"/>
        <v>0</v>
      </c>
    </row>
    <row r="3324" spans="50:52">
      <c r="AX3324" s="46">
        <f t="shared" si="154"/>
        <v>0</v>
      </c>
      <c r="AY3324" s="46">
        <f t="shared" si="155"/>
        <v>0</v>
      </c>
      <c r="AZ3324" s="46">
        <f t="shared" si="156"/>
        <v>0</v>
      </c>
    </row>
    <row r="3325" spans="50:52">
      <c r="AX3325" s="46">
        <f t="shared" si="154"/>
        <v>0</v>
      </c>
      <c r="AY3325" s="46">
        <f t="shared" si="155"/>
        <v>0</v>
      </c>
      <c r="AZ3325" s="46">
        <f t="shared" si="156"/>
        <v>0</v>
      </c>
    </row>
    <row r="3326" spans="50:52">
      <c r="AX3326" s="46">
        <f t="shared" si="154"/>
        <v>0</v>
      </c>
      <c r="AY3326" s="46">
        <f t="shared" si="155"/>
        <v>0</v>
      </c>
      <c r="AZ3326" s="46">
        <f t="shared" si="156"/>
        <v>0</v>
      </c>
    </row>
    <row r="3327" spans="50:52">
      <c r="AX3327" s="46">
        <f t="shared" si="154"/>
        <v>0</v>
      </c>
      <c r="AY3327" s="46">
        <f t="shared" si="155"/>
        <v>0</v>
      </c>
      <c r="AZ3327" s="46">
        <f t="shared" si="156"/>
        <v>0</v>
      </c>
    </row>
    <row r="3328" spans="50:52">
      <c r="AX3328" s="46">
        <f t="shared" si="154"/>
        <v>0</v>
      </c>
      <c r="AY3328" s="46">
        <f t="shared" si="155"/>
        <v>0</v>
      </c>
      <c r="AZ3328" s="46">
        <f t="shared" si="156"/>
        <v>0</v>
      </c>
    </row>
    <row r="3329" spans="50:52">
      <c r="AX3329" s="46">
        <f t="shared" si="154"/>
        <v>0</v>
      </c>
      <c r="AY3329" s="46">
        <f t="shared" si="155"/>
        <v>0</v>
      </c>
      <c r="AZ3329" s="46">
        <f t="shared" si="156"/>
        <v>0</v>
      </c>
    </row>
    <row r="3330" spans="50:52">
      <c r="AX3330" s="46">
        <f t="shared" si="154"/>
        <v>0</v>
      </c>
      <c r="AY3330" s="46">
        <f t="shared" si="155"/>
        <v>0</v>
      </c>
      <c r="AZ3330" s="46">
        <f t="shared" si="156"/>
        <v>0</v>
      </c>
    </row>
    <row r="3331" spans="50:52">
      <c r="AX3331" s="46">
        <f t="shared" si="154"/>
        <v>0</v>
      </c>
      <c r="AY3331" s="46">
        <f t="shared" si="155"/>
        <v>0</v>
      </c>
      <c r="AZ3331" s="46">
        <f t="shared" si="156"/>
        <v>0</v>
      </c>
    </row>
    <row r="3332" spans="50:52">
      <c r="AX3332" s="46">
        <f t="shared" si="154"/>
        <v>0</v>
      </c>
      <c r="AY3332" s="46">
        <f t="shared" si="155"/>
        <v>0</v>
      </c>
      <c r="AZ3332" s="46">
        <f t="shared" si="156"/>
        <v>0</v>
      </c>
    </row>
    <row r="3333" spans="50:52">
      <c r="AX3333" s="46">
        <f t="shared" si="154"/>
        <v>0</v>
      </c>
      <c r="AY3333" s="46">
        <f t="shared" si="155"/>
        <v>0</v>
      </c>
      <c r="AZ3333" s="46">
        <f t="shared" si="156"/>
        <v>0</v>
      </c>
    </row>
    <row r="3334" spans="50:52">
      <c r="AX3334" s="46">
        <f t="shared" si="154"/>
        <v>0</v>
      </c>
      <c r="AY3334" s="46">
        <f t="shared" si="155"/>
        <v>0</v>
      </c>
      <c r="AZ3334" s="46">
        <f t="shared" si="156"/>
        <v>0</v>
      </c>
    </row>
    <row r="3335" spans="50:52">
      <c r="AX3335" s="46">
        <f t="shared" si="154"/>
        <v>0</v>
      </c>
      <c r="AY3335" s="46">
        <f t="shared" si="155"/>
        <v>0</v>
      </c>
      <c r="AZ3335" s="46">
        <f t="shared" si="156"/>
        <v>0</v>
      </c>
    </row>
    <row r="3336" spans="50:52">
      <c r="AX3336" s="46">
        <f t="shared" si="154"/>
        <v>0</v>
      </c>
      <c r="AY3336" s="46">
        <f t="shared" si="155"/>
        <v>0</v>
      </c>
      <c r="AZ3336" s="46">
        <f t="shared" si="156"/>
        <v>0</v>
      </c>
    </row>
    <row r="3337" spans="50:52">
      <c r="AX3337" s="46">
        <f t="shared" si="154"/>
        <v>0</v>
      </c>
      <c r="AY3337" s="46">
        <f t="shared" si="155"/>
        <v>0</v>
      </c>
      <c r="AZ3337" s="46">
        <f t="shared" si="156"/>
        <v>0</v>
      </c>
    </row>
    <row r="3338" spans="50:52">
      <c r="AX3338" s="46">
        <f t="shared" si="154"/>
        <v>0</v>
      </c>
      <c r="AY3338" s="46">
        <f t="shared" si="155"/>
        <v>0</v>
      </c>
      <c r="AZ3338" s="46">
        <f t="shared" si="156"/>
        <v>0</v>
      </c>
    </row>
    <row r="3339" spans="50:52">
      <c r="AX3339" s="46">
        <f t="shared" ref="AX3339:AX3402" si="157">IFERROR(SUM(Q3339:AS3339)-SUM(AT3339:AU3339)+AV3339,"-")</f>
        <v>0</v>
      </c>
      <c r="AY3339" s="46">
        <f t="shared" ref="AY3339:AY3402" si="158">IFERROR(SUM(Q3339:AS3339)-SUM(AT3339:AT3339),"-")</f>
        <v>0</v>
      </c>
      <c r="AZ3339" s="46">
        <f t="shared" ref="AZ3339:AZ3402" si="159">SUM(Q3339:AS3339)</f>
        <v>0</v>
      </c>
    </row>
    <row r="3340" spans="50:52">
      <c r="AX3340" s="46">
        <f t="shared" si="157"/>
        <v>0</v>
      </c>
      <c r="AY3340" s="46">
        <f t="shared" si="158"/>
        <v>0</v>
      </c>
      <c r="AZ3340" s="46">
        <f t="shared" si="159"/>
        <v>0</v>
      </c>
    </row>
    <row r="3341" spans="50:52">
      <c r="AX3341" s="46">
        <f t="shared" si="157"/>
        <v>0</v>
      </c>
      <c r="AY3341" s="46">
        <f t="shared" si="158"/>
        <v>0</v>
      </c>
      <c r="AZ3341" s="46">
        <f t="shared" si="159"/>
        <v>0</v>
      </c>
    </row>
    <row r="3342" spans="50:52">
      <c r="AX3342" s="46">
        <f t="shared" si="157"/>
        <v>0</v>
      </c>
      <c r="AY3342" s="46">
        <f t="shared" si="158"/>
        <v>0</v>
      </c>
      <c r="AZ3342" s="46">
        <f t="shared" si="159"/>
        <v>0</v>
      </c>
    </row>
    <row r="3343" spans="50:52">
      <c r="AX3343" s="46">
        <f t="shared" si="157"/>
        <v>0</v>
      </c>
      <c r="AY3343" s="46">
        <f t="shared" si="158"/>
        <v>0</v>
      </c>
      <c r="AZ3343" s="46">
        <f t="shared" si="159"/>
        <v>0</v>
      </c>
    </row>
    <row r="3344" spans="50:52">
      <c r="AX3344" s="46">
        <f t="shared" si="157"/>
        <v>0</v>
      </c>
      <c r="AY3344" s="46">
        <f t="shared" si="158"/>
        <v>0</v>
      </c>
      <c r="AZ3344" s="46">
        <f t="shared" si="159"/>
        <v>0</v>
      </c>
    </row>
    <row r="3345" spans="50:52">
      <c r="AX3345" s="46">
        <f t="shared" si="157"/>
        <v>0</v>
      </c>
      <c r="AY3345" s="46">
        <f t="shared" si="158"/>
        <v>0</v>
      </c>
      <c r="AZ3345" s="46">
        <f t="shared" si="159"/>
        <v>0</v>
      </c>
    </row>
    <row r="3346" spans="50:52">
      <c r="AX3346" s="46">
        <f t="shared" si="157"/>
        <v>0</v>
      </c>
      <c r="AY3346" s="46">
        <f t="shared" si="158"/>
        <v>0</v>
      </c>
      <c r="AZ3346" s="46">
        <f t="shared" si="159"/>
        <v>0</v>
      </c>
    </row>
    <row r="3347" spans="50:52">
      <c r="AX3347" s="46">
        <f t="shared" si="157"/>
        <v>0</v>
      </c>
      <c r="AY3347" s="46">
        <f t="shared" si="158"/>
        <v>0</v>
      </c>
      <c r="AZ3347" s="46">
        <f t="shared" si="159"/>
        <v>0</v>
      </c>
    </row>
    <row r="3348" spans="50:52">
      <c r="AX3348" s="46">
        <f t="shared" si="157"/>
        <v>0</v>
      </c>
      <c r="AY3348" s="46">
        <f t="shared" si="158"/>
        <v>0</v>
      </c>
      <c r="AZ3348" s="46">
        <f t="shared" si="159"/>
        <v>0</v>
      </c>
    </row>
    <row r="3349" spans="50:52">
      <c r="AX3349" s="46">
        <f t="shared" si="157"/>
        <v>0</v>
      </c>
      <c r="AY3349" s="46">
        <f t="shared" si="158"/>
        <v>0</v>
      </c>
      <c r="AZ3349" s="46">
        <f t="shared" si="159"/>
        <v>0</v>
      </c>
    </row>
    <row r="3350" spans="50:52">
      <c r="AX3350" s="46">
        <f t="shared" si="157"/>
        <v>0</v>
      </c>
      <c r="AY3350" s="46">
        <f t="shared" si="158"/>
        <v>0</v>
      </c>
      <c r="AZ3350" s="46">
        <f t="shared" si="159"/>
        <v>0</v>
      </c>
    </row>
    <row r="3351" spans="50:52">
      <c r="AX3351" s="46">
        <f t="shared" si="157"/>
        <v>0</v>
      </c>
      <c r="AY3351" s="46">
        <f t="shared" si="158"/>
        <v>0</v>
      </c>
      <c r="AZ3351" s="46">
        <f t="shared" si="159"/>
        <v>0</v>
      </c>
    </row>
    <row r="3352" spans="50:52">
      <c r="AX3352" s="46">
        <f t="shared" si="157"/>
        <v>0</v>
      </c>
      <c r="AY3352" s="46">
        <f t="shared" si="158"/>
        <v>0</v>
      </c>
      <c r="AZ3352" s="46">
        <f t="shared" si="159"/>
        <v>0</v>
      </c>
    </row>
    <row r="3353" spans="50:52">
      <c r="AX3353" s="46">
        <f t="shared" si="157"/>
        <v>0</v>
      </c>
      <c r="AY3353" s="46">
        <f t="shared" si="158"/>
        <v>0</v>
      </c>
      <c r="AZ3353" s="46">
        <f t="shared" si="159"/>
        <v>0</v>
      </c>
    </row>
    <row r="3354" spans="50:52">
      <c r="AX3354" s="46">
        <f t="shared" si="157"/>
        <v>0</v>
      </c>
      <c r="AY3354" s="46">
        <f t="shared" si="158"/>
        <v>0</v>
      </c>
      <c r="AZ3354" s="46">
        <f t="shared" si="159"/>
        <v>0</v>
      </c>
    </row>
    <row r="3355" spans="50:52">
      <c r="AX3355" s="46">
        <f t="shared" si="157"/>
        <v>0</v>
      </c>
      <c r="AY3355" s="46">
        <f t="shared" si="158"/>
        <v>0</v>
      </c>
      <c r="AZ3355" s="46">
        <f t="shared" si="159"/>
        <v>0</v>
      </c>
    </row>
    <row r="3356" spans="50:52">
      <c r="AX3356" s="46">
        <f t="shared" si="157"/>
        <v>0</v>
      </c>
      <c r="AY3356" s="46">
        <f t="shared" si="158"/>
        <v>0</v>
      </c>
      <c r="AZ3356" s="46">
        <f t="shared" si="159"/>
        <v>0</v>
      </c>
    </row>
    <row r="3357" spans="50:52">
      <c r="AX3357" s="46">
        <f t="shared" si="157"/>
        <v>0</v>
      </c>
      <c r="AY3357" s="46">
        <f t="shared" si="158"/>
        <v>0</v>
      </c>
      <c r="AZ3357" s="46">
        <f t="shared" si="159"/>
        <v>0</v>
      </c>
    </row>
    <row r="3358" spans="50:52">
      <c r="AX3358" s="46">
        <f t="shared" si="157"/>
        <v>0</v>
      </c>
      <c r="AY3358" s="46">
        <f t="shared" si="158"/>
        <v>0</v>
      </c>
      <c r="AZ3358" s="46">
        <f t="shared" si="159"/>
        <v>0</v>
      </c>
    </row>
    <row r="3359" spans="50:52">
      <c r="AX3359" s="46">
        <f t="shared" si="157"/>
        <v>0</v>
      </c>
      <c r="AY3359" s="46">
        <f t="shared" si="158"/>
        <v>0</v>
      </c>
      <c r="AZ3359" s="46">
        <f t="shared" si="159"/>
        <v>0</v>
      </c>
    </row>
    <row r="3360" spans="50:52">
      <c r="AX3360" s="46">
        <f t="shared" si="157"/>
        <v>0</v>
      </c>
      <c r="AY3360" s="46">
        <f t="shared" si="158"/>
        <v>0</v>
      </c>
      <c r="AZ3360" s="46">
        <f t="shared" si="159"/>
        <v>0</v>
      </c>
    </row>
    <row r="3361" spans="50:52">
      <c r="AX3361" s="46">
        <f t="shared" si="157"/>
        <v>0</v>
      </c>
      <c r="AY3361" s="46">
        <f t="shared" si="158"/>
        <v>0</v>
      </c>
      <c r="AZ3361" s="46">
        <f t="shared" si="159"/>
        <v>0</v>
      </c>
    </row>
    <row r="3362" spans="50:52">
      <c r="AX3362" s="46">
        <f t="shared" si="157"/>
        <v>0</v>
      </c>
      <c r="AY3362" s="46">
        <f t="shared" si="158"/>
        <v>0</v>
      </c>
      <c r="AZ3362" s="46">
        <f t="shared" si="159"/>
        <v>0</v>
      </c>
    </row>
    <row r="3363" spans="50:52">
      <c r="AX3363" s="46">
        <f t="shared" si="157"/>
        <v>0</v>
      </c>
      <c r="AY3363" s="46">
        <f t="shared" si="158"/>
        <v>0</v>
      </c>
      <c r="AZ3363" s="46">
        <f t="shared" si="159"/>
        <v>0</v>
      </c>
    </row>
    <row r="3364" spans="50:52">
      <c r="AX3364" s="46">
        <f t="shared" si="157"/>
        <v>0</v>
      </c>
      <c r="AY3364" s="46">
        <f t="shared" si="158"/>
        <v>0</v>
      </c>
      <c r="AZ3364" s="46">
        <f t="shared" si="159"/>
        <v>0</v>
      </c>
    </row>
    <row r="3365" spans="50:52">
      <c r="AX3365" s="46">
        <f t="shared" si="157"/>
        <v>0</v>
      </c>
      <c r="AY3365" s="46">
        <f t="shared" si="158"/>
        <v>0</v>
      </c>
      <c r="AZ3365" s="46">
        <f t="shared" si="159"/>
        <v>0</v>
      </c>
    </row>
    <row r="3366" spans="50:52">
      <c r="AX3366" s="46">
        <f t="shared" si="157"/>
        <v>0</v>
      </c>
      <c r="AY3366" s="46">
        <f t="shared" si="158"/>
        <v>0</v>
      </c>
      <c r="AZ3366" s="46">
        <f t="shared" si="159"/>
        <v>0</v>
      </c>
    </row>
    <row r="3367" spans="50:52">
      <c r="AX3367" s="46">
        <f t="shared" si="157"/>
        <v>0</v>
      </c>
      <c r="AY3367" s="46">
        <f t="shared" si="158"/>
        <v>0</v>
      </c>
      <c r="AZ3367" s="46">
        <f t="shared" si="159"/>
        <v>0</v>
      </c>
    </row>
    <row r="3368" spans="50:52">
      <c r="AX3368" s="46">
        <f t="shared" si="157"/>
        <v>0</v>
      </c>
      <c r="AY3368" s="46">
        <f t="shared" si="158"/>
        <v>0</v>
      </c>
      <c r="AZ3368" s="46">
        <f t="shared" si="159"/>
        <v>0</v>
      </c>
    </row>
    <row r="3369" spans="50:52">
      <c r="AX3369" s="46">
        <f t="shared" si="157"/>
        <v>0</v>
      </c>
      <c r="AY3369" s="46">
        <f t="shared" si="158"/>
        <v>0</v>
      </c>
      <c r="AZ3369" s="46">
        <f t="shared" si="159"/>
        <v>0</v>
      </c>
    </row>
    <row r="3370" spans="50:52">
      <c r="AX3370" s="46">
        <f t="shared" si="157"/>
        <v>0</v>
      </c>
      <c r="AY3370" s="46">
        <f t="shared" si="158"/>
        <v>0</v>
      </c>
      <c r="AZ3370" s="46">
        <f t="shared" si="159"/>
        <v>0</v>
      </c>
    </row>
    <row r="3371" spans="50:52">
      <c r="AX3371" s="46">
        <f t="shared" si="157"/>
        <v>0</v>
      </c>
      <c r="AY3371" s="46">
        <f t="shared" si="158"/>
        <v>0</v>
      </c>
      <c r="AZ3371" s="46">
        <f t="shared" si="159"/>
        <v>0</v>
      </c>
    </row>
    <row r="3372" spans="50:52">
      <c r="AX3372" s="46">
        <f t="shared" si="157"/>
        <v>0</v>
      </c>
      <c r="AY3372" s="46">
        <f t="shared" si="158"/>
        <v>0</v>
      </c>
      <c r="AZ3372" s="46">
        <f t="shared" si="159"/>
        <v>0</v>
      </c>
    </row>
    <row r="3373" spans="50:52">
      <c r="AX3373" s="46">
        <f t="shared" si="157"/>
        <v>0</v>
      </c>
      <c r="AY3373" s="46">
        <f t="shared" si="158"/>
        <v>0</v>
      </c>
      <c r="AZ3373" s="46">
        <f t="shared" si="159"/>
        <v>0</v>
      </c>
    </row>
    <row r="3374" spans="50:52">
      <c r="AX3374" s="46">
        <f t="shared" si="157"/>
        <v>0</v>
      </c>
      <c r="AY3374" s="46">
        <f t="shared" si="158"/>
        <v>0</v>
      </c>
      <c r="AZ3374" s="46">
        <f t="shared" si="159"/>
        <v>0</v>
      </c>
    </row>
    <row r="3375" spans="50:52">
      <c r="AX3375" s="46">
        <f t="shared" si="157"/>
        <v>0</v>
      </c>
      <c r="AY3375" s="46">
        <f t="shared" si="158"/>
        <v>0</v>
      </c>
      <c r="AZ3375" s="46">
        <f t="shared" si="159"/>
        <v>0</v>
      </c>
    </row>
    <row r="3376" spans="50:52">
      <c r="AX3376" s="46">
        <f t="shared" si="157"/>
        <v>0</v>
      </c>
      <c r="AY3376" s="46">
        <f t="shared" si="158"/>
        <v>0</v>
      </c>
      <c r="AZ3376" s="46">
        <f t="shared" si="159"/>
        <v>0</v>
      </c>
    </row>
    <row r="3377" spans="50:52">
      <c r="AX3377" s="46">
        <f t="shared" si="157"/>
        <v>0</v>
      </c>
      <c r="AY3377" s="46">
        <f t="shared" si="158"/>
        <v>0</v>
      </c>
      <c r="AZ3377" s="46">
        <f t="shared" si="159"/>
        <v>0</v>
      </c>
    </row>
    <row r="3378" spans="50:52">
      <c r="AX3378" s="46">
        <f t="shared" si="157"/>
        <v>0</v>
      </c>
      <c r="AY3378" s="46">
        <f t="shared" si="158"/>
        <v>0</v>
      </c>
      <c r="AZ3378" s="46">
        <f t="shared" si="159"/>
        <v>0</v>
      </c>
    </row>
    <row r="3379" spans="50:52">
      <c r="AX3379" s="46">
        <f t="shared" si="157"/>
        <v>0</v>
      </c>
      <c r="AY3379" s="46">
        <f t="shared" si="158"/>
        <v>0</v>
      </c>
      <c r="AZ3379" s="46">
        <f t="shared" si="159"/>
        <v>0</v>
      </c>
    </row>
    <row r="3380" spans="50:52">
      <c r="AX3380" s="46">
        <f t="shared" si="157"/>
        <v>0</v>
      </c>
      <c r="AY3380" s="46">
        <f t="shared" si="158"/>
        <v>0</v>
      </c>
      <c r="AZ3380" s="46">
        <f t="shared" si="159"/>
        <v>0</v>
      </c>
    </row>
    <row r="3381" spans="50:52">
      <c r="AX3381" s="46">
        <f t="shared" si="157"/>
        <v>0</v>
      </c>
      <c r="AY3381" s="46">
        <f t="shared" si="158"/>
        <v>0</v>
      </c>
      <c r="AZ3381" s="46">
        <f t="shared" si="159"/>
        <v>0</v>
      </c>
    </row>
    <row r="3382" spans="50:52">
      <c r="AX3382" s="46">
        <f t="shared" si="157"/>
        <v>0</v>
      </c>
      <c r="AY3382" s="46">
        <f t="shared" si="158"/>
        <v>0</v>
      </c>
      <c r="AZ3382" s="46">
        <f t="shared" si="159"/>
        <v>0</v>
      </c>
    </row>
    <row r="3383" spans="50:52">
      <c r="AX3383" s="46">
        <f t="shared" si="157"/>
        <v>0</v>
      </c>
      <c r="AY3383" s="46">
        <f t="shared" si="158"/>
        <v>0</v>
      </c>
      <c r="AZ3383" s="46">
        <f t="shared" si="159"/>
        <v>0</v>
      </c>
    </row>
    <row r="3384" spans="50:52">
      <c r="AX3384" s="46">
        <f t="shared" si="157"/>
        <v>0</v>
      </c>
      <c r="AY3384" s="46">
        <f t="shared" si="158"/>
        <v>0</v>
      </c>
      <c r="AZ3384" s="46">
        <f t="shared" si="159"/>
        <v>0</v>
      </c>
    </row>
    <row r="3385" spans="50:52">
      <c r="AX3385" s="46">
        <f t="shared" si="157"/>
        <v>0</v>
      </c>
      <c r="AY3385" s="46">
        <f t="shared" si="158"/>
        <v>0</v>
      </c>
      <c r="AZ3385" s="46">
        <f t="shared" si="159"/>
        <v>0</v>
      </c>
    </row>
    <row r="3386" spans="50:52">
      <c r="AX3386" s="46">
        <f t="shared" si="157"/>
        <v>0</v>
      </c>
      <c r="AY3386" s="46">
        <f t="shared" si="158"/>
        <v>0</v>
      </c>
      <c r="AZ3386" s="46">
        <f t="shared" si="159"/>
        <v>0</v>
      </c>
    </row>
    <row r="3387" spans="50:52">
      <c r="AX3387" s="46">
        <f t="shared" si="157"/>
        <v>0</v>
      </c>
      <c r="AY3387" s="46">
        <f t="shared" si="158"/>
        <v>0</v>
      </c>
      <c r="AZ3387" s="46">
        <f t="shared" si="159"/>
        <v>0</v>
      </c>
    </row>
    <row r="3388" spans="50:52">
      <c r="AX3388" s="46">
        <f t="shared" si="157"/>
        <v>0</v>
      </c>
      <c r="AY3388" s="46">
        <f t="shared" si="158"/>
        <v>0</v>
      </c>
      <c r="AZ3388" s="46">
        <f t="shared" si="159"/>
        <v>0</v>
      </c>
    </row>
    <row r="3389" spans="50:52">
      <c r="AX3389" s="46">
        <f t="shared" si="157"/>
        <v>0</v>
      </c>
      <c r="AY3389" s="46">
        <f t="shared" si="158"/>
        <v>0</v>
      </c>
      <c r="AZ3389" s="46">
        <f t="shared" si="159"/>
        <v>0</v>
      </c>
    </row>
    <row r="3390" spans="50:52">
      <c r="AX3390" s="46">
        <f t="shared" si="157"/>
        <v>0</v>
      </c>
      <c r="AY3390" s="46">
        <f t="shared" si="158"/>
        <v>0</v>
      </c>
      <c r="AZ3390" s="46">
        <f t="shared" si="159"/>
        <v>0</v>
      </c>
    </row>
    <row r="3391" spans="50:52">
      <c r="AX3391" s="46">
        <f t="shared" si="157"/>
        <v>0</v>
      </c>
      <c r="AY3391" s="46">
        <f t="shared" si="158"/>
        <v>0</v>
      </c>
      <c r="AZ3391" s="46">
        <f t="shared" si="159"/>
        <v>0</v>
      </c>
    </row>
    <row r="3392" spans="50:52">
      <c r="AX3392" s="46">
        <f t="shared" si="157"/>
        <v>0</v>
      </c>
      <c r="AY3392" s="46">
        <f t="shared" si="158"/>
        <v>0</v>
      </c>
      <c r="AZ3392" s="46">
        <f t="shared" si="159"/>
        <v>0</v>
      </c>
    </row>
    <row r="3393" spans="50:52">
      <c r="AX3393" s="46">
        <f t="shared" si="157"/>
        <v>0</v>
      </c>
      <c r="AY3393" s="46">
        <f t="shared" si="158"/>
        <v>0</v>
      </c>
      <c r="AZ3393" s="46">
        <f t="shared" si="159"/>
        <v>0</v>
      </c>
    </row>
    <row r="3394" spans="50:52">
      <c r="AX3394" s="46">
        <f t="shared" si="157"/>
        <v>0</v>
      </c>
      <c r="AY3394" s="46">
        <f t="shared" si="158"/>
        <v>0</v>
      </c>
      <c r="AZ3394" s="46">
        <f t="shared" si="159"/>
        <v>0</v>
      </c>
    </row>
    <row r="3395" spans="50:52">
      <c r="AX3395" s="46">
        <f t="shared" si="157"/>
        <v>0</v>
      </c>
      <c r="AY3395" s="46">
        <f t="shared" si="158"/>
        <v>0</v>
      </c>
      <c r="AZ3395" s="46">
        <f t="shared" si="159"/>
        <v>0</v>
      </c>
    </row>
    <row r="3396" spans="50:52">
      <c r="AX3396" s="46">
        <f t="shared" si="157"/>
        <v>0</v>
      </c>
      <c r="AY3396" s="46">
        <f t="shared" si="158"/>
        <v>0</v>
      </c>
      <c r="AZ3396" s="46">
        <f t="shared" si="159"/>
        <v>0</v>
      </c>
    </row>
    <row r="3397" spans="50:52">
      <c r="AX3397" s="46">
        <f t="shared" si="157"/>
        <v>0</v>
      </c>
      <c r="AY3397" s="46">
        <f t="shared" si="158"/>
        <v>0</v>
      </c>
      <c r="AZ3397" s="46">
        <f t="shared" si="159"/>
        <v>0</v>
      </c>
    </row>
    <row r="3398" spans="50:52">
      <c r="AX3398" s="46">
        <f t="shared" si="157"/>
        <v>0</v>
      </c>
      <c r="AY3398" s="46">
        <f t="shared" si="158"/>
        <v>0</v>
      </c>
      <c r="AZ3398" s="46">
        <f t="shared" si="159"/>
        <v>0</v>
      </c>
    </row>
    <row r="3399" spans="50:52">
      <c r="AX3399" s="46">
        <f t="shared" si="157"/>
        <v>0</v>
      </c>
      <c r="AY3399" s="46">
        <f t="shared" si="158"/>
        <v>0</v>
      </c>
      <c r="AZ3399" s="46">
        <f t="shared" si="159"/>
        <v>0</v>
      </c>
    </row>
    <row r="3400" spans="50:52">
      <c r="AX3400" s="46">
        <f t="shared" si="157"/>
        <v>0</v>
      </c>
      <c r="AY3400" s="46">
        <f t="shared" si="158"/>
        <v>0</v>
      </c>
      <c r="AZ3400" s="46">
        <f t="shared" si="159"/>
        <v>0</v>
      </c>
    </row>
    <row r="3401" spans="50:52">
      <c r="AX3401" s="46">
        <f t="shared" si="157"/>
        <v>0</v>
      </c>
      <c r="AY3401" s="46">
        <f t="shared" si="158"/>
        <v>0</v>
      </c>
      <c r="AZ3401" s="46">
        <f t="shared" si="159"/>
        <v>0</v>
      </c>
    </row>
    <row r="3402" spans="50:52">
      <c r="AX3402" s="46">
        <f t="shared" si="157"/>
        <v>0</v>
      </c>
      <c r="AY3402" s="46">
        <f t="shared" si="158"/>
        <v>0</v>
      </c>
      <c r="AZ3402" s="46">
        <f t="shared" si="159"/>
        <v>0</v>
      </c>
    </row>
    <row r="3403" spans="50:52">
      <c r="AX3403" s="46">
        <f t="shared" ref="AX3403:AX3466" si="160">IFERROR(SUM(Q3403:AS3403)-SUM(AT3403:AU3403)+AV3403,"-")</f>
        <v>0</v>
      </c>
      <c r="AY3403" s="46">
        <f t="shared" ref="AY3403:AY3466" si="161">IFERROR(SUM(Q3403:AS3403)-SUM(AT3403:AT3403),"-")</f>
        <v>0</v>
      </c>
      <c r="AZ3403" s="46">
        <f t="shared" ref="AZ3403:AZ3466" si="162">SUM(Q3403:AS3403)</f>
        <v>0</v>
      </c>
    </row>
    <row r="3404" spans="50:52">
      <c r="AX3404" s="46">
        <f t="shared" si="160"/>
        <v>0</v>
      </c>
      <c r="AY3404" s="46">
        <f t="shared" si="161"/>
        <v>0</v>
      </c>
      <c r="AZ3404" s="46">
        <f t="shared" si="162"/>
        <v>0</v>
      </c>
    </row>
    <row r="3405" spans="50:52">
      <c r="AX3405" s="46">
        <f t="shared" si="160"/>
        <v>0</v>
      </c>
      <c r="AY3405" s="46">
        <f t="shared" si="161"/>
        <v>0</v>
      </c>
      <c r="AZ3405" s="46">
        <f t="shared" si="162"/>
        <v>0</v>
      </c>
    </row>
    <row r="3406" spans="50:52">
      <c r="AX3406" s="46">
        <f t="shared" si="160"/>
        <v>0</v>
      </c>
      <c r="AY3406" s="46">
        <f t="shared" si="161"/>
        <v>0</v>
      </c>
      <c r="AZ3406" s="46">
        <f t="shared" si="162"/>
        <v>0</v>
      </c>
    </row>
    <row r="3407" spans="50:52">
      <c r="AX3407" s="46">
        <f t="shared" si="160"/>
        <v>0</v>
      </c>
      <c r="AY3407" s="46">
        <f t="shared" si="161"/>
        <v>0</v>
      </c>
      <c r="AZ3407" s="46">
        <f t="shared" si="162"/>
        <v>0</v>
      </c>
    </row>
    <row r="3408" spans="50:52">
      <c r="AX3408" s="46">
        <f t="shared" si="160"/>
        <v>0</v>
      </c>
      <c r="AY3408" s="46">
        <f t="shared" si="161"/>
        <v>0</v>
      </c>
      <c r="AZ3408" s="46">
        <f t="shared" si="162"/>
        <v>0</v>
      </c>
    </row>
    <row r="3409" spans="50:52">
      <c r="AX3409" s="46">
        <f t="shared" si="160"/>
        <v>0</v>
      </c>
      <c r="AY3409" s="46">
        <f t="shared" si="161"/>
        <v>0</v>
      </c>
      <c r="AZ3409" s="46">
        <f t="shared" si="162"/>
        <v>0</v>
      </c>
    </row>
    <row r="3410" spans="50:52">
      <c r="AX3410" s="46">
        <f t="shared" si="160"/>
        <v>0</v>
      </c>
      <c r="AY3410" s="46">
        <f t="shared" si="161"/>
        <v>0</v>
      </c>
      <c r="AZ3410" s="46">
        <f t="shared" si="162"/>
        <v>0</v>
      </c>
    </row>
    <row r="3411" spans="50:52">
      <c r="AX3411" s="46">
        <f t="shared" si="160"/>
        <v>0</v>
      </c>
      <c r="AY3411" s="46">
        <f t="shared" si="161"/>
        <v>0</v>
      </c>
      <c r="AZ3411" s="46">
        <f t="shared" si="162"/>
        <v>0</v>
      </c>
    </row>
    <row r="3412" spans="50:52">
      <c r="AX3412" s="46">
        <f t="shared" si="160"/>
        <v>0</v>
      </c>
      <c r="AY3412" s="46">
        <f t="shared" si="161"/>
        <v>0</v>
      </c>
      <c r="AZ3412" s="46">
        <f t="shared" si="162"/>
        <v>0</v>
      </c>
    </row>
    <row r="3413" spans="50:52">
      <c r="AX3413" s="46">
        <f t="shared" si="160"/>
        <v>0</v>
      </c>
      <c r="AY3413" s="46">
        <f t="shared" si="161"/>
        <v>0</v>
      </c>
      <c r="AZ3413" s="46">
        <f t="shared" si="162"/>
        <v>0</v>
      </c>
    </row>
    <row r="3414" spans="50:52">
      <c r="AX3414" s="46">
        <f t="shared" si="160"/>
        <v>0</v>
      </c>
      <c r="AY3414" s="46">
        <f t="shared" si="161"/>
        <v>0</v>
      </c>
      <c r="AZ3414" s="46">
        <f t="shared" si="162"/>
        <v>0</v>
      </c>
    </row>
    <row r="3415" spans="50:52">
      <c r="AX3415" s="46">
        <f t="shared" si="160"/>
        <v>0</v>
      </c>
      <c r="AY3415" s="46">
        <f t="shared" si="161"/>
        <v>0</v>
      </c>
      <c r="AZ3415" s="46">
        <f t="shared" si="162"/>
        <v>0</v>
      </c>
    </row>
    <row r="3416" spans="50:52">
      <c r="AX3416" s="46">
        <f t="shared" si="160"/>
        <v>0</v>
      </c>
      <c r="AY3416" s="46">
        <f t="shared" si="161"/>
        <v>0</v>
      </c>
      <c r="AZ3416" s="46">
        <f t="shared" si="162"/>
        <v>0</v>
      </c>
    </row>
    <row r="3417" spans="50:52">
      <c r="AX3417" s="46">
        <f t="shared" si="160"/>
        <v>0</v>
      </c>
      <c r="AY3417" s="46">
        <f t="shared" si="161"/>
        <v>0</v>
      </c>
      <c r="AZ3417" s="46">
        <f t="shared" si="162"/>
        <v>0</v>
      </c>
    </row>
    <row r="3418" spans="50:52">
      <c r="AX3418" s="46">
        <f t="shared" si="160"/>
        <v>0</v>
      </c>
      <c r="AY3418" s="46">
        <f t="shared" si="161"/>
        <v>0</v>
      </c>
      <c r="AZ3418" s="46">
        <f t="shared" si="162"/>
        <v>0</v>
      </c>
    </row>
    <row r="3419" spans="50:52">
      <c r="AX3419" s="46">
        <f t="shared" si="160"/>
        <v>0</v>
      </c>
      <c r="AY3419" s="46">
        <f t="shared" si="161"/>
        <v>0</v>
      </c>
      <c r="AZ3419" s="46">
        <f t="shared" si="162"/>
        <v>0</v>
      </c>
    </row>
    <row r="3420" spans="50:52">
      <c r="AX3420" s="46">
        <f t="shared" si="160"/>
        <v>0</v>
      </c>
      <c r="AY3420" s="46">
        <f t="shared" si="161"/>
        <v>0</v>
      </c>
      <c r="AZ3420" s="46">
        <f t="shared" si="162"/>
        <v>0</v>
      </c>
    </row>
    <row r="3421" spans="50:52">
      <c r="AX3421" s="46">
        <f t="shared" si="160"/>
        <v>0</v>
      </c>
      <c r="AY3421" s="46">
        <f t="shared" si="161"/>
        <v>0</v>
      </c>
      <c r="AZ3421" s="46">
        <f t="shared" si="162"/>
        <v>0</v>
      </c>
    </row>
    <row r="3422" spans="50:52">
      <c r="AX3422" s="46">
        <f t="shared" si="160"/>
        <v>0</v>
      </c>
      <c r="AY3422" s="46">
        <f t="shared" si="161"/>
        <v>0</v>
      </c>
      <c r="AZ3422" s="46">
        <f t="shared" si="162"/>
        <v>0</v>
      </c>
    </row>
    <row r="3423" spans="50:52">
      <c r="AX3423" s="46">
        <f t="shared" si="160"/>
        <v>0</v>
      </c>
      <c r="AY3423" s="46">
        <f t="shared" si="161"/>
        <v>0</v>
      </c>
      <c r="AZ3423" s="46">
        <f t="shared" si="162"/>
        <v>0</v>
      </c>
    </row>
    <row r="3424" spans="50:52">
      <c r="AX3424" s="46">
        <f t="shared" si="160"/>
        <v>0</v>
      </c>
      <c r="AY3424" s="46">
        <f t="shared" si="161"/>
        <v>0</v>
      </c>
      <c r="AZ3424" s="46">
        <f t="shared" si="162"/>
        <v>0</v>
      </c>
    </row>
    <row r="3425" spans="50:52">
      <c r="AX3425" s="46">
        <f t="shared" si="160"/>
        <v>0</v>
      </c>
      <c r="AY3425" s="46">
        <f t="shared" si="161"/>
        <v>0</v>
      </c>
      <c r="AZ3425" s="46">
        <f t="shared" si="162"/>
        <v>0</v>
      </c>
    </row>
    <row r="3426" spans="50:52">
      <c r="AX3426" s="46">
        <f t="shared" si="160"/>
        <v>0</v>
      </c>
      <c r="AY3426" s="46">
        <f t="shared" si="161"/>
        <v>0</v>
      </c>
      <c r="AZ3426" s="46">
        <f t="shared" si="162"/>
        <v>0</v>
      </c>
    </row>
    <row r="3427" spans="50:52">
      <c r="AX3427" s="46">
        <f t="shared" si="160"/>
        <v>0</v>
      </c>
      <c r="AY3427" s="46">
        <f t="shared" si="161"/>
        <v>0</v>
      </c>
      <c r="AZ3427" s="46">
        <f t="shared" si="162"/>
        <v>0</v>
      </c>
    </row>
    <row r="3428" spans="50:52">
      <c r="AX3428" s="46">
        <f t="shared" si="160"/>
        <v>0</v>
      </c>
      <c r="AY3428" s="46">
        <f t="shared" si="161"/>
        <v>0</v>
      </c>
      <c r="AZ3428" s="46">
        <f t="shared" si="162"/>
        <v>0</v>
      </c>
    </row>
    <row r="3429" spans="50:52">
      <c r="AX3429" s="46">
        <f t="shared" si="160"/>
        <v>0</v>
      </c>
      <c r="AY3429" s="46">
        <f t="shared" si="161"/>
        <v>0</v>
      </c>
      <c r="AZ3429" s="46">
        <f t="shared" si="162"/>
        <v>0</v>
      </c>
    </row>
    <row r="3430" spans="50:52">
      <c r="AX3430" s="46">
        <f t="shared" si="160"/>
        <v>0</v>
      </c>
      <c r="AY3430" s="46">
        <f t="shared" si="161"/>
        <v>0</v>
      </c>
      <c r="AZ3430" s="46">
        <f t="shared" si="162"/>
        <v>0</v>
      </c>
    </row>
    <row r="3431" spans="50:52">
      <c r="AX3431" s="46">
        <f t="shared" si="160"/>
        <v>0</v>
      </c>
      <c r="AY3431" s="46">
        <f t="shared" si="161"/>
        <v>0</v>
      </c>
      <c r="AZ3431" s="46">
        <f t="shared" si="162"/>
        <v>0</v>
      </c>
    </row>
    <row r="3432" spans="50:52">
      <c r="AX3432" s="46">
        <f t="shared" si="160"/>
        <v>0</v>
      </c>
      <c r="AY3432" s="46">
        <f t="shared" si="161"/>
        <v>0</v>
      </c>
      <c r="AZ3432" s="46">
        <f t="shared" si="162"/>
        <v>0</v>
      </c>
    </row>
    <row r="3433" spans="50:52">
      <c r="AX3433" s="46">
        <f t="shared" si="160"/>
        <v>0</v>
      </c>
      <c r="AY3433" s="46">
        <f t="shared" si="161"/>
        <v>0</v>
      </c>
      <c r="AZ3433" s="46">
        <f t="shared" si="162"/>
        <v>0</v>
      </c>
    </row>
    <row r="3434" spans="50:52">
      <c r="AX3434" s="46">
        <f t="shared" si="160"/>
        <v>0</v>
      </c>
      <c r="AY3434" s="46">
        <f t="shared" si="161"/>
        <v>0</v>
      </c>
      <c r="AZ3434" s="46">
        <f t="shared" si="162"/>
        <v>0</v>
      </c>
    </row>
    <row r="3435" spans="50:52">
      <c r="AX3435" s="46">
        <f t="shared" si="160"/>
        <v>0</v>
      </c>
      <c r="AY3435" s="46">
        <f t="shared" si="161"/>
        <v>0</v>
      </c>
      <c r="AZ3435" s="46">
        <f t="shared" si="162"/>
        <v>0</v>
      </c>
    </row>
    <row r="3436" spans="50:52">
      <c r="AX3436" s="46">
        <f t="shared" si="160"/>
        <v>0</v>
      </c>
      <c r="AY3436" s="46">
        <f t="shared" si="161"/>
        <v>0</v>
      </c>
      <c r="AZ3436" s="46">
        <f t="shared" si="162"/>
        <v>0</v>
      </c>
    </row>
    <row r="3437" spans="50:52">
      <c r="AX3437" s="46">
        <f t="shared" si="160"/>
        <v>0</v>
      </c>
      <c r="AY3437" s="46">
        <f t="shared" si="161"/>
        <v>0</v>
      </c>
      <c r="AZ3437" s="46">
        <f t="shared" si="162"/>
        <v>0</v>
      </c>
    </row>
    <row r="3438" spans="50:52">
      <c r="AX3438" s="46">
        <f t="shared" si="160"/>
        <v>0</v>
      </c>
      <c r="AY3438" s="46">
        <f t="shared" si="161"/>
        <v>0</v>
      </c>
      <c r="AZ3438" s="46">
        <f t="shared" si="162"/>
        <v>0</v>
      </c>
    </row>
    <row r="3439" spans="50:52">
      <c r="AX3439" s="46">
        <f t="shared" si="160"/>
        <v>0</v>
      </c>
      <c r="AY3439" s="46">
        <f t="shared" si="161"/>
        <v>0</v>
      </c>
      <c r="AZ3439" s="46">
        <f t="shared" si="162"/>
        <v>0</v>
      </c>
    </row>
    <row r="3440" spans="50:52">
      <c r="AX3440" s="46">
        <f t="shared" si="160"/>
        <v>0</v>
      </c>
      <c r="AY3440" s="46">
        <f t="shared" si="161"/>
        <v>0</v>
      </c>
      <c r="AZ3440" s="46">
        <f t="shared" si="162"/>
        <v>0</v>
      </c>
    </row>
    <row r="3441" spans="50:52">
      <c r="AX3441" s="46">
        <f t="shared" si="160"/>
        <v>0</v>
      </c>
      <c r="AY3441" s="46">
        <f t="shared" si="161"/>
        <v>0</v>
      </c>
      <c r="AZ3441" s="46">
        <f t="shared" si="162"/>
        <v>0</v>
      </c>
    </row>
    <row r="3442" spans="50:52">
      <c r="AX3442" s="46">
        <f t="shared" si="160"/>
        <v>0</v>
      </c>
      <c r="AY3442" s="46">
        <f t="shared" si="161"/>
        <v>0</v>
      </c>
      <c r="AZ3442" s="46">
        <f t="shared" si="162"/>
        <v>0</v>
      </c>
    </row>
    <row r="3443" spans="50:52">
      <c r="AX3443" s="46">
        <f t="shared" si="160"/>
        <v>0</v>
      </c>
      <c r="AY3443" s="46">
        <f t="shared" si="161"/>
        <v>0</v>
      </c>
      <c r="AZ3443" s="46">
        <f t="shared" si="162"/>
        <v>0</v>
      </c>
    </row>
    <row r="3444" spans="50:52">
      <c r="AX3444" s="46">
        <f t="shared" si="160"/>
        <v>0</v>
      </c>
      <c r="AY3444" s="46">
        <f t="shared" si="161"/>
        <v>0</v>
      </c>
      <c r="AZ3444" s="46">
        <f t="shared" si="162"/>
        <v>0</v>
      </c>
    </row>
    <row r="3445" spans="50:52">
      <c r="AX3445" s="46">
        <f t="shared" si="160"/>
        <v>0</v>
      </c>
      <c r="AY3445" s="46">
        <f t="shared" si="161"/>
        <v>0</v>
      </c>
      <c r="AZ3445" s="46">
        <f t="shared" si="162"/>
        <v>0</v>
      </c>
    </row>
    <row r="3446" spans="50:52">
      <c r="AX3446" s="46">
        <f t="shared" si="160"/>
        <v>0</v>
      </c>
      <c r="AY3446" s="46">
        <f t="shared" si="161"/>
        <v>0</v>
      </c>
      <c r="AZ3446" s="46">
        <f t="shared" si="162"/>
        <v>0</v>
      </c>
    </row>
    <row r="3447" spans="50:52">
      <c r="AX3447" s="46">
        <f t="shared" si="160"/>
        <v>0</v>
      </c>
      <c r="AY3447" s="46">
        <f t="shared" si="161"/>
        <v>0</v>
      </c>
      <c r="AZ3447" s="46">
        <f t="shared" si="162"/>
        <v>0</v>
      </c>
    </row>
    <row r="3448" spans="50:52">
      <c r="AX3448" s="46">
        <f t="shared" si="160"/>
        <v>0</v>
      </c>
      <c r="AY3448" s="46">
        <f t="shared" si="161"/>
        <v>0</v>
      </c>
      <c r="AZ3448" s="46">
        <f t="shared" si="162"/>
        <v>0</v>
      </c>
    </row>
    <row r="3449" spans="50:52">
      <c r="AX3449" s="46">
        <f t="shared" si="160"/>
        <v>0</v>
      </c>
      <c r="AY3449" s="46">
        <f t="shared" si="161"/>
        <v>0</v>
      </c>
      <c r="AZ3449" s="46">
        <f t="shared" si="162"/>
        <v>0</v>
      </c>
    </row>
    <row r="3450" spans="50:52">
      <c r="AX3450" s="46">
        <f t="shared" si="160"/>
        <v>0</v>
      </c>
      <c r="AY3450" s="46">
        <f t="shared" si="161"/>
        <v>0</v>
      </c>
      <c r="AZ3450" s="46">
        <f t="shared" si="162"/>
        <v>0</v>
      </c>
    </row>
    <row r="3451" spans="50:52">
      <c r="AX3451" s="46">
        <f t="shared" si="160"/>
        <v>0</v>
      </c>
      <c r="AY3451" s="46">
        <f t="shared" si="161"/>
        <v>0</v>
      </c>
      <c r="AZ3451" s="46">
        <f t="shared" si="162"/>
        <v>0</v>
      </c>
    </row>
    <row r="3452" spans="50:52">
      <c r="AX3452" s="46">
        <f t="shared" si="160"/>
        <v>0</v>
      </c>
      <c r="AY3452" s="46">
        <f t="shared" si="161"/>
        <v>0</v>
      </c>
      <c r="AZ3452" s="46">
        <f t="shared" si="162"/>
        <v>0</v>
      </c>
    </row>
    <row r="3453" spans="50:52">
      <c r="AX3453" s="46">
        <f t="shared" si="160"/>
        <v>0</v>
      </c>
      <c r="AY3453" s="46">
        <f t="shared" si="161"/>
        <v>0</v>
      </c>
      <c r="AZ3453" s="46">
        <f t="shared" si="162"/>
        <v>0</v>
      </c>
    </row>
    <row r="3454" spans="50:52">
      <c r="AX3454" s="46">
        <f t="shared" si="160"/>
        <v>0</v>
      </c>
      <c r="AY3454" s="46">
        <f t="shared" si="161"/>
        <v>0</v>
      </c>
      <c r="AZ3454" s="46">
        <f t="shared" si="162"/>
        <v>0</v>
      </c>
    </row>
    <row r="3455" spans="50:52">
      <c r="AX3455" s="46">
        <f t="shared" si="160"/>
        <v>0</v>
      </c>
      <c r="AY3455" s="46">
        <f t="shared" si="161"/>
        <v>0</v>
      </c>
      <c r="AZ3455" s="46">
        <f t="shared" si="162"/>
        <v>0</v>
      </c>
    </row>
    <row r="3456" spans="50:52">
      <c r="AX3456" s="46">
        <f t="shared" si="160"/>
        <v>0</v>
      </c>
      <c r="AY3456" s="46">
        <f t="shared" si="161"/>
        <v>0</v>
      </c>
      <c r="AZ3456" s="46">
        <f t="shared" si="162"/>
        <v>0</v>
      </c>
    </row>
    <row r="3457" spans="50:52">
      <c r="AX3457" s="46">
        <f t="shared" si="160"/>
        <v>0</v>
      </c>
      <c r="AY3457" s="46">
        <f t="shared" si="161"/>
        <v>0</v>
      </c>
      <c r="AZ3457" s="46">
        <f t="shared" si="162"/>
        <v>0</v>
      </c>
    </row>
    <row r="3458" spans="50:52">
      <c r="AX3458" s="46">
        <f t="shared" si="160"/>
        <v>0</v>
      </c>
      <c r="AY3458" s="46">
        <f t="shared" si="161"/>
        <v>0</v>
      </c>
      <c r="AZ3458" s="46">
        <f t="shared" si="162"/>
        <v>0</v>
      </c>
    </row>
    <row r="3459" spans="50:52">
      <c r="AX3459" s="46">
        <f t="shared" si="160"/>
        <v>0</v>
      </c>
      <c r="AY3459" s="46">
        <f t="shared" si="161"/>
        <v>0</v>
      </c>
      <c r="AZ3459" s="46">
        <f t="shared" si="162"/>
        <v>0</v>
      </c>
    </row>
    <row r="3460" spans="50:52">
      <c r="AX3460" s="46">
        <f t="shared" si="160"/>
        <v>0</v>
      </c>
      <c r="AY3460" s="46">
        <f t="shared" si="161"/>
        <v>0</v>
      </c>
      <c r="AZ3460" s="46">
        <f t="shared" si="162"/>
        <v>0</v>
      </c>
    </row>
    <row r="3461" spans="50:52">
      <c r="AX3461" s="46">
        <f t="shared" si="160"/>
        <v>0</v>
      </c>
      <c r="AY3461" s="46">
        <f t="shared" si="161"/>
        <v>0</v>
      </c>
      <c r="AZ3461" s="46">
        <f t="shared" si="162"/>
        <v>0</v>
      </c>
    </row>
    <row r="3462" spans="50:52">
      <c r="AX3462" s="46">
        <f t="shared" si="160"/>
        <v>0</v>
      </c>
      <c r="AY3462" s="46">
        <f t="shared" si="161"/>
        <v>0</v>
      </c>
      <c r="AZ3462" s="46">
        <f t="shared" si="162"/>
        <v>0</v>
      </c>
    </row>
    <row r="3463" spans="50:52">
      <c r="AX3463" s="46">
        <f t="shared" si="160"/>
        <v>0</v>
      </c>
      <c r="AY3463" s="46">
        <f t="shared" si="161"/>
        <v>0</v>
      </c>
      <c r="AZ3463" s="46">
        <f t="shared" si="162"/>
        <v>0</v>
      </c>
    </row>
    <row r="3464" spans="50:52">
      <c r="AX3464" s="46">
        <f t="shared" si="160"/>
        <v>0</v>
      </c>
      <c r="AY3464" s="46">
        <f t="shared" si="161"/>
        <v>0</v>
      </c>
      <c r="AZ3464" s="46">
        <f t="shared" si="162"/>
        <v>0</v>
      </c>
    </row>
    <row r="3465" spans="50:52">
      <c r="AX3465" s="46">
        <f t="shared" si="160"/>
        <v>0</v>
      </c>
      <c r="AY3465" s="46">
        <f t="shared" si="161"/>
        <v>0</v>
      </c>
      <c r="AZ3465" s="46">
        <f t="shared" si="162"/>
        <v>0</v>
      </c>
    </row>
    <row r="3466" spans="50:52">
      <c r="AX3466" s="46">
        <f t="shared" si="160"/>
        <v>0</v>
      </c>
      <c r="AY3466" s="46">
        <f t="shared" si="161"/>
        <v>0</v>
      </c>
      <c r="AZ3466" s="46">
        <f t="shared" si="162"/>
        <v>0</v>
      </c>
    </row>
    <row r="3467" spans="50:52">
      <c r="AX3467" s="46">
        <f t="shared" ref="AX3467:AX3530" si="163">IFERROR(SUM(Q3467:AS3467)-SUM(AT3467:AU3467)+AV3467,"-")</f>
        <v>0</v>
      </c>
      <c r="AY3467" s="46">
        <f t="shared" ref="AY3467:AY3530" si="164">IFERROR(SUM(Q3467:AS3467)-SUM(AT3467:AT3467),"-")</f>
        <v>0</v>
      </c>
      <c r="AZ3467" s="46">
        <f t="shared" ref="AZ3467:AZ3530" si="165">SUM(Q3467:AS3467)</f>
        <v>0</v>
      </c>
    </row>
    <row r="3468" spans="50:52">
      <c r="AX3468" s="46">
        <f t="shared" si="163"/>
        <v>0</v>
      </c>
      <c r="AY3468" s="46">
        <f t="shared" si="164"/>
        <v>0</v>
      </c>
      <c r="AZ3468" s="46">
        <f t="shared" si="165"/>
        <v>0</v>
      </c>
    </row>
    <row r="3469" spans="50:52">
      <c r="AX3469" s="46">
        <f t="shared" si="163"/>
        <v>0</v>
      </c>
      <c r="AY3469" s="46">
        <f t="shared" si="164"/>
        <v>0</v>
      </c>
      <c r="AZ3469" s="46">
        <f t="shared" si="165"/>
        <v>0</v>
      </c>
    </row>
    <row r="3470" spans="50:52">
      <c r="AX3470" s="46">
        <f t="shared" si="163"/>
        <v>0</v>
      </c>
      <c r="AY3470" s="46">
        <f t="shared" si="164"/>
        <v>0</v>
      </c>
      <c r="AZ3470" s="46">
        <f t="shared" si="165"/>
        <v>0</v>
      </c>
    </row>
    <row r="3471" spans="50:52">
      <c r="AX3471" s="46">
        <f t="shared" si="163"/>
        <v>0</v>
      </c>
      <c r="AY3471" s="46">
        <f t="shared" si="164"/>
        <v>0</v>
      </c>
      <c r="AZ3471" s="46">
        <f t="shared" si="165"/>
        <v>0</v>
      </c>
    </row>
    <row r="3472" spans="50:52">
      <c r="AX3472" s="46">
        <f t="shared" si="163"/>
        <v>0</v>
      </c>
      <c r="AY3472" s="46">
        <f t="shared" si="164"/>
        <v>0</v>
      </c>
      <c r="AZ3472" s="46">
        <f t="shared" si="165"/>
        <v>0</v>
      </c>
    </row>
    <row r="3473" spans="50:52">
      <c r="AX3473" s="46">
        <f t="shared" si="163"/>
        <v>0</v>
      </c>
      <c r="AY3473" s="46">
        <f t="shared" si="164"/>
        <v>0</v>
      </c>
      <c r="AZ3473" s="46">
        <f t="shared" si="165"/>
        <v>0</v>
      </c>
    </row>
    <row r="3474" spans="50:52">
      <c r="AX3474" s="46">
        <f t="shared" si="163"/>
        <v>0</v>
      </c>
      <c r="AY3474" s="46">
        <f t="shared" si="164"/>
        <v>0</v>
      </c>
      <c r="AZ3474" s="46">
        <f t="shared" si="165"/>
        <v>0</v>
      </c>
    </row>
    <row r="3475" spans="50:52">
      <c r="AX3475" s="46">
        <f t="shared" si="163"/>
        <v>0</v>
      </c>
      <c r="AY3475" s="46">
        <f t="shared" si="164"/>
        <v>0</v>
      </c>
      <c r="AZ3475" s="46">
        <f t="shared" si="165"/>
        <v>0</v>
      </c>
    </row>
    <row r="3476" spans="50:52">
      <c r="AX3476" s="46">
        <f t="shared" si="163"/>
        <v>0</v>
      </c>
      <c r="AY3476" s="46">
        <f t="shared" si="164"/>
        <v>0</v>
      </c>
      <c r="AZ3476" s="46">
        <f t="shared" si="165"/>
        <v>0</v>
      </c>
    </row>
    <row r="3477" spans="50:52">
      <c r="AX3477" s="46">
        <f t="shared" si="163"/>
        <v>0</v>
      </c>
      <c r="AY3477" s="46">
        <f t="shared" si="164"/>
        <v>0</v>
      </c>
      <c r="AZ3477" s="46">
        <f t="shared" si="165"/>
        <v>0</v>
      </c>
    </row>
    <row r="3478" spans="50:52">
      <c r="AX3478" s="46">
        <f t="shared" si="163"/>
        <v>0</v>
      </c>
      <c r="AY3478" s="46">
        <f t="shared" si="164"/>
        <v>0</v>
      </c>
      <c r="AZ3478" s="46">
        <f t="shared" si="165"/>
        <v>0</v>
      </c>
    </row>
    <row r="3479" spans="50:52">
      <c r="AX3479" s="46">
        <f t="shared" si="163"/>
        <v>0</v>
      </c>
      <c r="AY3479" s="46">
        <f t="shared" si="164"/>
        <v>0</v>
      </c>
      <c r="AZ3479" s="46">
        <f t="shared" si="165"/>
        <v>0</v>
      </c>
    </row>
    <row r="3480" spans="50:52">
      <c r="AX3480" s="46">
        <f t="shared" si="163"/>
        <v>0</v>
      </c>
      <c r="AY3480" s="46">
        <f t="shared" si="164"/>
        <v>0</v>
      </c>
      <c r="AZ3480" s="46">
        <f t="shared" si="165"/>
        <v>0</v>
      </c>
    </row>
    <row r="3481" spans="50:52">
      <c r="AX3481" s="46">
        <f t="shared" si="163"/>
        <v>0</v>
      </c>
      <c r="AY3481" s="46">
        <f t="shared" si="164"/>
        <v>0</v>
      </c>
      <c r="AZ3481" s="46">
        <f t="shared" si="165"/>
        <v>0</v>
      </c>
    </row>
    <row r="3482" spans="50:52">
      <c r="AX3482" s="46">
        <f t="shared" si="163"/>
        <v>0</v>
      </c>
      <c r="AY3482" s="46">
        <f t="shared" si="164"/>
        <v>0</v>
      </c>
      <c r="AZ3482" s="46">
        <f t="shared" si="165"/>
        <v>0</v>
      </c>
    </row>
    <row r="3483" spans="50:52">
      <c r="AX3483" s="46">
        <f t="shared" si="163"/>
        <v>0</v>
      </c>
      <c r="AY3483" s="46">
        <f t="shared" si="164"/>
        <v>0</v>
      </c>
      <c r="AZ3483" s="46">
        <f t="shared" si="165"/>
        <v>0</v>
      </c>
    </row>
    <row r="3484" spans="50:52">
      <c r="AX3484" s="46">
        <f t="shared" si="163"/>
        <v>0</v>
      </c>
      <c r="AY3484" s="46">
        <f t="shared" si="164"/>
        <v>0</v>
      </c>
      <c r="AZ3484" s="46">
        <f t="shared" si="165"/>
        <v>0</v>
      </c>
    </row>
    <row r="3485" spans="50:52">
      <c r="AX3485" s="46">
        <f t="shared" si="163"/>
        <v>0</v>
      </c>
      <c r="AY3485" s="46">
        <f t="shared" si="164"/>
        <v>0</v>
      </c>
      <c r="AZ3485" s="46">
        <f t="shared" si="165"/>
        <v>0</v>
      </c>
    </row>
    <row r="3486" spans="50:52">
      <c r="AX3486" s="46">
        <f t="shared" si="163"/>
        <v>0</v>
      </c>
      <c r="AY3486" s="46">
        <f t="shared" si="164"/>
        <v>0</v>
      </c>
      <c r="AZ3486" s="46">
        <f t="shared" si="165"/>
        <v>0</v>
      </c>
    </row>
    <row r="3487" spans="50:52">
      <c r="AX3487" s="46">
        <f t="shared" si="163"/>
        <v>0</v>
      </c>
      <c r="AY3487" s="46">
        <f t="shared" si="164"/>
        <v>0</v>
      </c>
      <c r="AZ3487" s="46">
        <f t="shared" si="165"/>
        <v>0</v>
      </c>
    </row>
    <row r="3488" spans="50:52">
      <c r="AX3488" s="46">
        <f t="shared" si="163"/>
        <v>0</v>
      </c>
      <c r="AY3488" s="46">
        <f t="shared" si="164"/>
        <v>0</v>
      </c>
      <c r="AZ3488" s="46">
        <f t="shared" si="165"/>
        <v>0</v>
      </c>
    </row>
    <row r="3489" spans="50:52">
      <c r="AX3489" s="46">
        <f t="shared" si="163"/>
        <v>0</v>
      </c>
      <c r="AY3489" s="46">
        <f t="shared" si="164"/>
        <v>0</v>
      </c>
      <c r="AZ3489" s="46">
        <f t="shared" si="165"/>
        <v>0</v>
      </c>
    </row>
    <row r="3490" spans="50:52">
      <c r="AX3490" s="46">
        <f t="shared" si="163"/>
        <v>0</v>
      </c>
      <c r="AY3490" s="46">
        <f t="shared" si="164"/>
        <v>0</v>
      </c>
      <c r="AZ3490" s="46">
        <f t="shared" si="165"/>
        <v>0</v>
      </c>
    </row>
    <row r="3491" spans="50:52">
      <c r="AX3491" s="46">
        <f t="shared" si="163"/>
        <v>0</v>
      </c>
      <c r="AY3491" s="46">
        <f t="shared" si="164"/>
        <v>0</v>
      </c>
      <c r="AZ3491" s="46">
        <f t="shared" si="165"/>
        <v>0</v>
      </c>
    </row>
    <row r="3492" spans="50:52">
      <c r="AX3492" s="46">
        <f t="shared" si="163"/>
        <v>0</v>
      </c>
      <c r="AY3492" s="46">
        <f t="shared" si="164"/>
        <v>0</v>
      </c>
      <c r="AZ3492" s="46">
        <f t="shared" si="165"/>
        <v>0</v>
      </c>
    </row>
    <row r="3493" spans="50:52">
      <c r="AX3493" s="46">
        <f t="shared" si="163"/>
        <v>0</v>
      </c>
      <c r="AY3493" s="46">
        <f t="shared" si="164"/>
        <v>0</v>
      </c>
      <c r="AZ3493" s="46">
        <f t="shared" si="165"/>
        <v>0</v>
      </c>
    </row>
    <row r="3494" spans="50:52">
      <c r="AX3494" s="46">
        <f t="shared" si="163"/>
        <v>0</v>
      </c>
      <c r="AY3494" s="46">
        <f t="shared" si="164"/>
        <v>0</v>
      </c>
      <c r="AZ3494" s="46">
        <f t="shared" si="165"/>
        <v>0</v>
      </c>
    </row>
    <row r="3495" spans="50:52">
      <c r="AX3495" s="46">
        <f t="shared" si="163"/>
        <v>0</v>
      </c>
      <c r="AY3495" s="46">
        <f t="shared" si="164"/>
        <v>0</v>
      </c>
      <c r="AZ3495" s="46">
        <f t="shared" si="165"/>
        <v>0</v>
      </c>
    </row>
    <row r="3496" spans="50:52">
      <c r="AX3496" s="46">
        <f t="shared" si="163"/>
        <v>0</v>
      </c>
      <c r="AY3496" s="46">
        <f t="shared" si="164"/>
        <v>0</v>
      </c>
      <c r="AZ3496" s="46">
        <f t="shared" si="165"/>
        <v>0</v>
      </c>
    </row>
    <row r="3497" spans="50:52">
      <c r="AX3497" s="46">
        <f t="shared" si="163"/>
        <v>0</v>
      </c>
      <c r="AY3497" s="46">
        <f t="shared" si="164"/>
        <v>0</v>
      </c>
      <c r="AZ3497" s="46">
        <f t="shared" si="165"/>
        <v>0</v>
      </c>
    </row>
    <row r="3498" spans="50:52">
      <c r="AX3498" s="46">
        <f t="shared" si="163"/>
        <v>0</v>
      </c>
      <c r="AY3498" s="46">
        <f t="shared" si="164"/>
        <v>0</v>
      </c>
      <c r="AZ3498" s="46">
        <f t="shared" si="165"/>
        <v>0</v>
      </c>
    </row>
    <row r="3499" spans="50:52">
      <c r="AX3499" s="46">
        <f t="shared" si="163"/>
        <v>0</v>
      </c>
      <c r="AY3499" s="46">
        <f t="shared" si="164"/>
        <v>0</v>
      </c>
      <c r="AZ3499" s="46">
        <f t="shared" si="165"/>
        <v>0</v>
      </c>
    </row>
    <row r="3500" spans="50:52">
      <c r="AX3500" s="46">
        <f t="shared" si="163"/>
        <v>0</v>
      </c>
      <c r="AY3500" s="46">
        <f t="shared" si="164"/>
        <v>0</v>
      </c>
      <c r="AZ3500" s="46">
        <f t="shared" si="165"/>
        <v>0</v>
      </c>
    </row>
    <row r="3501" spans="50:52">
      <c r="AX3501" s="46">
        <f t="shared" si="163"/>
        <v>0</v>
      </c>
      <c r="AY3501" s="46">
        <f t="shared" si="164"/>
        <v>0</v>
      </c>
      <c r="AZ3501" s="46">
        <f t="shared" si="165"/>
        <v>0</v>
      </c>
    </row>
    <row r="3502" spans="50:52">
      <c r="AX3502" s="46">
        <f t="shared" si="163"/>
        <v>0</v>
      </c>
      <c r="AY3502" s="46">
        <f t="shared" si="164"/>
        <v>0</v>
      </c>
      <c r="AZ3502" s="46">
        <f t="shared" si="165"/>
        <v>0</v>
      </c>
    </row>
    <row r="3503" spans="50:52">
      <c r="AX3503" s="46">
        <f t="shared" si="163"/>
        <v>0</v>
      </c>
      <c r="AY3503" s="46">
        <f t="shared" si="164"/>
        <v>0</v>
      </c>
      <c r="AZ3503" s="46">
        <f t="shared" si="165"/>
        <v>0</v>
      </c>
    </row>
    <row r="3504" spans="50:52">
      <c r="AX3504" s="46">
        <f t="shared" si="163"/>
        <v>0</v>
      </c>
      <c r="AY3504" s="46">
        <f t="shared" si="164"/>
        <v>0</v>
      </c>
      <c r="AZ3504" s="46">
        <f t="shared" si="165"/>
        <v>0</v>
      </c>
    </row>
    <row r="3505" spans="50:52">
      <c r="AX3505" s="46">
        <f t="shared" si="163"/>
        <v>0</v>
      </c>
      <c r="AY3505" s="46">
        <f t="shared" si="164"/>
        <v>0</v>
      </c>
      <c r="AZ3505" s="46">
        <f t="shared" si="165"/>
        <v>0</v>
      </c>
    </row>
    <row r="3506" spans="50:52">
      <c r="AX3506" s="46">
        <f t="shared" si="163"/>
        <v>0</v>
      </c>
      <c r="AY3506" s="46">
        <f t="shared" si="164"/>
        <v>0</v>
      </c>
      <c r="AZ3506" s="46">
        <f t="shared" si="165"/>
        <v>0</v>
      </c>
    </row>
    <row r="3507" spans="50:52">
      <c r="AX3507" s="46">
        <f t="shared" si="163"/>
        <v>0</v>
      </c>
      <c r="AY3507" s="46">
        <f t="shared" si="164"/>
        <v>0</v>
      </c>
      <c r="AZ3507" s="46">
        <f t="shared" si="165"/>
        <v>0</v>
      </c>
    </row>
    <row r="3508" spans="50:52">
      <c r="AX3508" s="46">
        <f t="shared" si="163"/>
        <v>0</v>
      </c>
      <c r="AY3508" s="46">
        <f t="shared" si="164"/>
        <v>0</v>
      </c>
      <c r="AZ3508" s="46">
        <f t="shared" si="165"/>
        <v>0</v>
      </c>
    </row>
    <row r="3509" spans="50:52">
      <c r="AX3509" s="46">
        <f t="shared" si="163"/>
        <v>0</v>
      </c>
      <c r="AY3509" s="46">
        <f t="shared" si="164"/>
        <v>0</v>
      </c>
      <c r="AZ3509" s="46">
        <f t="shared" si="165"/>
        <v>0</v>
      </c>
    </row>
    <row r="3510" spans="50:52">
      <c r="AX3510" s="46">
        <f t="shared" si="163"/>
        <v>0</v>
      </c>
      <c r="AY3510" s="46">
        <f t="shared" si="164"/>
        <v>0</v>
      </c>
      <c r="AZ3510" s="46">
        <f t="shared" si="165"/>
        <v>0</v>
      </c>
    </row>
    <row r="3511" spans="50:52">
      <c r="AX3511" s="46">
        <f t="shared" si="163"/>
        <v>0</v>
      </c>
      <c r="AY3511" s="46">
        <f t="shared" si="164"/>
        <v>0</v>
      </c>
      <c r="AZ3511" s="46">
        <f t="shared" si="165"/>
        <v>0</v>
      </c>
    </row>
    <row r="3512" spans="50:52">
      <c r="AX3512" s="46">
        <f t="shared" si="163"/>
        <v>0</v>
      </c>
      <c r="AY3512" s="46">
        <f t="shared" si="164"/>
        <v>0</v>
      </c>
      <c r="AZ3512" s="46">
        <f t="shared" si="165"/>
        <v>0</v>
      </c>
    </row>
    <row r="3513" spans="50:52">
      <c r="AX3513" s="46">
        <f t="shared" si="163"/>
        <v>0</v>
      </c>
      <c r="AY3513" s="46">
        <f t="shared" si="164"/>
        <v>0</v>
      </c>
      <c r="AZ3513" s="46">
        <f t="shared" si="165"/>
        <v>0</v>
      </c>
    </row>
    <row r="3514" spans="50:52">
      <c r="AX3514" s="46">
        <f t="shared" si="163"/>
        <v>0</v>
      </c>
      <c r="AY3514" s="46">
        <f t="shared" si="164"/>
        <v>0</v>
      </c>
      <c r="AZ3514" s="46">
        <f t="shared" si="165"/>
        <v>0</v>
      </c>
    </row>
    <row r="3515" spans="50:52">
      <c r="AX3515" s="46">
        <f t="shared" si="163"/>
        <v>0</v>
      </c>
      <c r="AY3515" s="46">
        <f t="shared" si="164"/>
        <v>0</v>
      </c>
      <c r="AZ3515" s="46">
        <f t="shared" si="165"/>
        <v>0</v>
      </c>
    </row>
    <row r="3516" spans="50:52">
      <c r="AX3516" s="46">
        <f t="shared" si="163"/>
        <v>0</v>
      </c>
      <c r="AY3516" s="46">
        <f t="shared" si="164"/>
        <v>0</v>
      </c>
      <c r="AZ3516" s="46">
        <f t="shared" si="165"/>
        <v>0</v>
      </c>
    </row>
    <row r="3517" spans="50:52">
      <c r="AX3517" s="46">
        <f t="shared" si="163"/>
        <v>0</v>
      </c>
      <c r="AY3517" s="46">
        <f t="shared" si="164"/>
        <v>0</v>
      </c>
      <c r="AZ3517" s="46">
        <f t="shared" si="165"/>
        <v>0</v>
      </c>
    </row>
    <row r="3518" spans="50:52">
      <c r="AX3518" s="46">
        <f t="shared" si="163"/>
        <v>0</v>
      </c>
      <c r="AY3518" s="46">
        <f t="shared" si="164"/>
        <v>0</v>
      </c>
      <c r="AZ3518" s="46">
        <f t="shared" si="165"/>
        <v>0</v>
      </c>
    </row>
    <row r="3519" spans="50:52">
      <c r="AX3519" s="46">
        <f t="shared" si="163"/>
        <v>0</v>
      </c>
      <c r="AY3519" s="46">
        <f t="shared" si="164"/>
        <v>0</v>
      </c>
      <c r="AZ3519" s="46">
        <f t="shared" si="165"/>
        <v>0</v>
      </c>
    </row>
    <row r="3520" spans="50:52">
      <c r="AX3520" s="46">
        <f t="shared" si="163"/>
        <v>0</v>
      </c>
      <c r="AY3520" s="46">
        <f t="shared" si="164"/>
        <v>0</v>
      </c>
      <c r="AZ3520" s="46">
        <f t="shared" si="165"/>
        <v>0</v>
      </c>
    </row>
    <row r="3521" spans="50:52">
      <c r="AX3521" s="46">
        <f t="shared" si="163"/>
        <v>0</v>
      </c>
      <c r="AY3521" s="46">
        <f t="shared" si="164"/>
        <v>0</v>
      </c>
      <c r="AZ3521" s="46">
        <f t="shared" si="165"/>
        <v>0</v>
      </c>
    </row>
    <row r="3522" spans="50:52">
      <c r="AX3522" s="46">
        <f t="shared" si="163"/>
        <v>0</v>
      </c>
      <c r="AY3522" s="46">
        <f t="shared" si="164"/>
        <v>0</v>
      </c>
      <c r="AZ3522" s="46">
        <f t="shared" si="165"/>
        <v>0</v>
      </c>
    </row>
    <row r="3523" spans="50:52">
      <c r="AX3523" s="46">
        <f t="shared" si="163"/>
        <v>0</v>
      </c>
      <c r="AY3523" s="46">
        <f t="shared" si="164"/>
        <v>0</v>
      </c>
      <c r="AZ3523" s="46">
        <f t="shared" si="165"/>
        <v>0</v>
      </c>
    </row>
    <row r="3524" spans="50:52">
      <c r="AX3524" s="46">
        <f t="shared" si="163"/>
        <v>0</v>
      </c>
      <c r="AY3524" s="46">
        <f t="shared" si="164"/>
        <v>0</v>
      </c>
      <c r="AZ3524" s="46">
        <f t="shared" si="165"/>
        <v>0</v>
      </c>
    </row>
    <row r="3525" spans="50:52">
      <c r="AX3525" s="46">
        <f t="shared" si="163"/>
        <v>0</v>
      </c>
      <c r="AY3525" s="46">
        <f t="shared" si="164"/>
        <v>0</v>
      </c>
      <c r="AZ3525" s="46">
        <f t="shared" si="165"/>
        <v>0</v>
      </c>
    </row>
    <row r="3526" spans="50:52">
      <c r="AX3526" s="46">
        <f t="shared" si="163"/>
        <v>0</v>
      </c>
      <c r="AY3526" s="46">
        <f t="shared" si="164"/>
        <v>0</v>
      </c>
      <c r="AZ3526" s="46">
        <f t="shared" si="165"/>
        <v>0</v>
      </c>
    </row>
    <row r="3527" spans="50:52">
      <c r="AX3527" s="46">
        <f t="shared" si="163"/>
        <v>0</v>
      </c>
      <c r="AY3527" s="46">
        <f t="shared" si="164"/>
        <v>0</v>
      </c>
      <c r="AZ3527" s="46">
        <f t="shared" si="165"/>
        <v>0</v>
      </c>
    </row>
    <row r="3528" spans="50:52">
      <c r="AX3528" s="46">
        <f t="shared" si="163"/>
        <v>0</v>
      </c>
      <c r="AY3528" s="46">
        <f t="shared" si="164"/>
        <v>0</v>
      </c>
      <c r="AZ3528" s="46">
        <f t="shared" si="165"/>
        <v>0</v>
      </c>
    </row>
    <row r="3529" spans="50:52">
      <c r="AX3529" s="46">
        <f t="shared" si="163"/>
        <v>0</v>
      </c>
      <c r="AY3529" s="46">
        <f t="shared" si="164"/>
        <v>0</v>
      </c>
      <c r="AZ3529" s="46">
        <f t="shared" si="165"/>
        <v>0</v>
      </c>
    </row>
    <row r="3530" spans="50:52">
      <c r="AX3530" s="46">
        <f t="shared" si="163"/>
        <v>0</v>
      </c>
      <c r="AY3530" s="46">
        <f t="shared" si="164"/>
        <v>0</v>
      </c>
      <c r="AZ3530" s="46">
        <f t="shared" si="165"/>
        <v>0</v>
      </c>
    </row>
    <row r="3531" spans="50:52">
      <c r="AX3531" s="46">
        <f t="shared" ref="AX3531:AX3594" si="166">IFERROR(SUM(Q3531:AS3531)-SUM(AT3531:AU3531)+AV3531,"-")</f>
        <v>0</v>
      </c>
      <c r="AY3531" s="46">
        <f t="shared" ref="AY3531:AY3594" si="167">IFERROR(SUM(Q3531:AS3531)-SUM(AT3531:AT3531),"-")</f>
        <v>0</v>
      </c>
      <c r="AZ3531" s="46">
        <f t="shared" ref="AZ3531:AZ3594" si="168">SUM(Q3531:AS3531)</f>
        <v>0</v>
      </c>
    </row>
    <row r="3532" spans="50:52">
      <c r="AX3532" s="46">
        <f t="shared" si="166"/>
        <v>0</v>
      </c>
      <c r="AY3532" s="46">
        <f t="shared" si="167"/>
        <v>0</v>
      </c>
      <c r="AZ3532" s="46">
        <f t="shared" si="168"/>
        <v>0</v>
      </c>
    </row>
    <row r="3533" spans="50:52">
      <c r="AX3533" s="46">
        <f t="shared" si="166"/>
        <v>0</v>
      </c>
      <c r="AY3533" s="46">
        <f t="shared" si="167"/>
        <v>0</v>
      </c>
      <c r="AZ3533" s="46">
        <f t="shared" si="168"/>
        <v>0</v>
      </c>
    </row>
    <row r="3534" spans="50:52">
      <c r="AX3534" s="46">
        <f t="shared" si="166"/>
        <v>0</v>
      </c>
      <c r="AY3534" s="46">
        <f t="shared" si="167"/>
        <v>0</v>
      </c>
      <c r="AZ3534" s="46">
        <f t="shared" si="168"/>
        <v>0</v>
      </c>
    </row>
    <row r="3535" spans="50:52">
      <c r="AX3535" s="46">
        <f t="shared" si="166"/>
        <v>0</v>
      </c>
      <c r="AY3535" s="46">
        <f t="shared" si="167"/>
        <v>0</v>
      </c>
      <c r="AZ3535" s="46">
        <f t="shared" si="168"/>
        <v>0</v>
      </c>
    </row>
    <row r="3536" spans="50:52">
      <c r="AX3536" s="46">
        <f t="shared" si="166"/>
        <v>0</v>
      </c>
      <c r="AY3536" s="46">
        <f t="shared" si="167"/>
        <v>0</v>
      </c>
      <c r="AZ3536" s="46">
        <f t="shared" si="168"/>
        <v>0</v>
      </c>
    </row>
    <row r="3537" spans="50:52">
      <c r="AX3537" s="46">
        <f t="shared" si="166"/>
        <v>0</v>
      </c>
      <c r="AY3537" s="46">
        <f t="shared" si="167"/>
        <v>0</v>
      </c>
      <c r="AZ3537" s="46">
        <f t="shared" si="168"/>
        <v>0</v>
      </c>
    </row>
    <row r="3538" spans="50:52">
      <c r="AX3538" s="46">
        <f t="shared" si="166"/>
        <v>0</v>
      </c>
      <c r="AY3538" s="46">
        <f t="shared" si="167"/>
        <v>0</v>
      </c>
      <c r="AZ3538" s="46">
        <f t="shared" si="168"/>
        <v>0</v>
      </c>
    </row>
    <row r="3539" spans="50:52">
      <c r="AX3539" s="46">
        <f t="shared" si="166"/>
        <v>0</v>
      </c>
      <c r="AY3539" s="46">
        <f t="shared" si="167"/>
        <v>0</v>
      </c>
      <c r="AZ3539" s="46">
        <f t="shared" si="168"/>
        <v>0</v>
      </c>
    </row>
    <row r="3540" spans="50:52">
      <c r="AX3540" s="46">
        <f t="shared" si="166"/>
        <v>0</v>
      </c>
      <c r="AY3540" s="46">
        <f t="shared" si="167"/>
        <v>0</v>
      </c>
      <c r="AZ3540" s="46">
        <f t="shared" si="168"/>
        <v>0</v>
      </c>
    </row>
    <row r="3541" spans="50:52">
      <c r="AX3541" s="46">
        <f t="shared" si="166"/>
        <v>0</v>
      </c>
      <c r="AY3541" s="46">
        <f t="shared" si="167"/>
        <v>0</v>
      </c>
      <c r="AZ3541" s="46">
        <f t="shared" si="168"/>
        <v>0</v>
      </c>
    </row>
    <row r="3542" spans="50:52">
      <c r="AX3542" s="46">
        <f t="shared" si="166"/>
        <v>0</v>
      </c>
      <c r="AY3542" s="46">
        <f t="shared" si="167"/>
        <v>0</v>
      </c>
      <c r="AZ3542" s="46">
        <f t="shared" si="168"/>
        <v>0</v>
      </c>
    </row>
    <row r="3543" spans="50:52">
      <c r="AX3543" s="46">
        <f t="shared" si="166"/>
        <v>0</v>
      </c>
      <c r="AY3543" s="46">
        <f t="shared" si="167"/>
        <v>0</v>
      </c>
      <c r="AZ3543" s="46">
        <f t="shared" si="168"/>
        <v>0</v>
      </c>
    </row>
    <row r="3544" spans="50:52">
      <c r="AX3544" s="46">
        <f t="shared" si="166"/>
        <v>0</v>
      </c>
      <c r="AY3544" s="46">
        <f t="shared" si="167"/>
        <v>0</v>
      </c>
      <c r="AZ3544" s="46">
        <f t="shared" si="168"/>
        <v>0</v>
      </c>
    </row>
    <row r="3545" spans="50:52">
      <c r="AX3545" s="46">
        <f t="shared" si="166"/>
        <v>0</v>
      </c>
      <c r="AY3545" s="46">
        <f t="shared" si="167"/>
        <v>0</v>
      </c>
      <c r="AZ3545" s="46">
        <f t="shared" si="168"/>
        <v>0</v>
      </c>
    </row>
    <row r="3546" spans="50:52">
      <c r="AX3546" s="46">
        <f t="shared" si="166"/>
        <v>0</v>
      </c>
      <c r="AY3546" s="46">
        <f t="shared" si="167"/>
        <v>0</v>
      </c>
      <c r="AZ3546" s="46">
        <f t="shared" si="168"/>
        <v>0</v>
      </c>
    </row>
    <row r="3547" spans="50:52">
      <c r="AX3547" s="46">
        <f t="shared" si="166"/>
        <v>0</v>
      </c>
      <c r="AY3547" s="46">
        <f t="shared" si="167"/>
        <v>0</v>
      </c>
      <c r="AZ3547" s="46">
        <f t="shared" si="168"/>
        <v>0</v>
      </c>
    </row>
    <row r="3548" spans="50:52">
      <c r="AX3548" s="46">
        <f t="shared" si="166"/>
        <v>0</v>
      </c>
      <c r="AY3548" s="46">
        <f t="shared" si="167"/>
        <v>0</v>
      </c>
      <c r="AZ3548" s="46">
        <f t="shared" si="168"/>
        <v>0</v>
      </c>
    </row>
    <row r="3549" spans="50:52">
      <c r="AX3549" s="46">
        <f t="shared" si="166"/>
        <v>0</v>
      </c>
      <c r="AY3549" s="46">
        <f t="shared" si="167"/>
        <v>0</v>
      </c>
      <c r="AZ3549" s="46">
        <f t="shared" si="168"/>
        <v>0</v>
      </c>
    </row>
    <row r="3550" spans="50:52">
      <c r="AX3550" s="46">
        <f t="shared" si="166"/>
        <v>0</v>
      </c>
      <c r="AY3550" s="46">
        <f t="shared" si="167"/>
        <v>0</v>
      </c>
      <c r="AZ3550" s="46">
        <f t="shared" si="168"/>
        <v>0</v>
      </c>
    </row>
    <row r="3551" spans="50:52">
      <c r="AX3551" s="46">
        <f t="shared" si="166"/>
        <v>0</v>
      </c>
      <c r="AY3551" s="46">
        <f t="shared" si="167"/>
        <v>0</v>
      </c>
      <c r="AZ3551" s="46">
        <f t="shared" si="168"/>
        <v>0</v>
      </c>
    </row>
    <row r="3552" spans="50:52">
      <c r="AX3552" s="46">
        <f t="shared" si="166"/>
        <v>0</v>
      </c>
      <c r="AY3552" s="46">
        <f t="shared" si="167"/>
        <v>0</v>
      </c>
      <c r="AZ3552" s="46">
        <f t="shared" si="168"/>
        <v>0</v>
      </c>
    </row>
    <row r="3553" spans="50:52">
      <c r="AX3553" s="46">
        <f t="shared" si="166"/>
        <v>0</v>
      </c>
      <c r="AY3553" s="46">
        <f t="shared" si="167"/>
        <v>0</v>
      </c>
      <c r="AZ3553" s="46">
        <f t="shared" si="168"/>
        <v>0</v>
      </c>
    </row>
    <row r="3554" spans="50:52">
      <c r="AX3554" s="46">
        <f t="shared" si="166"/>
        <v>0</v>
      </c>
      <c r="AY3554" s="46">
        <f t="shared" si="167"/>
        <v>0</v>
      </c>
      <c r="AZ3554" s="46">
        <f t="shared" si="168"/>
        <v>0</v>
      </c>
    </row>
    <row r="3555" spans="50:52">
      <c r="AX3555" s="46">
        <f t="shared" si="166"/>
        <v>0</v>
      </c>
      <c r="AY3555" s="46">
        <f t="shared" si="167"/>
        <v>0</v>
      </c>
      <c r="AZ3555" s="46">
        <f t="shared" si="168"/>
        <v>0</v>
      </c>
    </row>
    <row r="3556" spans="50:52">
      <c r="AX3556" s="46">
        <f t="shared" si="166"/>
        <v>0</v>
      </c>
      <c r="AY3556" s="46">
        <f t="shared" si="167"/>
        <v>0</v>
      </c>
      <c r="AZ3556" s="46">
        <f t="shared" si="168"/>
        <v>0</v>
      </c>
    </row>
    <row r="3557" spans="50:52">
      <c r="AX3557" s="46">
        <f t="shared" si="166"/>
        <v>0</v>
      </c>
      <c r="AY3557" s="46">
        <f t="shared" si="167"/>
        <v>0</v>
      </c>
      <c r="AZ3557" s="46">
        <f t="shared" si="168"/>
        <v>0</v>
      </c>
    </row>
    <row r="3558" spans="50:52">
      <c r="AX3558" s="46">
        <f t="shared" si="166"/>
        <v>0</v>
      </c>
      <c r="AY3558" s="46">
        <f t="shared" si="167"/>
        <v>0</v>
      </c>
      <c r="AZ3558" s="46">
        <f t="shared" si="168"/>
        <v>0</v>
      </c>
    </row>
    <row r="3559" spans="50:52">
      <c r="AX3559" s="46">
        <f t="shared" si="166"/>
        <v>0</v>
      </c>
      <c r="AY3559" s="46">
        <f t="shared" si="167"/>
        <v>0</v>
      </c>
      <c r="AZ3559" s="46">
        <f t="shared" si="168"/>
        <v>0</v>
      </c>
    </row>
    <row r="3560" spans="50:52">
      <c r="AX3560" s="46">
        <f t="shared" si="166"/>
        <v>0</v>
      </c>
      <c r="AY3560" s="46">
        <f t="shared" si="167"/>
        <v>0</v>
      </c>
      <c r="AZ3560" s="46">
        <f t="shared" si="168"/>
        <v>0</v>
      </c>
    </row>
    <row r="3561" spans="50:52">
      <c r="AX3561" s="46">
        <f t="shared" si="166"/>
        <v>0</v>
      </c>
      <c r="AY3561" s="46">
        <f t="shared" si="167"/>
        <v>0</v>
      </c>
      <c r="AZ3561" s="46">
        <f t="shared" si="168"/>
        <v>0</v>
      </c>
    </row>
    <row r="3562" spans="50:52">
      <c r="AX3562" s="46">
        <f t="shared" si="166"/>
        <v>0</v>
      </c>
      <c r="AY3562" s="46">
        <f t="shared" si="167"/>
        <v>0</v>
      </c>
      <c r="AZ3562" s="46">
        <f t="shared" si="168"/>
        <v>0</v>
      </c>
    </row>
    <row r="3563" spans="50:52">
      <c r="AX3563" s="46">
        <f t="shared" si="166"/>
        <v>0</v>
      </c>
      <c r="AY3563" s="46">
        <f t="shared" si="167"/>
        <v>0</v>
      </c>
      <c r="AZ3563" s="46">
        <f t="shared" si="168"/>
        <v>0</v>
      </c>
    </row>
    <row r="3564" spans="50:52">
      <c r="AX3564" s="46">
        <f t="shared" si="166"/>
        <v>0</v>
      </c>
      <c r="AY3564" s="46">
        <f t="shared" si="167"/>
        <v>0</v>
      </c>
      <c r="AZ3564" s="46">
        <f t="shared" si="168"/>
        <v>0</v>
      </c>
    </row>
    <row r="3565" spans="50:52">
      <c r="AX3565" s="46">
        <f t="shared" si="166"/>
        <v>0</v>
      </c>
      <c r="AY3565" s="46">
        <f t="shared" si="167"/>
        <v>0</v>
      </c>
      <c r="AZ3565" s="46">
        <f t="shared" si="168"/>
        <v>0</v>
      </c>
    </row>
    <row r="3566" spans="50:52">
      <c r="AX3566" s="46">
        <f t="shared" si="166"/>
        <v>0</v>
      </c>
      <c r="AY3566" s="46">
        <f t="shared" si="167"/>
        <v>0</v>
      </c>
      <c r="AZ3566" s="46">
        <f t="shared" si="168"/>
        <v>0</v>
      </c>
    </row>
    <row r="3567" spans="50:52">
      <c r="AX3567" s="46">
        <f t="shared" si="166"/>
        <v>0</v>
      </c>
      <c r="AY3567" s="46">
        <f t="shared" si="167"/>
        <v>0</v>
      </c>
      <c r="AZ3567" s="46">
        <f t="shared" si="168"/>
        <v>0</v>
      </c>
    </row>
    <row r="3568" spans="50:52">
      <c r="AX3568" s="46">
        <f t="shared" si="166"/>
        <v>0</v>
      </c>
      <c r="AY3568" s="46">
        <f t="shared" si="167"/>
        <v>0</v>
      </c>
      <c r="AZ3568" s="46">
        <f t="shared" si="168"/>
        <v>0</v>
      </c>
    </row>
    <row r="3569" spans="50:52">
      <c r="AX3569" s="46">
        <f t="shared" si="166"/>
        <v>0</v>
      </c>
      <c r="AY3569" s="46">
        <f t="shared" si="167"/>
        <v>0</v>
      </c>
      <c r="AZ3569" s="46">
        <f t="shared" si="168"/>
        <v>0</v>
      </c>
    </row>
    <row r="3570" spans="50:52">
      <c r="AX3570" s="46">
        <f t="shared" si="166"/>
        <v>0</v>
      </c>
      <c r="AY3570" s="46">
        <f t="shared" si="167"/>
        <v>0</v>
      </c>
      <c r="AZ3570" s="46">
        <f t="shared" si="168"/>
        <v>0</v>
      </c>
    </row>
    <row r="3571" spans="50:52">
      <c r="AX3571" s="46">
        <f t="shared" si="166"/>
        <v>0</v>
      </c>
      <c r="AY3571" s="46">
        <f t="shared" si="167"/>
        <v>0</v>
      </c>
      <c r="AZ3571" s="46">
        <f t="shared" si="168"/>
        <v>0</v>
      </c>
    </row>
    <row r="3572" spans="50:52">
      <c r="AX3572" s="46">
        <f t="shared" si="166"/>
        <v>0</v>
      </c>
      <c r="AY3572" s="46">
        <f t="shared" si="167"/>
        <v>0</v>
      </c>
      <c r="AZ3572" s="46">
        <f t="shared" si="168"/>
        <v>0</v>
      </c>
    </row>
    <row r="3573" spans="50:52">
      <c r="AX3573" s="46">
        <f t="shared" si="166"/>
        <v>0</v>
      </c>
      <c r="AY3573" s="46">
        <f t="shared" si="167"/>
        <v>0</v>
      </c>
      <c r="AZ3573" s="46">
        <f t="shared" si="168"/>
        <v>0</v>
      </c>
    </row>
    <row r="3574" spans="50:52">
      <c r="AX3574" s="46">
        <f t="shared" si="166"/>
        <v>0</v>
      </c>
      <c r="AY3574" s="46">
        <f t="shared" si="167"/>
        <v>0</v>
      </c>
      <c r="AZ3574" s="46">
        <f t="shared" si="168"/>
        <v>0</v>
      </c>
    </row>
    <row r="3575" spans="50:52">
      <c r="AX3575" s="46">
        <f t="shared" si="166"/>
        <v>0</v>
      </c>
      <c r="AY3575" s="46">
        <f t="shared" si="167"/>
        <v>0</v>
      </c>
      <c r="AZ3575" s="46">
        <f t="shared" si="168"/>
        <v>0</v>
      </c>
    </row>
    <row r="3576" spans="50:52">
      <c r="AX3576" s="46">
        <f t="shared" si="166"/>
        <v>0</v>
      </c>
      <c r="AY3576" s="46">
        <f t="shared" si="167"/>
        <v>0</v>
      </c>
      <c r="AZ3576" s="46">
        <f t="shared" si="168"/>
        <v>0</v>
      </c>
    </row>
    <row r="3577" spans="50:52">
      <c r="AX3577" s="46">
        <f t="shared" si="166"/>
        <v>0</v>
      </c>
      <c r="AY3577" s="46">
        <f t="shared" si="167"/>
        <v>0</v>
      </c>
      <c r="AZ3577" s="46">
        <f t="shared" si="168"/>
        <v>0</v>
      </c>
    </row>
    <row r="3578" spans="50:52">
      <c r="AX3578" s="46">
        <f t="shared" si="166"/>
        <v>0</v>
      </c>
      <c r="AY3578" s="46">
        <f t="shared" si="167"/>
        <v>0</v>
      </c>
      <c r="AZ3578" s="46">
        <f t="shared" si="168"/>
        <v>0</v>
      </c>
    </row>
    <row r="3579" spans="50:52">
      <c r="AX3579" s="46">
        <f t="shared" si="166"/>
        <v>0</v>
      </c>
      <c r="AY3579" s="46">
        <f t="shared" si="167"/>
        <v>0</v>
      </c>
      <c r="AZ3579" s="46">
        <f t="shared" si="168"/>
        <v>0</v>
      </c>
    </row>
    <row r="3580" spans="50:52">
      <c r="AX3580" s="46">
        <f t="shared" si="166"/>
        <v>0</v>
      </c>
      <c r="AY3580" s="46">
        <f t="shared" si="167"/>
        <v>0</v>
      </c>
      <c r="AZ3580" s="46">
        <f t="shared" si="168"/>
        <v>0</v>
      </c>
    </row>
    <row r="3581" spans="50:52">
      <c r="AX3581" s="46">
        <f t="shared" si="166"/>
        <v>0</v>
      </c>
      <c r="AY3581" s="46">
        <f t="shared" si="167"/>
        <v>0</v>
      </c>
      <c r="AZ3581" s="46">
        <f t="shared" si="168"/>
        <v>0</v>
      </c>
    </row>
    <row r="3582" spans="50:52">
      <c r="AX3582" s="46">
        <f t="shared" si="166"/>
        <v>0</v>
      </c>
      <c r="AY3582" s="46">
        <f t="shared" si="167"/>
        <v>0</v>
      </c>
      <c r="AZ3582" s="46">
        <f t="shared" si="168"/>
        <v>0</v>
      </c>
    </row>
    <row r="3583" spans="50:52">
      <c r="AX3583" s="46">
        <f t="shared" si="166"/>
        <v>0</v>
      </c>
      <c r="AY3583" s="46">
        <f t="shared" si="167"/>
        <v>0</v>
      </c>
      <c r="AZ3583" s="46">
        <f t="shared" si="168"/>
        <v>0</v>
      </c>
    </row>
    <row r="3584" spans="50:52">
      <c r="AX3584" s="46">
        <f t="shared" si="166"/>
        <v>0</v>
      </c>
      <c r="AY3584" s="46">
        <f t="shared" si="167"/>
        <v>0</v>
      </c>
      <c r="AZ3584" s="46">
        <f t="shared" si="168"/>
        <v>0</v>
      </c>
    </row>
    <row r="3585" spans="50:52">
      <c r="AX3585" s="46">
        <f t="shared" si="166"/>
        <v>0</v>
      </c>
      <c r="AY3585" s="46">
        <f t="shared" si="167"/>
        <v>0</v>
      </c>
      <c r="AZ3585" s="46">
        <f t="shared" si="168"/>
        <v>0</v>
      </c>
    </row>
    <row r="3586" spans="50:52">
      <c r="AX3586" s="46">
        <f t="shared" si="166"/>
        <v>0</v>
      </c>
      <c r="AY3586" s="46">
        <f t="shared" si="167"/>
        <v>0</v>
      </c>
      <c r="AZ3586" s="46">
        <f t="shared" si="168"/>
        <v>0</v>
      </c>
    </row>
    <row r="3587" spans="50:52">
      <c r="AX3587" s="46">
        <f t="shared" si="166"/>
        <v>0</v>
      </c>
      <c r="AY3587" s="46">
        <f t="shared" si="167"/>
        <v>0</v>
      </c>
      <c r="AZ3587" s="46">
        <f t="shared" si="168"/>
        <v>0</v>
      </c>
    </row>
    <row r="3588" spans="50:52">
      <c r="AX3588" s="46">
        <f t="shared" si="166"/>
        <v>0</v>
      </c>
      <c r="AY3588" s="46">
        <f t="shared" si="167"/>
        <v>0</v>
      </c>
      <c r="AZ3588" s="46">
        <f t="shared" si="168"/>
        <v>0</v>
      </c>
    </row>
    <row r="3589" spans="50:52">
      <c r="AX3589" s="46">
        <f t="shared" si="166"/>
        <v>0</v>
      </c>
      <c r="AY3589" s="46">
        <f t="shared" si="167"/>
        <v>0</v>
      </c>
      <c r="AZ3589" s="46">
        <f t="shared" si="168"/>
        <v>0</v>
      </c>
    </row>
    <row r="3590" spans="50:52">
      <c r="AX3590" s="46">
        <f t="shared" si="166"/>
        <v>0</v>
      </c>
      <c r="AY3590" s="46">
        <f t="shared" si="167"/>
        <v>0</v>
      </c>
      <c r="AZ3590" s="46">
        <f t="shared" si="168"/>
        <v>0</v>
      </c>
    </row>
    <row r="3591" spans="50:52">
      <c r="AX3591" s="46">
        <f t="shared" si="166"/>
        <v>0</v>
      </c>
      <c r="AY3591" s="46">
        <f t="shared" si="167"/>
        <v>0</v>
      </c>
      <c r="AZ3591" s="46">
        <f t="shared" si="168"/>
        <v>0</v>
      </c>
    </row>
    <row r="3592" spans="50:52">
      <c r="AX3592" s="46">
        <f t="shared" si="166"/>
        <v>0</v>
      </c>
      <c r="AY3592" s="46">
        <f t="shared" si="167"/>
        <v>0</v>
      </c>
      <c r="AZ3592" s="46">
        <f t="shared" si="168"/>
        <v>0</v>
      </c>
    </row>
    <row r="3593" spans="50:52">
      <c r="AX3593" s="46">
        <f t="shared" si="166"/>
        <v>0</v>
      </c>
      <c r="AY3593" s="46">
        <f t="shared" si="167"/>
        <v>0</v>
      </c>
      <c r="AZ3593" s="46">
        <f t="shared" si="168"/>
        <v>0</v>
      </c>
    </row>
    <row r="3594" spans="50:52">
      <c r="AX3594" s="46">
        <f t="shared" si="166"/>
        <v>0</v>
      </c>
      <c r="AY3594" s="46">
        <f t="shared" si="167"/>
        <v>0</v>
      </c>
      <c r="AZ3594" s="46">
        <f t="shared" si="168"/>
        <v>0</v>
      </c>
    </row>
    <row r="3595" spans="50:52">
      <c r="AX3595" s="46">
        <f t="shared" ref="AX3595:AX3658" si="169">IFERROR(SUM(Q3595:AS3595)-SUM(AT3595:AU3595)+AV3595,"-")</f>
        <v>0</v>
      </c>
      <c r="AY3595" s="46">
        <f t="shared" ref="AY3595:AY3658" si="170">IFERROR(SUM(Q3595:AS3595)-SUM(AT3595:AT3595),"-")</f>
        <v>0</v>
      </c>
      <c r="AZ3595" s="46">
        <f t="shared" ref="AZ3595:AZ3658" si="171">SUM(Q3595:AS3595)</f>
        <v>0</v>
      </c>
    </row>
    <row r="3596" spans="50:52">
      <c r="AX3596" s="46">
        <f t="shared" si="169"/>
        <v>0</v>
      </c>
      <c r="AY3596" s="46">
        <f t="shared" si="170"/>
        <v>0</v>
      </c>
      <c r="AZ3596" s="46">
        <f t="shared" si="171"/>
        <v>0</v>
      </c>
    </row>
    <row r="3597" spans="50:52">
      <c r="AX3597" s="46">
        <f t="shared" si="169"/>
        <v>0</v>
      </c>
      <c r="AY3597" s="46">
        <f t="shared" si="170"/>
        <v>0</v>
      </c>
      <c r="AZ3597" s="46">
        <f t="shared" si="171"/>
        <v>0</v>
      </c>
    </row>
    <row r="3598" spans="50:52">
      <c r="AX3598" s="46">
        <f t="shared" si="169"/>
        <v>0</v>
      </c>
      <c r="AY3598" s="46">
        <f t="shared" si="170"/>
        <v>0</v>
      </c>
      <c r="AZ3598" s="46">
        <f t="shared" si="171"/>
        <v>0</v>
      </c>
    </row>
    <row r="3599" spans="50:52">
      <c r="AX3599" s="46">
        <f t="shared" si="169"/>
        <v>0</v>
      </c>
      <c r="AY3599" s="46">
        <f t="shared" si="170"/>
        <v>0</v>
      </c>
      <c r="AZ3599" s="46">
        <f t="shared" si="171"/>
        <v>0</v>
      </c>
    </row>
    <row r="3600" spans="50:52">
      <c r="AX3600" s="46">
        <f t="shared" si="169"/>
        <v>0</v>
      </c>
      <c r="AY3600" s="46">
        <f t="shared" si="170"/>
        <v>0</v>
      </c>
      <c r="AZ3600" s="46">
        <f t="shared" si="171"/>
        <v>0</v>
      </c>
    </row>
    <row r="3601" spans="50:52">
      <c r="AX3601" s="46">
        <f t="shared" si="169"/>
        <v>0</v>
      </c>
      <c r="AY3601" s="46">
        <f t="shared" si="170"/>
        <v>0</v>
      </c>
      <c r="AZ3601" s="46">
        <f t="shared" si="171"/>
        <v>0</v>
      </c>
    </row>
    <row r="3602" spans="50:52">
      <c r="AX3602" s="46">
        <f t="shared" si="169"/>
        <v>0</v>
      </c>
      <c r="AY3602" s="46">
        <f t="shared" si="170"/>
        <v>0</v>
      </c>
      <c r="AZ3602" s="46">
        <f t="shared" si="171"/>
        <v>0</v>
      </c>
    </row>
    <row r="3603" spans="50:52">
      <c r="AX3603" s="46">
        <f t="shared" si="169"/>
        <v>0</v>
      </c>
      <c r="AY3603" s="46">
        <f t="shared" si="170"/>
        <v>0</v>
      </c>
      <c r="AZ3603" s="46">
        <f t="shared" si="171"/>
        <v>0</v>
      </c>
    </row>
    <row r="3604" spans="50:52">
      <c r="AX3604" s="46">
        <f t="shared" si="169"/>
        <v>0</v>
      </c>
      <c r="AY3604" s="46">
        <f t="shared" si="170"/>
        <v>0</v>
      </c>
      <c r="AZ3604" s="46">
        <f t="shared" si="171"/>
        <v>0</v>
      </c>
    </row>
    <row r="3605" spans="50:52">
      <c r="AX3605" s="46">
        <f t="shared" si="169"/>
        <v>0</v>
      </c>
      <c r="AY3605" s="46">
        <f t="shared" si="170"/>
        <v>0</v>
      </c>
      <c r="AZ3605" s="46">
        <f t="shared" si="171"/>
        <v>0</v>
      </c>
    </row>
    <row r="3606" spans="50:52">
      <c r="AX3606" s="46">
        <f t="shared" si="169"/>
        <v>0</v>
      </c>
      <c r="AY3606" s="46">
        <f t="shared" si="170"/>
        <v>0</v>
      </c>
      <c r="AZ3606" s="46">
        <f t="shared" si="171"/>
        <v>0</v>
      </c>
    </row>
    <row r="3607" spans="50:52">
      <c r="AX3607" s="46">
        <f t="shared" si="169"/>
        <v>0</v>
      </c>
      <c r="AY3607" s="46">
        <f t="shared" si="170"/>
        <v>0</v>
      </c>
      <c r="AZ3607" s="46">
        <f t="shared" si="171"/>
        <v>0</v>
      </c>
    </row>
    <row r="3608" spans="50:52">
      <c r="AX3608" s="46">
        <f t="shared" si="169"/>
        <v>0</v>
      </c>
      <c r="AY3608" s="46">
        <f t="shared" si="170"/>
        <v>0</v>
      </c>
      <c r="AZ3608" s="46">
        <f t="shared" si="171"/>
        <v>0</v>
      </c>
    </row>
    <row r="3609" spans="50:52">
      <c r="AX3609" s="46">
        <f t="shared" si="169"/>
        <v>0</v>
      </c>
      <c r="AY3609" s="46">
        <f t="shared" si="170"/>
        <v>0</v>
      </c>
      <c r="AZ3609" s="46">
        <f t="shared" si="171"/>
        <v>0</v>
      </c>
    </row>
    <row r="3610" spans="50:52">
      <c r="AX3610" s="46">
        <f t="shared" si="169"/>
        <v>0</v>
      </c>
      <c r="AY3610" s="46">
        <f t="shared" si="170"/>
        <v>0</v>
      </c>
      <c r="AZ3610" s="46">
        <f t="shared" si="171"/>
        <v>0</v>
      </c>
    </row>
    <row r="3611" spans="50:52">
      <c r="AX3611" s="46">
        <f t="shared" si="169"/>
        <v>0</v>
      </c>
      <c r="AY3611" s="46">
        <f t="shared" si="170"/>
        <v>0</v>
      </c>
      <c r="AZ3611" s="46">
        <f t="shared" si="171"/>
        <v>0</v>
      </c>
    </row>
    <row r="3612" spans="50:52">
      <c r="AX3612" s="46">
        <f t="shared" si="169"/>
        <v>0</v>
      </c>
      <c r="AY3612" s="46">
        <f t="shared" si="170"/>
        <v>0</v>
      </c>
      <c r="AZ3612" s="46">
        <f t="shared" si="171"/>
        <v>0</v>
      </c>
    </row>
    <row r="3613" spans="50:52">
      <c r="AX3613" s="46">
        <f t="shared" si="169"/>
        <v>0</v>
      </c>
      <c r="AY3613" s="46">
        <f t="shared" si="170"/>
        <v>0</v>
      </c>
      <c r="AZ3613" s="46">
        <f t="shared" si="171"/>
        <v>0</v>
      </c>
    </row>
    <row r="3614" spans="50:52">
      <c r="AX3614" s="46">
        <f t="shared" si="169"/>
        <v>0</v>
      </c>
      <c r="AY3614" s="46">
        <f t="shared" si="170"/>
        <v>0</v>
      </c>
      <c r="AZ3614" s="46">
        <f t="shared" si="171"/>
        <v>0</v>
      </c>
    </row>
    <row r="3615" spans="50:52">
      <c r="AX3615" s="46">
        <f t="shared" si="169"/>
        <v>0</v>
      </c>
      <c r="AY3615" s="46">
        <f t="shared" si="170"/>
        <v>0</v>
      </c>
      <c r="AZ3615" s="46">
        <f t="shared" si="171"/>
        <v>0</v>
      </c>
    </row>
    <row r="3616" spans="50:52">
      <c r="AX3616" s="46">
        <f t="shared" si="169"/>
        <v>0</v>
      </c>
      <c r="AY3616" s="46">
        <f t="shared" si="170"/>
        <v>0</v>
      </c>
      <c r="AZ3616" s="46">
        <f t="shared" si="171"/>
        <v>0</v>
      </c>
    </row>
    <row r="3617" spans="50:52">
      <c r="AX3617" s="46">
        <f t="shared" si="169"/>
        <v>0</v>
      </c>
      <c r="AY3617" s="46">
        <f t="shared" si="170"/>
        <v>0</v>
      </c>
      <c r="AZ3617" s="46">
        <f t="shared" si="171"/>
        <v>0</v>
      </c>
    </row>
    <row r="3618" spans="50:52">
      <c r="AX3618" s="46">
        <f t="shared" si="169"/>
        <v>0</v>
      </c>
      <c r="AY3618" s="46">
        <f t="shared" si="170"/>
        <v>0</v>
      </c>
      <c r="AZ3618" s="46">
        <f t="shared" si="171"/>
        <v>0</v>
      </c>
    </row>
    <row r="3619" spans="50:52">
      <c r="AX3619" s="46">
        <f t="shared" si="169"/>
        <v>0</v>
      </c>
      <c r="AY3619" s="46">
        <f t="shared" si="170"/>
        <v>0</v>
      </c>
      <c r="AZ3619" s="46">
        <f t="shared" si="171"/>
        <v>0</v>
      </c>
    </row>
    <row r="3620" spans="50:52">
      <c r="AX3620" s="46">
        <f t="shared" si="169"/>
        <v>0</v>
      </c>
      <c r="AY3620" s="46">
        <f t="shared" si="170"/>
        <v>0</v>
      </c>
      <c r="AZ3620" s="46">
        <f t="shared" si="171"/>
        <v>0</v>
      </c>
    </row>
    <row r="3621" spans="50:52">
      <c r="AX3621" s="46">
        <f t="shared" si="169"/>
        <v>0</v>
      </c>
      <c r="AY3621" s="46">
        <f t="shared" si="170"/>
        <v>0</v>
      </c>
      <c r="AZ3621" s="46">
        <f t="shared" si="171"/>
        <v>0</v>
      </c>
    </row>
    <row r="3622" spans="50:52">
      <c r="AX3622" s="46">
        <f t="shared" si="169"/>
        <v>0</v>
      </c>
      <c r="AY3622" s="46">
        <f t="shared" si="170"/>
        <v>0</v>
      </c>
      <c r="AZ3622" s="46">
        <f t="shared" si="171"/>
        <v>0</v>
      </c>
    </row>
    <row r="3623" spans="50:52">
      <c r="AX3623" s="46">
        <f t="shared" si="169"/>
        <v>0</v>
      </c>
      <c r="AY3623" s="46">
        <f t="shared" si="170"/>
        <v>0</v>
      </c>
      <c r="AZ3623" s="46">
        <f t="shared" si="171"/>
        <v>0</v>
      </c>
    </row>
    <row r="3624" spans="50:52">
      <c r="AX3624" s="46">
        <f t="shared" si="169"/>
        <v>0</v>
      </c>
      <c r="AY3624" s="46">
        <f t="shared" si="170"/>
        <v>0</v>
      </c>
      <c r="AZ3624" s="46">
        <f t="shared" si="171"/>
        <v>0</v>
      </c>
    </row>
    <row r="3625" spans="50:52">
      <c r="AX3625" s="46">
        <f t="shared" si="169"/>
        <v>0</v>
      </c>
      <c r="AY3625" s="46">
        <f t="shared" si="170"/>
        <v>0</v>
      </c>
      <c r="AZ3625" s="46">
        <f t="shared" si="171"/>
        <v>0</v>
      </c>
    </row>
    <row r="3626" spans="50:52">
      <c r="AX3626" s="46">
        <f t="shared" si="169"/>
        <v>0</v>
      </c>
      <c r="AY3626" s="46">
        <f t="shared" si="170"/>
        <v>0</v>
      </c>
      <c r="AZ3626" s="46">
        <f t="shared" si="171"/>
        <v>0</v>
      </c>
    </row>
    <row r="3627" spans="50:52">
      <c r="AX3627" s="46">
        <f t="shared" si="169"/>
        <v>0</v>
      </c>
      <c r="AY3627" s="46">
        <f t="shared" si="170"/>
        <v>0</v>
      </c>
      <c r="AZ3627" s="46">
        <f t="shared" si="171"/>
        <v>0</v>
      </c>
    </row>
    <row r="3628" spans="50:52">
      <c r="AX3628" s="46">
        <f t="shared" si="169"/>
        <v>0</v>
      </c>
      <c r="AY3628" s="46">
        <f t="shared" si="170"/>
        <v>0</v>
      </c>
      <c r="AZ3628" s="46">
        <f t="shared" si="171"/>
        <v>0</v>
      </c>
    </row>
    <row r="3629" spans="50:52">
      <c r="AX3629" s="46">
        <f t="shared" si="169"/>
        <v>0</v>
      </c>
      <c r="AY3629" s="46">
        <f t="shared" si="170"/>
        <v>0</v>
      </c>
      <c r="AZ3629" s="46">
        <f t="shared" si="171"/>
        <v>0</v>
      </c>
    </row>
    <row r="3630" spans="50:52">
      <c r="AX3630" s="46">
        <f t="shared" si="169"/>
        <v>0</v>
      </c>
      <c r="AY3630" s="46">
        <f t="shared" si="170"/>
        <v>0</v>
      </c>
      <c r="AZ3630" s="46">
        <f t="shared" si="171"/>
        <v>0</v>
      </c>
    </row>
    <row r="3631" spans="50:52">
      <c r="AX3631" s="46">
        <f t="shared" si="169"/>
        <v>0</v>
      </c>
      <c r="AY3631" s="46">
        <f t="shared" si="170"/>
        <v>0</v>
      </c>
      <c r="AZ3631" s="46">
        <f t="shared" si="171"/>
        <v>0</v>
      </c>
    </row>
    <row r="3632" spans="50:52">
      <c r="AX3632" s="46">
        <f t="shared" si="169"/>
        <v>0</v>
      </c>
      <c r="AY3632" s="46">
        <f t="shared" si="170"/>
        <v>0</v>
      </c>
      <c r="AZ3632" s="46">
        <f t="shared" si="171"/>
        <v>0</v>
      </c>
    </row>
    <row r="3633" spans="50:52">
      <c r="AX3633" s="46">
        <f t="shared" si="169"/>
        <v>0</v>
      </c>
      <c r="AY3633" s="46">
        <f t="shared" si="170"/>
        <v>0</v>
      </c>
      <c r="AZ3633" s="46">
        <f t="shared" si="171"/>
        <v>0</v>
      </c>
    </row>
    <row r="3634" spans="50:52">
      <c r="AX3634" s="46">
        <f t="shared" si="169"/>
        <v>0</v>
      </c>
      <c r="AY3634" s="46">
        <f t="shared" si="170"/>
        <v>0</v>
      </c>
      <c r="AZ3634" s="46">
        <f t="shared" si="171"/>
        <v>0</v>
      </c>
    </row>
    <row r="3635" spans="50:52">
      <c r="AX3635" s="46">
        <f t="shared" si="169"/>
        <v>0</v>
      </c>
      <c r="AY3635" s="46">
        <f t="shared" si="170"/>
        <v>0</v>
      </c>
      <c r="AZ3635" s="46">
        <f t="shared" si="171"/>
        <v>0</v>
      </c>
    </row>
    <row r="3636" spans="50:52">
      <c r="AX3636" s="46">
        <f t="shared" si="169"/>
        <v>0</v>
      </c>
      <c r="AY3636" s="46">
        <f t="shared" si="170"/>
        <v>0</v>
      </c>
      <c r="AZ3636" s="46">
        <f t="shared" si="171"/>
        <v>0</v>
      </c>
    </row>
    <row r="3637" spans="50:52">
      <c r="AX3637" s="46">
        <f t="shared" si="169"/>
        <v>0</v>
      </c>
      <c r="AY3637" s="46">
        <f t="shared" si="170"/>
        <v>0</v>
      </c>
      <c r="AZ3637" s="46">
        <f t="shared" si="171"/>
        <v>0</v>
      </c>
    </row>
    <row r="3638" spans="50:52">
      <c r="AX3638" s="46">
        <f t="shared" si="169"/>
        <v>0</v>
      </c>
      <c r="AY3638" s="46">
        <f t="shared" si="170"/>
        <v>0</v>
      </c>
      <c r="AZ3638" s="46">
        <f t="shared" si="171"/>
        <v>0</v>
      </c>
    </row>
    <row r="3639" spans="50:52">
      <c r="AX3639" s="46">
        <f t="shared" si="169"/>
        <v>0</v>
      </c>
      <c r="AY3639" s="46">
        <f t="shared" si="170"/>
        <v>0</v>
      </c>
      <c r="AZ3639" s="46">
        <f t="shared" si="171"/>
        <v>0</v>
      </c>
    </row>
    <row r="3640" spans="50:52">
      <c r="AX3640" s="46">
        <f t="shared" si="169"/>
        <v>0</v>
      </c>
      <c r="AY3640" s="46">
        <f t="shared" si="170"/>
        <v>0</v>
      </c>
      <c r="AZ3640" s="46">
        <f t="shared" si="171"/>
        <v>0</v>
      </c>
    </row>
    <row r="3641" spans="50:52">
      <c r="AX3641" s="46">
        <f t="shared" si="169"/>
        <v>0</v>
      </c>
      <c r="AY3641" s="46">
        <f t="shared" si="170"/>
        <v>0</v>
      </c>
      <c r="AZ3641" s="46">
        <f t="shared" si="171"/>
        <v>0</v>
      </c>
    </row>
    <row r="3642" spans="50:52">
      <c r="AX3642" s="46">
        <f t="shared" si="169"/>
        <v>0</v>
      </c>
      <c r="AY3642" s="46">
        <f t="shared" si="170"/>
        <v>0</v>
      </c>
      <c r="AZ3642" s="46">
        <f t="shared" si="171"/>
        <v>0</v>
      </c>
    </row>
    <row r="3643" spans="50:52">
      <c r="AX3643" s="46">
        <f t="shared" si="169"/>
        <v>0</v>
      </c>
      <c r="AY3643" s="46">
        <f t="shared" si="170"/>
        <v>0</v>
      </c>
      <c r="AZ3643" s="46">
        <f t="shared" si="171"/>
        <v>0</v>
      </c>
    </row>
    <row r="3644" spans="50:52">
      <c r="AX3644" s="46">
        <f t="shared" si="169"/>
        <v>0</v>
      </c>
      <c r="AY3644" s="46">
        <f t="shared" si="170"/>
        <v>0</v>
      </c>
      <c r="AZ3644" s="46">
        <f t="shared" si="171"/>
        <v>0</v>
      </c>
    </row>
    <row r="3645" spans="50:52">
      <c r="AX3645" s="46">
        <f t="shared" si="169"/>
        <v>0</v>
      </c>
      <c r="AY3645" s="46">
        <f t="shared" si="170"/>
        <v>0</v>
      </c>
      <c r="AZ3645" s="46">
        <f t="shared" si="171"/>
        <v>0</v>
      </c>
    </row>
    <row r="3646" spans="50:52">
      <c r="AX3646" s="46">
        <f t="shared" si="169"/>
        <v>0</v>
      </c>
      <c r="AY3646" s="46">
        <f t="shared" si="170"/>
        <v>0</v>
      </c>
      <c r="AZ3646" s="46">
        <f t="shared" si="171"/>
        <v>0</v>
      </c>
    </row>
    <row r="3647" spans="50:52">
      <c r="AX3647" s="46">
        <f t="shared" si="169"/>
        <v>0</v>
      </c>
      <c r="AY3647" s="46">
        <f t="shared" si="170"/>
        <v>0</v>
      </c>
      <c r="AZ3647" s="46">
        <f t="shared" si="171"/>
        <v>0</v>
      </c>
    </row>
    <row r="3648" spans="50:52">
      <c r="AX3648" s="46">
        <f t="shared" si="169"/>
        <v>0</v>
      </c>
      <c r="AY3648" s="46">
        <f t="shared" si="170"/>
        <v>0</v>
      </c>
      <c r="AZ3648" s="46">
        <f t="shared" si="171"/>
        <v>0</v>
      </c>
    </row>
    <row r="3649" spans="50:52">
      <c r="AX3649" s="46">
        <f t="shared" si="169"/>
        <v>0</v>
      </c>
      <c r="AY3649" s="46">
        <f t="shared" si="170"/>
        <v>0</v>
      </c>
      <c r="AZ3649" s="46">
        <f t="shared" si="171"/>
        <v>0</v>
      </c>
    </row>
    <row r="3650" spans="50:52">
      <c r="AX3650" s="46">
        <f t="shared" si="169"/>
        <v>0</v>
      </c>
      <c r="AY3650" s="46">
        <f t="shared" si="170"/>
        <v>0</v>
      </c>
      <c r="AZ3650" s="46">
        <f t="shared" si="171"/>
        <v>0</v>
      </c>
    </row>
    <row r="3651" spans="50:52">
      <c r="AX3651" s="46">
        <f t="shared" si="169"/>
        <v>0</v>
      </c>
      <c r="AY3651" s="46">
        <f t="shared" si="170"/>
        <v>0</v>
      </c>
      <c r="AZ3651" s="46">
        <f t="shared" si="171"/>
        <v>0</v>
      </c>
    </row>
    <row r="3652" spans="50:52">
      <c r="AX3652" s="46">
        <f t="shared" si="169"/>
        <v>0</v>
      </c>
      <c r="AY3652" s="46">
        <f t="shared" si="170"/>
        <v>0</v>
      </c>
      <c r="AZ3652" s="46">
        <f t="shared" si="171"/>
        <v>0</v>
      </c>
    </row>
    <row r="3653" spans="50:52">
      <c r="AX3653" s="46">
        <f t="shared" si="169"/>
        <v>0</v>
      </c>
      <c r="AY3653" s="46">
        <f t="shared" si="170"/>
        <v>0</v>
      </c>
      <c r="AZ3653" s="46">
        <f t="shared" si="171"/>
        <v>0</v>
      </c>
    </row>
    <row r="3654" spans="50:52">
      <c r="AX3654" s="46">
        <f t="shared" si="169"/>
        <v>0</v>
      </c>
      <c r="AY3654" s="46">
        <f t="shared" si="170"/>
        <v>0</v>
      </c>
      <c r="AZ3654" s="46">
        <f t="shared" si="171"/>
        <v>0</v>
      </c>
    </row>
    <row r="3655" spans="50:52">
      <c r="AX3655" s="46">
        <f t="shared" si="169"/>
        <v>0</v>
      </c>
      <c r="AY3655" s="46">
        <f t="shared" si="170"/>
        <v>0</v>
      </c>
      <c r="AZ3655" s="46">
        <f t="shared" si="171"/>
        <v>0</v>
      </c>
    </row>
    <row r="3656" spans="50:52">
      <c r="AX3656" s="46">
        <f t="shared" si="169"/>
        <v>0</v>
      </c>
      <c r="AY3656" s="46">
        <f t="shared" si="170"/>
        <v>0</v>
      </c>
      <c r="AZ3656" s="46">
        <f t="shared" si="171"/>
        <v>0</v>
      </c>
    </row>
    <row r="3657" spans="50:52">
      <c r="AX3657" s="46">
        <f t="shared" si="169"/>
        <v>0</v>
      </c>
      <c r="AY3657" s="46">
        <f t="shared" si="170"/>
        <v>0</v>
      </c>
      <c r="AZ3657" s="46">
        <f t="shared" si="171"/>
        <v>0</v>
      </c>
    </row>
    <row r="3658" spans="50:52">
      <c r="AX3658" s="46">
        <f t="shared" si="169"/>
        <v>0</v>
      </c>
      <c r="AY3658" s="46">
        <f t="shared" si="170"/>
        <v>0</v>
      </c>
      <c r="AZ3658" s="46">
        <f t="shared" si="171"/>
        <v>0</v>
      </c>
    </row>
    <row r="3659" spans="50:52">
      <c r="AX3659" s="46">
        <f t="shared" ref="AX3659:AX3722" si="172">IFERROR(SUM(Q3659:AS3659)-SUM(AT3659:AU3659)+AV3659,"-")</f>
        <v>0</v>
      </c>
      <c r="AY3659" s="46">
        <f t="shared" ref="AY3659:AY3722" si="173">IFERROR(SUM(Q3659:AS3659)-SUM(AT3659:AT3659),"-")</f>
        <v>0</v>
      </c>
      <c r="AZ3659" s="46">
        <f t="shared" ref="AZ3659:AZ3722" si="174">SUM(Q3659:AS3659)</f>
        <v>0</v>
      </c>
    </row>
    <row r="3660" spans="50:52">
      <c r="AX3660" s="46">
        <f t="shared" si="172"/>
        <v>0</v>
      </c>
      <c r="AY3660" s="46">
        <f t="shared" si="173"/>
        <v>0</v>
      </c>
      <c r="AZ3660" s="46">
        <f t="shared" si="174"/>
        <v>0</v>
      </c>
    </row>
    <row r="3661" spans="50:52">
      <c r="AX3661" s="46">
        <f t="shared" si="172"/>
        <v>0</v>
      </c>
      <c r="AY3661" s="46">
        <f t="shared" si="173"/>
        <v>0</v>
      </c>
      <c r="AZ3661" s="46">
        <f t="shared" si="174"/>
        <v>0</v>
      </c>
    </row>
    <row r="3662" spans="50:52">
      <c r="AX3662" s="46">
        <f t="shared" si="172"/>
        <v>0</v>
      </c>
      <c r="AY3662" s="46">
        <f t="shared" si="173"/>
        <v>0</v>
      </c>
      <c r="AZ3662" s="46">
        <f t="shared" si="174"/>
        <v>0</v>
      </c>
    </row>
    <row r="3663" spans="50:52">
      <c r="AX3663" s="46">
        <f t="shared" si="172"/>
        <v>0</v>
      </c>
      <c r="AY3663" s="46">
        <f t="shared" si="173"/>
        <v>0</v>
      </c>
      <c r="AZ3663" s="46">
        <f t="shared" si="174"/>
        <v>0</v>
      </c>
    </row>
    <row r="3664" spans="50:52">
      <c r="AX3664" s="46">
        <f t="shared" si="172"/>
        <v>0</v>
      </c>
      <c r="AY3664" s="46">
        <f t="shared" si="173"/>
        <v>0</v>
      </c>
      <c r="AZ3664" s="46">
        <f t="shared" si="174"/>
        <v>0</v>
      </c>
    </row>
    <row r="3665" spans="50:52">
      <c r="AX3665" s="46">
        <f t="shared" si="172"/>
        <v>0</v>
      </c>
      <c r="AY3665" s="46">
        <f t="shared" si="173"/>
        <v>0</v>
      </c>
      <c r="AZ3665" s="46">
        <f t="shared" si="174"/>
        <v>0</v>
      </c>
    </row>
    <row r="3666" spans="50:52">
      <c r="AX3666" s="46">
        <f t="shared" si="172"/>
        <v>0</v>
      </c>
      <c r="AY3666" s="46">
        <f t="shared" si="173"/>
        <v>0</v>
      </c>
      <c r="AZ3666" s="46">
        <f t="shared" si="174"/>
        <v>0</v>
      </c>
    </row>
    <row r="3667" spans="50:52">
      <c r="AX3667" s="46">
        <f t="shared" si="172"/>
        <v>0</v>
      </c>
      <c r="AY3667" s="46">
        <f t="shared" si="173"/>
        <v>0</v>
      </c>
      <c r="AZ3667" s="46">
        <f t="shared" si="174"/>
        <v>0</v>
      </c>
    </row>
    <row r="3668" spans="50:52">
      <c r="AX3668" s="46">
        <f t="shared" si="172"/>
        <v>0</v>
      </c>
      <c r="AY3668" s="46">
        <f t="shared" si="173"/>
        <v>0</v>
      </c>
      <c r="AZ3668" s="46">
        <f t="shared" si="174"/>
        <v>0</v>
      </c>
    </row>
    <row r="3669" spans="50:52">
      <c r="AX3669" s="46">
        <f t="shared" si="172"/>
        <v>0</v>
      </c>
      <c r="AY3669" s="46">
        <f t="shared" si="173"/>
        <v>0</v>
      </c>
      <c r="AZ3669" s="46">
        <f t="shared" si="174"/>
        <v>0</v>
      </c>
    </row>
    <row r="3670" spans="50:52">
      <c r="AX3670" s="46">
        <f t="shared" si="172"/>
        <v>0</v>
      </c>
      <c r="AY3670" s="46">
        <f t="shared" si="173"/>
        <v>0</v>
      </c>
      <c r="AZ3670" s="46">
        <f t="shared" si="174"/>
        <v>0</v>
      </c>
    </row>
    <row r="3671" spans="50:52">
      <c r="AX3671" s="46">
        <f t="shared" si="172"/>
        <v>0</v>
      </c>
      <c r="AY3671" s="46">
        <f t="shared" si="173"/>
        <v>0</v>
      </c>
      <c r="AZ3671" s="46">
        <f t="shared" si="174"/>
        <v>0</v>
      </c>
    </row>
    <row r="3672" spans="50:52">
      <c r="AX3672" s="46">
        <f t="shared" si="172"/>
        <v>0</v>
      </c>
      <c r="AY3672" s="46">
        <f t="shared" si="173"/>
        <v>0</v>
      </c>
      <c r="AZ3672" s="46">
        <f t="shared" si="174"/>
        <v>0</v>
      </c>
    </row>
    <row r="3673" spans="50:52">
      <c r="AX3673" s="46">
        <f t="shared" si="172"/>
        <v>0</v>
      </c>
      <c r="AY3673" s="46">
        <f t="shared" si="173"/>
        <v>0</v>
      </c>
      <c r="AZ3673" s="46">
        <f t="shared" si="174"/>
        <v>0</v>
      </c>
    </row>
    <row r="3674" spans="50:52">
      <c r="AX3674" s="46">
        <f t="shared" si="172"/>
        <v>0</v>
      </c>
      <c r="AY3674" s="46">
        <f t="shared" si="173"/>
        <v>0</v>
      </c>
      <c r="AZ3674" s="46">
        <f t="shared" si="174"/>
        <v>0</v>
      </c>
    </row>
    <row r="3675" spans="50:52">
      <c r="AX3675" s="46">
        <f t="shared" si="172"/>
        <v>0</v>
      </c>
      <c r="AY3675" s="46">
        <f t="shared" si="173"/>
        <v>0</v>
      </c>
      <c r="AZ3675" s="46">
        <f t="shared" si="174"/>
        <v>0</v>
      </c>
    </row>
    <row r="3676" spans="50:52">
      <c r="AX3676" s="46">
        <f t="shared" si="172"/>
        <v>0</v>
      </c>
      <c r="AY3676" s="46">
        <f t="shared" si="173"/>
        <v>0</v>
      </c>
      <c r="AZ3676" s="46">
        <f t="shared" si="174"/>
        <v>0</v>
      </c>
    </row>
    <row r="3677" spans="50:52">
      <c r="AX3677" s="46">
        <f t="shared" si="172"/>
        <v>0</v>
      </c>
      <c r="AY3677" s="46">
        <f t="shared" si="173"/>
        <v>0</v>
      </c>
      <c r="AZ3677" s="46">
        <f t="shared" si="174"/>
        <v>0</v>
      </c>
    </row>
    <row r="3678" spans="50:52">
      <c r="AX3678" s="46">
        <f t="shared" si="172"/>
        <v>0</v>
      </c>
      <c r="AY3678" s="46">
        <f t="shared" si="173"/>
        <v>0</v>
      </c>
      <c r="AZ3678" s="46">
        <f t="shared" si="174"/>
        <v>0</v>
      </c>
    </row>
    <row r="3679" spans="50:52">
      <c r="AX3679" s="46">
        <f t="shared" si="172"/>
        <v>0</v>
      </c>
      <c r="AY3679" s="46">
        <f t="shared" si="173"/>
        <v>0</v>
      </c>
      <c r="AZ3679" s="46">
        <f t="shared" si="174"/>
        <v>0</v>
      </c>
    </row>
    <row r="3680" spans="50:52">
      <c r="AX3680" s="46">
        <f t="shared" si="172"/>
        <v>0</v>
      </c>
      <c r="AY3680" s="46">
        <f t="shared" si="173"/>
        <v>0</v>
      </c>
      <c r="AZ3680" s="46">
        <f t="shared" si="174"/>
        <v>0</v>
      </c>
    </row>
    <row r="3681" spans="50:52">
      <c r="AX3681" s="46">
        <f t="shared" si="172"/>
        <v>0</v>
      </c>
      <c r="AY3681" s="46">
        <f t="shared" si="173"/>
        <v>0</v>
      </c>
      <c r="AZ3681" s="46">
        <f t="shared" si="174"/>
        <v>0</v>
      </c>
    </row>
    <row r="3682" spans="50:52">
      <c r="AX3682" s="46">
        <f t="shared" si="172"/>
        <v>0</v>
      </c>
      <c r="AY3682" s="46">
        <f t="shared" si="173"/>
        <v>0</v>
      </c>
      <c r="AZ3682" s="46">
        <f t="shared" si="174"/>
        <v>0</v>
      </c>
    </row>
    <row r="3683" spans="50:52">
      <c r="AX3683" s="46">
        <f t="shared" si="172"/>
        <v>0</v>
      </c>
      <c r="AY3683" s="46">
        <f t="shared" si="173"/>
        <v>0</v>
      </c>
      <c r="AZ3683" s="46">
        <f t="shared" si="174"/>
        <v>0</v>
      </c>
    </row>
    <row r="3684" spans="50:52">
      <c r="AX3684" s="46">
        <f t="shared" si="172"/>
        <v>0</v>
      </c>
      <c r="AY3684" s="46">
        <f t="shared" si="173"/>
        <v>0</v>
      </c>
      <c r="AZ3684" s="46">
        <f t="shared" si="174"/>
        <v>0</v>
      </c>
    </row>
    <row r="3685" spans="50:52">
      <c r="AX3685" s="46">
        <f t="shared" si="172"/>
        <v>0</v>
      </c>
      <c r="AY3685" s="46">
        <f t="shared" si="173"/>
        <v>0</v>
      </c>
      <c r="AZ3685" s="46">
        <f t="shared" si="174"/>
        <v>0</v>
      </c>
    </row>
    <row r="3686" spans="50:52">
      <c r="AX3686" s="46">
        <f t="shared" si="172"/>
        <v>0</v>
      </c>
      <c r="AY3686" s="46">
        <f t="shared" si="173"/>
        <v>0</v>
      </c>
      <c r="AZ3686" s="46">
        <f t="shared" si="174"/>
        <v>0</v>
      </c>
    </row>
    <row r="3687" spans="50:52">
      <c r="AX3687" s="46">
        <f t="shared" si="172"/>
        <v>0</v>
      </c>
      <c r="AY3687" s="46">
        <f t="shared" si="173"/>
        <v>0</v>
      </c>
      <c r="AZ3687" s="46">
        <f t="shared" si="174"/>
        <v>0</v>
      </c>
    </row>
    <row r="3688" spans="50:52">
      <c r="AX3688" s="46">
        <f t="shared" si="172"/>
        <v>0</v>
      </c>
      <c r="AY3688" s="46">
        <f t="shared" si="173"/>
        <v>0</v>
      </c>
      <c r="AZ3688" s="46">
        <f t="shared" si="174"/>
        <v>0</v>
      </c>
    </row>
    <row r="3689" spans="50:52">
      <c r="AX3689" s="46">
        <f t="shared" si="172"/>
        <v>0</v>
      </c>
      <c r="AY3689" s="46">
        <f t="shared" si="173"/>
        <v>0</v>
      </c>
      <c r="AZ3689" s="46">
        <f t="shared" si="174"/>
        <v>0</v>
      </c>
    </row>
    <row r="3690" spans="50:52">
      <c r="AX3690" s="46">
        <f t="shared" si="172"/>
        <v>0</v>
      </c>
      <c r="AY3690" s="46">
        <f t="shared" si="173"/>
        <v>0</v>
      </c>
      <c r="AZ3690" s="46">
        <f t="shared" si="174"/>
        <v>0</v>
      </c>
    </row>
    <row r="3691" spans="50:52">
      <c r="AX3691" s="46">
        <f t="shared" si="172"/>
        <v>0</v>
      </c>
      <c r="AY3691" s="46">
        <f t="shared" si="173"/>
        <v>0</v>
      </c>
      <c r="AZ3691" s="46">
        <f t="shared" si="174"/>
        <v>0</v>
      </c>
    </row>
    <row r="3692" spans="50:52">
      <c r="AX3692" s="46">
        <f t="shared" si="172"/>
        <v>0</v>
      </c>
      <c r="AY3692" s="46">
        <f t="shared" si="173"/>
        <v>0</v>
      </c>
      <c r="AZ3692" s="46">
        <f t="shared" si="174"/>
        <v>0</v>
      </c>
    </row>
    <row r="3693" spans="50:52">
      <c r="AX3693" s="46">
        <f t="shared" si="172"/>
        <v>0</v>
      </c>
      <c r="AY3693" s="46">
        <f t="shared" si="173"/>
        <v>0</v>
      </c>
      <c r="AZ3693" s="46">
        <f t="shared" si="174"/>
        <v>0</v>
      </c>
    </row>
    <row r="3694" spans="50:52">
      <c r="AX3694" s="46">
        <f t="shared" si="172"/>
        <v>0</v>
      </c>
      <c r="AY3694" s="46">
        <f t="shared" si="173"/>
        <v>0</v>
      </c>
      <c r="AZ3694" s="46">
        <f t="shared" si="174"/>
        <v>0</v>
      </c>
    </row>
    <row r="3695" spans="50:52">
      <c r="AX3695" s="46">
        <f t="shared" si="172"/>
        <v>0</v>
      </c>
      <c r="AY3695" s="46">
        <f t="shared" si="173"/>
        <v>0</v>
      </c>
      <c r="AZ3695" s="46">
        <f t="shared" si="174"/>
        <v>0</v>
      </c>
    </row>
    <row r="3696" spans="50:52">
      <c r="AX3696" s="46">
        <f t="shared" si="172"/>
        <v>0</v>
      </c>
      <c r="AY3696" s="46">
        <f t="shared" si="173"/>
        <v>0</v>
      </c>
      <c r="AZ3696" s="46">
        <f t="shared" si="174"/>
        <v>0</v>
      </c>
    </row>
    <row r="3697" spans="50:52">
      <c r="AX3697" s="46">
        <f t="shared" si="172"/>
        <v>0</v>
      </c>
      <c r="AY3697" s="46">
        <f t="shared" si="173"/>
        <v>0</v>
      </c>
      <c r="AZ3697" s="46">
        <f t="shared" si="174"/>
        <v>0</v>
      </c>
    </row>
    <row r="3698" spans="50:52">
      <c r="AX3698" s="46">
        <f t="shared" si="172"/>
        <v>0</v>
      </c>
      <c r="AY3698" s="46">
        <f t="shared" si="173"/>
        <v>0</v>
      </c>
      <c r="AZ3698" s="46">
        <f t="shared" si="174"/>
        <v>0</v>
      </c>
    </row>
    <row r="3699" spans="50:52">
      <c r="AX3699" s="46">
        <f t="shared" si="172"/>
        <v>0</v>
      </c>
      <c r="AY3699" s="46">
        <f t="shared" si="173"/>
        <v>0</v>
      </c>
      <c r="AZ3699" s="46">
        <f t="shared" si="174"/>
        <v>0</v>
      </c>
    </row>
    <row r="3700" spans="50:52">
      <c r="AX3700" s="46">
        <f t="shared" si="172"/>
        <v>0</v>
      </c>
      <c r="AY3700" s="46">
        <f t="shared" si="173"/>
        <v>0</v>
      </c>
      <c r="AZ3700" s="46">
        <f t="shared" si="174"/>
        <v>0</v>
      </c>
    </row>
    <row r="3701" spans="50:52">
      <c r="AX3701" s="46">
        <f t="shared" si="172"/>
        <v>0</v>
      </c>
      <c r="AY3701" s="46">
        <f t="shared" si="173"/>
        <v>0</v>
      </c>
      <c r="AZ3701" s="46">
        <f t="shared" si="174"/>
        <v>0</v>
      </c>
    </row>
    <row r="3702" spans="50:52">
      <c r="AX3702" s="46">
        <f t="shared" si="172"/>
        <v>0</v>
      </c>
      <c r="AY3702" s="46">
        <f t="shared" si="173"/>
        <v>0</v>
      </c>
      <c r="AZ3702" s="46">
        <f t="shared" si="174"/>
        <v>0</v>
      </c>
    </row>
    <row r="3703" spans="50:52">
      <c r="AX3703" s="46">
        <f t="shared" si="172"/>
        <v>0</v>
      </c>
      <c r="AY3703" s="46">
        <f t="shared" si="173"/>
        <v>0</v>
      </c>
      <c r="AZ3703" s="46">
        <f t="shared" si="174"/>
        <v>0</v>
      </c>
    </row>
    <row r="3704" spans="50:52">
      <c r="AX3704" s="46">
        <f t="shared" si="172"/>
        <v>0</v>
      </c>
      <c r="AY3704" s="46">
        <f t="shared" si="173"/>
        <v>0</v>
      </c>
      <c r="AZ3704" s="46">
        <f t="shared" si="174"/>
        <v>0</v>
      </c>
    </row>
    <row r="3705" spans="50:52">
      <c r="AX3705" s="46">
        <f t="shared" si="172"/>
        <v>0</v>
      </c>
      <c r="AY3705" s="46">
        <f t="shared" si="173"/>
        <v>0</v>
      </c>
      <c r="AZ3705" s="46">
        <f t="shared" si="174"/>
        <v>0</v>
      </c>
    </row>
    <row r="3706" spans="50:52">
      <c r="AX3706" s="46">
        <f t="shared" si="172"/>
        <v>0</v>
      </c>
      <c r="AY3706" s="46">
        <f t="shared" si="173"/>
        <v>0</v>
      </c>
      <c r="AZ3706" s="46">
        <f t="shared" si="174"/>
        <v>0</v>
      </c>
    </row>
    <row r="3707" spans="50:52">
      <c r="AX3707" s="46">
        <f t="shared" si="172"/>
        <v>0</v>
      </c>
      <c r="AY3707" s="46">
        <f t="shared" si="173"/>
        <v>0</v>
      </c>
      <c r="AZ3707" s="46">
        <f t="shared" si="174"/>
        <v>0</v>
      </c>
    </row>
    <row r="3708" spans="50:52">
      <c r="AX3708" s="46">
        <f t="shared" si="172"/>
        <v>0</v>
      </c>
      <c r="AY3708" s="46">
        <f t="shared" si="173"/>
        <v>0</v>
      </c>
      <c r="AZ3708" s="46">
        <f t="shared" si="174"/>
        <v>0</v>
      </c>
    </row>
    <row r="3709" spans="50:52">
      <c r="AX3709" s="46">
        <f t="shared" si="172"/>
        <v>0</v>
      </c>
      <c r="AY3709" s="46">
        <f t="shared" si="173"/>
        <v>0</v>
      </c>
      <c r="AZ3709" s="46">
        <f t="shared" si="174"/>
        <v>0</v>
      </c>
    </row>
    <row r="3710" spans="50:52">
      <c r="AX3710" s="46">
        <f t="shared" si="172"/>
        <v>0</v>
      </c>
      <c r="AY3710" s="46">
        <f t="shared" si="173"/>
        <v>0</v>
      </c>
      <c r="AZ3710" s="46">
        <f t="shared" si="174"/>
        <v>0</v>
      </c>
    </row>
    <row r="3711" spans="50:52">
      <c r="AX3711" s="46">
        <f t="shared" si="172"/>
        <v>0</v>
      </c>
      <c r="AY3711" s="46">
        <f t="shared" si="173"/>
        <v>0</v>
      </c>
      <c r="AZ3711" s="46">
        <f t="shared" si="174"/>
        <v>0</v>
      </c>
    </row>
    <row r="3712" spans="50:52">
      <c r="AX3712" s="46">
        <f t="shared" si="172"/>
        <v>0</v>
      </c>
      <c r="AY3712" s="46">
        <f t="shared" si="173"/>
        <v>0</v>
      </c>
      <c r="AZ3712" s="46">
        <f t="shared" si="174"/>
        <v>0</v>
      </c>
    </row>
    <row r="3713" spans="50:52">
      <c r="AX3713" s="46">
        <f t="shared" si="172"/>
        <v>0</v>
      </c>
      <c r="AY3713" s="46">
        <f t="shared" si="173"/>
        <v>0</v>
      </c>
      <c r="AZ3713" s="46">
        <f t="shared" si="174"/>
        <v>0</v>
      </c>
    </row>
    <row r="3714" spans="50:52">
      <c r="AX3714" s="46">
        <f t="shared" si="172"/>
        <v>0</v>
      </c>
      <c r="AY3714" s="46">
        <f t="shared" si="173"/>
        <v>0</v>
      </c>
      <c r="AZ3714" s="46">
        <f t="shared" si="174"/>
        <v>0</v>
      </c>
    </row>
    <row r="3715" spans="50:52">
      <c r="AX3715" s="46">
        <f t="shared" si="172"/>
        <v>0</v>
      </c>
      <c r="AY3715" s="46">
        <f t="shared" si="173"/>
        <v>0</v>
      </c>
      <c r="AZ3715" s="46">
        <f t="shared" si="174"/>
        <v>0</v>
      </c>
    </row>
    <row r="3716" spans="50:52">
      <c r="AX3716" s="46">
        <f t="shared" si="172"/>
        <v>0</v>
      </c>
      <c r="AY3716" s="46">
        <f t="shared" si="173"/>
        <v>0</v>
      </c>
      <c r="AZ3716" s="46">
        <f t="shared" si="174"/>
        <v>0</v>
      </c>
    </row>
    <row r="3717" spans="50:52">
      <c r="AX3717" s="46">
        <f t="shared" si="172"/>
        <v>0</v>
      </c>
      <c r="AY3717" s="46">
        <f t="shared" si="173"/>
        <v>0</v>
      </c>
      <c r="AZ3717" s="46">
        <f t="shared" si="174"/>
        <v>0</v>
      </c>
    </row>
    <row r="3718" spans="50:52">
      <c r="AX3718" s="46">
        <f t="shared" si="172"/>
        <v>0</v>
      </c>
      <c r="AY3718" s="46">
        <f t="shared" si="173"/>
        <v>0</v>
      </c>
      <c r="AZ3718" s="46">
        <f t="shared" si="174"/>
        <v>0</v>
      </c>
    </row>
    <row r="3719" spans="50:52">
      <c r="AX3719" s="46">
        <f t="shared" si="172"/>
        <v>0</v>
      </c>
      <c r="AY3719" s="46">
        <f t="shared" si="173"/>
        <v>0</v>
      </c>
      <c r="AZ3719" s="46">
        <f t="shared" si="174"/>
        <v>0</v>
      </c>
    </row>
    <row r="3720" spans="50:52">
      <c r="AX3720" s="46">
        <f t="shared" si="172"/>
        <v>0</v>
      </c>
      <c r="AY3720" s="46">
        <f t="shared" si="173"/>
        <v>0</v>
      </c>
      <c r="AZ3720" s="46">
        <f t="shared" si="174"/>
        <v>0</v>
      </c>
    </row>
    <row r="3721" spans="50:52">
      <c r="AX3721" s="46">
        <f t="shared" si="172"/>
        <v>0</v>
      </c>
      <c r="AY3721" s="46">
        <f t="shared" si="173"/>
        <v>0</v>
      </c>
      <c r="AZ3721" s="46">
        <f t="shared" si="174"/>
        <v>0</v>
      </c>
    </row>
    <row r="3722" spans="50:52">
      <c r="AX3722" s="46">
        <f t="shared" si="172"/>
        <v>0</v>
      </c>
      <c r="AY3722" s="46">
        <f t="shared" si="173"/>
        <v>0</v>
      </c>
      <c r="AZ3722" s="46">
        <f t="shared" si="174"/>
        <v>0</v>
      </c>
    </row>
    <row r="3723" spans="50:52">
      <c r="AX3723" s="46">
        <f t="shared" ref="AX3723:AX3786" si="175">IFERROR(SUM(Q3723:AS3723)-SUM(AT3723:AU3723)+AV3723,"-")</f>
        <v>0</v>
      </c>
      <c r="AY3723" s="46">
        <f t="shared" ref="AY3723:AY3786" si="176">IFERROR(SUM(Q3723:AS3723)-SUM(AT3723:AT3723),"-")</f>
        <v>0</v>
      </c>
      <c r="AZ3723" s="46">
        <f t="shared" ref="AZ3723:AZ3786" si="177">SUM(Q3723:AS3723)</f>
        <v>0</v>
      </c>
    </row>
    <row r="3724" spans="50:52">
      <c r="AX3724" s="46">
        <f t="shared" si="175"/>
        <v>0</v>
      </c>
      <c r="AY3724" s="46">
        <f t="shared" si="176"/>
        <v>0</v>
      </c>
      <c r="AZ3724" s="46">
        <f t="shared" si="177"/>
        <v>0</v>
      </c>
    </row>
    <row r="3725" spans="50:52">
      <c r="AX3725" s="46">
        <f t="shared" si="175"/>
        <v>0</v>
      </c>
      <c r="AY3725" s="46">
        <f t="shared" si="176"/>
        <v>0</v>
      </c>
      <c r="AZ3725" s="46">
        <f t="shared" si="177"/>
        <v>0</v>
      </c>
    </row>
    <row r="3726" spans="50:52">
      <c r="AX3726" s="46">
        <f t="shared" si="175"/>
        <v>0</v>
      </c>
      <c r="AY3726" s="46">
        <f t="shared" si="176"/>
        <v>0</v>
      </c>
      <c r="AZ3726" s="46">
        <f t="shared" si="177"/>
        <v>0</v>
      </c>
    </row>
    <row r="3727" spans="50:52">
      <c r="AX3727" s="46">
        <f t="shared" si="175"/>
        <v>0</v>
      </c>
      <c r="AY3727" s="46">
        <f t="shared" si="176"/>
        <v>0</v>
      </c>
      <c r="AZ3727" s="46">
        <f t="shared" si="177"/>
        <v>0</v>
      </c>
    </row>
    <row r="3728" spans="50:52">
      <c r="AX3728" s="46">
        <f t="shared" si="175"/>
        <v>0</v>
      </c>
      <c r="AY3728" s="46">
        <f t="shared" si="176"/>
        <v>0</v>
      </c>
      <c r="AZ3728" s="46">
        <f t="shared" si="177"/>
        <v>0</v>
      </c>
    </row>
    <row r="3729" spans="50:52">
      <c r="AX3729" s="46">
        <f t="shared" si="175"/>
        <v>0</v>
      </c>
      <c r="AY3729" s="46">
        <f t="shared" si="176"/>
        <v>0</v>
      </c>
      <c r="AZ3729" s="46">
        <f t="shared" si="177"/>
        <v>0</v>
      </c>
    </row>
    <row r="3730" spans="50:52">
      <c r="AX3730" s="46">
        <f t="shared" si="175"/>
        <v>0</v>
      </c>
      <c r="AY3730" s="46">
        <f t="shared" si="176"/>
        <v>0</v>
      </c>
      <c r="AZ3730" s="46">
        <f t="shared" si="177"/>
        <v>0</v>
      </c>
    </row>
    <row r="3731" spans="50:52">
      <c r="AX3731" s="46">
        <f t="shared" si="175"/>
        <v>0</v>
      </c>
      <c r="AY3731" s="46">
        <f t="shared" si="176"/>
        <v>0</v>
      </c>
      <c r="AZ3731" s="46">
        <f t="shared" si="177"/>
        <v>0</v>
      </c>
    </row>
    <row r="3732" spans="50:52">
      <c r="AX3732" s="46">
        <f t="shared" si="175"/>
        <v>0</v>
      </c>
      <c r="AY3732" s="46">
        <f t="shared" si="176"/>
        <v>0</v>
      </c>
      <c r="AZ3732" s="46">
        <f t="shared" si="177"/>
        <v>0</v>
      </c>
    </row>
    <row r="3733" spans="50:52">
      <c r="AX3733" s="46">
        <f t="shared" si="175"/>
        <v>0</v>
      </c>
      <c r="AY3733" s="46">
        <f t="shared" si="176"/>
        <v>0</v>
      </c>
      <c r="AZ3733" s="46">
        <f t="shared" si="177"/>
        <v>0</v>
      </c>
    </row>
    <row r="3734" spans="50:52">
      <c r="AX3734" s="46">
        <f t="shared" si="175"/>
        <v>0</v>
      </c>
      <c r="AY3734" s="46">
        <f t="shared" si="176"/>
        <v>0</v>
      </c>
      <c r="AZ3734" s="46">
        <f t="shared" si="177"/>
        <v>0</v>
      </c>
    </row>
    <row r="3735" spans="50:52">
      <c r="AX3735" s="46">
        <f t="shared" si="175"/>
        <v>0</v>
      </c>
      <c r="AY3735" s="46">
        <f t="shared" si="176"/>
        <v>0</v>
      </c>
      <c r="AZ3735" s="46">
        <f t="shared" si="177"/>
        <v>0</v>
      </c>
    </row>
    <row r="3736" spans="50:52">
      <c r="AX3736" s="46">
        <f t="shared" si="175"/>
        <v>0</v>
      </c>
      <c r="AY3736" s="46">
        <f t="shared" si="176"/>
        <v>0</v>
      </c>
      <c r="AZ3736" s="46">
        <f t="shared" si="177"/>
        <v>0</v>
      </c>
    </row>
    <row r="3737" spans="50:52">
      <c r="AX3737" s="46">
        <f t="shared" si="175"/>
        <v>0</v>
      </c>
      <c r="AY3737" s="46">
        <f t="shared" si="176"/>
        <v>0</v>
      </c>
      <c r="AZ3737" s="46">
        <f t="shared" si="177"/>
        <v>0</v>
      </c>
    </row>
    <row r="3738" spans="50:52">
      <c r="AX3738" s="46">
        <f t="shared" si="175"/>
        <v>0</v>
      </c>
      <c r="AY3738" s="46">
        <f t="shared" si="176"/>
        <v>0</v>
      </c>
      <c r="AZ3738" s="46">
        <f t="shared" si="177"/>
        <v>0</v>
      </c>
    </row>
    <row r="3739" spans="50:52">
      <c r="AX3739" s="46">
        <f t="shared" si="175"/>
        <v>0</v>
      </c>
      <c r="AY3739" s="46">
        <f t="shared" si="176"/>
        <v>0</v>
      </c>
      <c r="AZ3739" s="46">
        <f t="shared" si="177"/>
        <v>0</v>
      </c>
    </row>
    <row r="3740" spans="50:52">
      <c r="AX3740" s="46">
        <f t="shared" si="175"/>
        <v>0</v>
      </c>
      <c r="AY3740" s="46">
        <f t="shared" si="176"/>
        <v>0</v>
      </c>
      <c r="AZ3740" s="46">
        <f t="shared" si="177"/>
        <v>0</v>
      </c>
    </row>
    <row r="3741" spans="50:52">
      <c r="AX3741" s="46">
        <f t="shared" si="175"/>
        <v>0</v>
      </c>
      <c r="AY3741" s="46">
        <f t="shared" si="176"/>
        <v>0</v>
      </c>
      <c r="AZ3741" s="46">
        <f t="shared" si="177"/>
        <v>0</v>
      </c>
    </row>
    <row r="3742" spans="50:52">
      <c r="AX3742" s="46">
        <f t="shared" si="175"/>
        <v>0</v>
      </c>
      <c r="AY3742" s="46">
        <f t="shared" si="176"/>
        <v>0</v>
      </c>
      <c r="AZ3742" s="46">
        <f t="shared" si="177"/>
        <v>0</v>
      </c>
    </row>
    <row r="3743" spans="50:52">
      <c r="AX3743" s="46">
        <f t="shared" si="175"/>
        <v>0</v>
      </c>
      <c r="AY3743" s="46">
        <f t="shared" si="176"/>
        <v>0</v>
      </c>
      <c r="AZ3743" s="46">
        <f t="shared" si="177"/>
        <v>0</v>
      </c>
    </row>
    <row r="3744" spans="50:52">
      <c r="AX3744" s="46">
        <f t="shared" si="175"/>
        <v>0</v>
      </c>
      <c r="AY3744" s="46">
        <f t="shared" si="176"/>
        <v>0</v>
      </c>
      <c r="AZ3744" s="46">
        <f t="shared" si="177"/>
        <v>0</v>
      </c>
    </row>
    <row r="3745" spans="50:52">
      <c r="AX3745" s="46">
        <f t="shared" si="175"/>
        <v>0</v>
      </c>
      <c r="AY3745" s="46">
        <f t="shared" si="176"/>
        <v>0</v>
      </c>
      <c r="AZ3745" s="46">
        <f t="shared" si="177"/>
        <v>0</v>
      </c>
    </row>
    <row r="3746" spans="50:52">
      <c r="AX3746" s="46">
        <f t="shared" si="175"/>
        <v>0</v>
      </c>
      <c r="AY3746" s="46">
        <f t="shared" si="176"/>
        <v>0</v>
      </c>
      <c r="AZ3746" s="46">
        <f t="shared" si="177"/>
        <v>0</v>
      </c>
    </row>
    <row r="3747" spans="50:52">
      <c r="AX3747" s="46">
        <f t="shared" si="175"/>
        <v>0</v>
      </c>
      <c r="AY3747" s="46">
        <f t="shared" si="176"/>
        <v>0</v>
      </c>
      <c r="AZ3747" s="46">
        <f t="shared" si="177"/>
        <v>0</v>
      </c>
    </row>
    <row r="3748" spans="50:52">
      <c r="AX3748" s="46">
        <f t="shared" si="175"/>
        <v>0</v>
      </c>
      <c r="AY3748" s="46">
        <f t="shared" si="176"/>
        <v>0</v>
      </c>
      <c r="AZ3748" s="46">
        <f t="shared" si="177"/>
        <v>0</v>
      </c>
    </row>
    <row r="3749" spans="50:52">
      <c r="AX3749" s="46">
        <f t="shared" si="175"/>
        <v>0</v>
      </c>
      <c r="AY3749" s="46">
        <f t="shared" si="176"/>
        <v>0</v>
      </c>
      <c r="AZ3749" s="46">
        <f t="shared" si="177"/>
        <v>0</v>
      </c>
    </row>
    <row r="3750" spans="50:52">
      <c r="AX3750" s="46">
        <f t="shared" si="175"/>
        <v>0</v>
      </c>
      <c r="AY3750" s="46">
        <f t="shared" si="176"/>
        <v>0</v>
      </c>
      <c r="AZ3750" s="46">
        <f t="shared" si="177"/>
        <v>0</v>
      </c>
    </row>
    <row r="3751" spans="50:52">
      <c r="AX3751" s="46">
        <f t="shared" si="175"/>
        <v>0</v>
      </c>
      <c r="AY3751" s="46">
        <f t="shared" si="176"/>
        <v>0</v>
      </c>
      <c r="AZ3751" s="46">
        <f t="shared" si="177"/>
        <v>0</v>
      </c>
    </row>
    <row r="3752" spans="50:52">
      <c r="AX3752" s="46">
        <f t="shared" si="175"/>
        <v>0</v>
      </c>
      <c r="AY3752" s="46">
        <f t="shared" si="176"/>
        <v>0</v>
      </c>
      <c r="AZ3752" s="46">
        <f t="shared" si="177"/>
        <v>0</v>
      </c>
    </row>
    <row r="3753" spans="50:52">
      <c r="AX3753" s="46">
        <f t="shared" si="175"/>
        <v>0</v>
      </c>
      <c r="AY3753" s="46">
        <f t="shared" si="176"/>
        <v>0</v>
      </c>
      <c r="AZ3753" s="46">
        <f t="shared" si="177"/>
        <v>0</v>
      </c>
    </row>
    <row r="3754" spans="50:52">
      <c r="AX3754" s="46">
        <f t="shared" si="175"/>
        <v>0</v>
      </c>
      <c r="AY3754" s="46">
        <f t="shared" si="176"/>
        <v>0</v>
      </c>
      <c r="AZ3754" s="46">
        <f t="shared" si="177"/>
        <v>0</v>
      </c>
    </row>
    <row r="3755" spans="50:52">
      <c r="AX3755" s="46">
        <f t="shared" si="175"/>
        <v>0</v>
      </c>
      <c r="AY3755" s="46">
        <f t="shared" si="176"/>
        <v>0</v>
      </c>
      <c r="AZ3755" s="46">
        <f t="shared" si="177"/>
        <v>0</v>
      </c>
    </row>
    <row r="3756" spans="50:52">
      <c r="AX3756" s="46">
        <f t="shared" si="175"/>
        <v>0</v>
      </c>
      <c r="AY3756" s="46">
        <f t="shared" si="176"/>
        <v>0</v>
      </c>
      <c r="AZ3756" s="46">
        <f t="shared" si="177"/>
        <v>0</v>
      </c>
    </row>
    <row r="3757" spans="50:52">
      <c r="AX3757" s="46">
        <f t="shared" si="175"/>
        <v>0</v>
      </c>
      <c r="AY3757" s="46">
        <f t="shared" si="176"/>
        <v>0</v>
      </c>
      <c r="AZ3757" s="46">
        <f t="shared" si="177"/>
        <v>0</v>
      </c>
    </row>
    <row r="3758" spans="50:52">
      <c r="AX3758" s="46">
        <f t="shared" si="175"/>
        <v>0</v>
      </c>
      <c r="AY3758" s="46">
        <f t="shared" si="176"/>
        <v>0</v>
      </c>
      <c r="AZ3758" s="46">
        <f t="shared" si="177"/>
        <v>0</v>
      </c>
    </row>
    <row r="3759" spans="50:52">
      <c r="AX3759" s="46">
        <f t="shared" si="175"/>
        <v>0</v>
      </c>
      <c r="AY3759" s="46">
        <f t="shared" si="176"/>
        <v>0</v>
      </c>
      <c r="AZ3759" s="46">
        <f t="shared" si="177"/>
        <v>0</v>
      </c>
    </row>
    <row r="3760" spans="50:52">
      <c r="AX3760" s="46">
        <f t="shared" si="175"/>
        <v>0</v>
      </c>
      <c r="AY3760" s="46">
        <f t="shared" si="176"/>
        <v>0</v>
      </c>
      <c r="AZ3760" s="46">
        <f t="shared" si="177"/>
        <v>0</v>
      </c>
    </row>
    <row r="3761" spans="50:52">
      <c r="AX3761" s="46">
        <f t="shared" si="175"/>
        <v>0</v>
      </c>
      <c r="AY3761" s="46">
        <f t="shared" si="176"/>
        <v>0</v>
      </c>
      <c r="AZ3761" s="46">
        <f t="shared" si="177"/>
        <v>0</v>
      </c>
    </row>
    <row r="3762" spans="50:52">
      <c r="AX3762" s="46">
        <f t="shared" si="175"/>
        <v>0</v>
      </c>
      <c r="AY3762" s="46">
        <f t="shared" si="176"/>
        <v>0</v>
      </c>
      <c r="AZ3762" s="46">
        <f t="shared" si="177"/>
        <v>0</v>
      </c>
    </row>
    <row r="3763" spans="50:52">
      <c r="AX3763" s="46">
        <f t="shared" si="175"/>
        <v>0</v>
      </c>
      <c r="AY3763" s="46">
        <f t="shared" si="176"/>
        <v>0</v>
      </c>
      <c r="AZ3763" s="46">
        <f t="shared" si="177"/>
        <v>0</v>
      </c>
    </row>
    <row r="3764" spans="50:52">
      <c r="AX3764" s="46">
        <f t="shared" si="175"/>
        <v>0</v>
      </c>
      <c r="AY3764" s="46">
        <f t="shared" si="176"/>
        <v>0</v>
      </c>
      <c r="AZ3764" s="46">
        <f t="shared" si="177"/>
        <v>0</v>
      </c>
    </row>
    <row r="3765" spans="50:52">
      <c r="AX3765" s="46">
        <f t="shared" si="175"/>
        <v>0</v>
      </c>
      <c r="AY3765" s="46">
        <f t="shared" si="176"/>
        <v>0</v>
      </c>
      <c r="AZ3765" s="46">
        <f t="shared" si="177"/>
        <v>0</v>
      </c>
    </row>
    <row r="3766" spans="50:52">
      <c r="AX3766" s="46">
        <f t="shared" si="175"/>
        <v>0</v>
      </c>
      <c r="AY3766" s="46">
        <f t="shared" si="176"/>
        <v>0</v>
      </c>
      <c r="AZ3766" s="46">
        <f t="shared" si="177"/>
        <v>0</v>
      </c>
    </row>
    <row r="3767" spans="50:52">
      <c r="AX3767" s="46">
        <f t="shared" si="175"/>
        <v>0</v>
      </c>
      <c r="AY3767" s="46">
        <f t="shared" si="176"/>
        <v>0</v>
      </c>
      <c r="AZ3767" s="46">
        <f t="shared" si="177"/>
        <v>0</v>
      </c>
    </row>
    <row r="3768" spans="50:52">
      <c r="AX3768" s="46">
        <f t="shared" si="175"/>
        <v>0</v>
      </c>
      <c r="AY3768" s="46">
        <f t="shared" si="176"/>
        <v>0</v>
      </c>
      <c r="AZ3768" s="46">
        <f t="shared" si="177"/>
        <v>0</v>
      </c>
    </row>
    <row r="3769" spans="50:52">
      <c r="AX3769" s="46">
        <f t="shared" si="175"/>
        <v>0</v>
      </c>
      <c r="AY3769" s="46">
        <f t="shared" si="176"/>
        <v>0</v>
      </c>
      <c r="AZ3769" s="46">
        <f t="shared" si="177"/>
        <v>0</v>
      </c>
    </row>
    <row r="3770" spans="50:52">
      <c r="AX3770" s="46">
        <f t="shared" si="175"/>
        <v>0</v>
      </c>
      <c r="AY3770" s="46">
        <f t="shared" si="176"/>
        <v>0</v>
      </c>
      <c r="AZ3770" s="46">
        <f t="shared" si="177"/>
        <v>0</v>
      </c>
    </row>
    <row r="3771" spans="50:52">
      <c r="AX3771" s="46">
        <f t="shared" si="175"/>
        <v>0</v>
      </c>
      <c r="AY3771" s="46">
        <f t="shared" si="176"/>
        <v>0</v>
      </c>
      <c r="AZ3771" s="46">
        <f t="shared" si="177"/>
        <v>0</v>
      </c>
    </row>
    <row r="3772" spans="50:52">
      <c r="AX3772" s="46">
        <f t="shared" si="175"/>
        <v>0</v>
      </c>
      <c r="AY3772" s="46">
        <f t="shared" si="176"/>
        <v>0</v>
      </c>
      <c r="AZ3772" s="46">
        <f t="shared" si="177"/>
        <v>0</v>
      </c>
    </row>
    <row r="3773" spans="50:52">
      <c r="AX3773" s="46">
        <f t="shared" si="175"/>
        <v>0</v>
      </c>
      <c r="AY3773" s="46">
        <f t="shared" si="176"/>
        <v>0</v>
      </c>
      <c r="AZ3773" s="46">
        <f t="shared" si="177"/>
        <v>0</v>
      </c>
    </row>
    <row r="3774" spans="50:52">
      <c r="AX3774" s="46">
        <f t="shared" si="175"/>
        <v>0</v>
      </c>
      <c r="AY3774" s="46">
        <f t="shared" si="176"/>
        <v>0</v>
      </c>
      <c r="AZ3774" s="46">
        <f t="shared" si="177"/>
        <v>0</v>
      </c>
    </row>
    <row r="3775" spans="50:52">
      <c r="AX3775" s="46">
        <f t="shared" si="175"/>
        <v>0</v>
      </c>
      <c r="AY3775" s="46">
        <f t="shared" si="176"/>
        <v>0</v>
      </c>
      <c r="AZ3775" s="46">
        <f t="shared" si="177"/>
        <v>0</v>
      </c>
    </row>
    <row r="3776" spans="50:52">
      <c r="AX3776" s="46">
        <f t="shared" si="175"/>
        <v>0</v>
      </c>
      <c r="AY3776" s="46">
        <f t="shared" si="176"/>
        <v>0</v>
      </c>
      <c r="AZ3776" s="46">
        <f t="shared" si="177"/>
        <v>0</v>
      </c>
    </row>
    <row r="3777" spans="50:52">
      <c r="AX3777" s="46">
        <f t="shared" si="175"/>
        <v>0</v>
      </c>
      <c r="AY3777" s="46">
        <f t="shared" si="176"/>
        <v>0</v>
      </c>
      <c r="AZ3777" s="46">
        <f t="shared" si="177"/>
        <v>0</v>
      </c>
    </row>
    <row r="3778" spans="50:52">
      <c r="AX3778" s="46">
        <f t="shared" si="175"/>
        <v>0</v>
      </c>
      <c r="AY3778" s="46">
        <f t="shared" si="176"/>
        <v>0</v>
      </c>
      <c r="AZ3778" s="46">
        <f t="shared" si="177"/>
        <v>0</v>
      </c>
    </row>
    <row r="3779" spans="50:52">
      <c r="AX3779" s="46">
        <f t="shared" si="175"/>
        <v>0</v>
      </c>
      <c r="AY3779" s="46">
        <f t="shared" si="176"/>
        <v>0</v>
      </c>
      <c r="AZ3779" s="46">
        <f t="shared" si="177"/>
        <v>0</v>
      </c>
    </row>
    <row r="3780" spans="50:52">
      <c r="AX3780" s="46">
        <f t="shared" si="175"/>
        <v>0</v>
      </c>
      <c r="AY3780" s="46">
        <f t="shared" si="176"/>
        <v>0</v>
      </c>
      <c r="AZ3780" s="46">
        <f t="shared" si="177"/>
        <v>0</v>
      </c>
    </row>
    <row r="3781" spans="50:52">
      <c r="AX3781" s="46">
        <f t="shared" si="175"/>
        <v>0</v>
      </c>
      <c r="AY3781" s="46">
        <f t="shared" si="176"/>
        <v>0</v>
      </c>
      <c r="AZ3781" s="46">
        <f t="shared" si="177"/>
        <v>0</v>
      </c>
    </row>
    <row r="3782" spans="50:52">
      <c r="AX3782" s="46">
        <f t="shared" si="175"/>
        <v>0</v>
      </c>
      <c r="AY3782" s="46">
        <f t="shared" si="176"/>
        <v>0</v>
      </c>
      <c r="AZ3782" s="46">
        <f t="shared" si="177"/>
        <v>0</v>
      </c>
    </row>
    <row r="3783" spans="50:52">
      <c r="AX3783" s="46">
        <f t="shared" si="175"/>
        <v>0</v>
      </c>
      <c r="AY3783" s="46">
        <f t="shared" si="176"/>
        <v>0</v>
      </c>
      <c r="AZ3783" s="46">
        <f t="shared" si="177"/>
        <v>0</v>
      </c>
    </row>
    <row r="3784" spans="50:52">
      <c r="AX3784" s="46">
        <f t="shared" si="175"/>
        <v>0</v>
      </c>
      <c r="AY3784" s="46">
        <f t="shared" si="176"/>
        <v>0</v>
      </c>
      <c r="AZ3784" s="46">
        <f t="shared" si="177"/>
        <v>0</v>
      </c>
    </row>
    <row r="3785" spans="50:52">
      <c r="AX3785" s="46">
        <f t="shared" si="175"/>
        <v>0</v>
      </c>
      <c r="AY3785" s="46">
        <f t="shared" si="176"/>
        <v>0</v>
      </c>
      <c r="AZ3785" s="46">
        <f t="shared" si="177"/>
        <v>0</v>
      </c>
    </row>
    <row r="3786" spans="50:52">
      <c r="AX3786" s="46">
        <f t="shared" si="175"/>
        <v>0</v>
      </c>
      <c r="AY3786" s="46">
        <f t="shared" si="176"/>
        <v>0</v>
      </c>
      <c r="AZ3786" s="46">
        <f t="shared" si="177"/>
        <v>0</v>
      </c>
    </row>
    <row r="3787" spans="50:52">
      <c r="AX3787" s="46">
        <f t="shared" ref="AX3787:AX3850" si="178">IFERROR(SUM(Q3787:AS3787)-SUM(AT3787:AU3787)+AV3787,"-")</f>
        <v>0</v>
      </c>
      <c r="AY3787" s="46">
        <f t="shared" ref="AY3787:AY3850" si="179">IFERROR(SUM(Q3787:AS3787)-SUM(AT3787:AT3787),"-")</f>
        <v>0</v>
      </c>
      <c r="AZ3787" s="46">
        <f t="shared" ref="AZ3787:AZ3850" si="180">SUM(Q3787:AS3787)</f>
        <v>0</v>
      </c>
    </row>
    <row r="3788" spans="50:52">
      <c r="AX3788" s="46">
        <f t="shared" si="178"/>
        <v>0</v>
      </c>
      <c r="AY3788" s="46">
        <f t="shared" si="179"/>
        <v>0</v>
      </c>
      <c r="AZ3788" s="46">
        <f t="shared" si="180"/>
        <v>0</v>
      </c>
    </row>
    <row r="3789" spans="50:52">
      <c r="AX3789" s="46">
        <f t="shared" si="178"/>
        <v>0</v>
      </c>
      <c r="AY3789" s="46">
        <f t="shared" si="179"/>
        <v>0</v>
      </c>
      <c r="AZ3789" s="46">
        <f t="shared" si="180"/>
        <v>0</v>
      </c>
    </row>
    <row r="3790" spans="50:52">
      <c r="AX3790" s="46">
        <f t="shared" si="178"/>
        <v>0</v>
      </c>
      <c r="AY3790" s="46">
        <f t="shared" si="179"/>
        <v>0</v>
      </c>
      <c r="AZ3790" s="46">
        <f t="shared" si="180"/>
        <v>0</v>
      </c>
    </row>
    <row r="3791" spans="50:52">
      <c r="AX3791" s="46">
        <f t="shared" si="178"/>
        <v>0</v>
      </c>
      <c r="AY3791" s="46">
        <f t="shared" si="179"/>
        <v>0</v>
      </c>
      <c r="AZ3791" s="46">
        <f t="shared" si="180"/>
        <v>0</v>
      </c>
    </row>
    <row r="3792" spans="50:52">
      <c r="AX3792" s="46">
        <f t="shared" si="178"/>
        <v>0</v>
      </c>
      <c r="AY3792" s="46">
        <f t="shared" si="179"/>
        <v>0</v>
      </c>
      <c r="AZ3792" s="46">
        <f t="shared" si="180"/>
        <v>0</v>
      </c>
    </row>
    <row r="3793" spans="50:52">
      <c r="AX3793" s="46">
        <f t="shared" si="178"/>
        <v>0</v>
      </c>
      <c r="AY3793" s="46">
        <f t="shared" si="179"/>
        <v>0</v>
      </c>
      <c r="AZ3793" s="46">
        <f t="shared" si="180"/>
        <v>0</v>
      </c>
    </row>
    <row r="3794" spans="50:52">
      <c r="AX3794" s="46">
        <f t="shared" si="178"/>
        <v>0</v>
      </c>
      <c r="AY3794" s="46">
        <f t="shared" si="179"/>
        <v>0</v>
      </c>
      <c r="AZ3794" s="46">
        <f t="shared" si="180"/>
        <v>0</v>
      </c>
    </row>
    <row r="3795" spans="50:52">
      <c r="AX3795" s="46">
        <f t="shared" si="178"/>
        <v>0</v>
      </c>
      <c r="AY3795" s="46">
        <f t="shared" si="179"/>
        <v>0</v>
      </c>
      <c r="AZ3795" s="46">
        <f t="shared" si="180"/>
        <v>0</v>
      </c>
    </row>
    <row r="3796" spans="50:52">
      <c r="AX3796" s="46">
        <f t="shared" si="178"/>
        <v>0</v>
      </c>
      <c r="AY3796" s="46">
        <f t="shared" si="179"/>
        <v>0</v>
      </c>
      <c r="AZ3796" s="46">
        <f t="shared" si="180"/>
        <v>0</v>
      </c>
    </row>
    <row r="3797" spans="50:52">
      <c r="AX3797" s="46">
        <f t="shared" si="178"/>
        <v>0</v>
      </c>
      <c r="AY3797" s="46">
        <f t="shared" si="179"/>
        <v>0</v>
      </c>
      <c r="AZ3797" s="46">
        <f t="shared" si="180"/>
        <v>0</v>
      </c>
    </row>
    <row r="3798" spans="50:52">
      <c r="AX3798" s="46">
        <f t="shared" si="178"/>
        <v>0</v>
      </c>
      <c r="AY3798" s="46">
        <f t="shared" si="179"/>
        <v>0</v>
      </c>
      <c r="AZ3798" s="46">
        <f t="shared" si="180"/>
        <v>0</v>
      </c>
    </row>
    <row r="3799" spans="50:52">
      <c r="AX3799" s="46">
        <f t="shared" si="178"/>
        <v>0</v>
      </c>
      <c r="AY3799" s="46">
        <f t="shared" si="179"/>
        <v>0</v>
      </c>
      <c r="AZ3799" s="46">
        <f t="shared" si="180"/>
        <v>0</v>
      </c>
    </row>
    <row r="3800" spans="50:52">
      <c r="AX3800" s="46">
        <f t="shared" si="178"/>
        <v>0</v>
      </c>
      <c r="AY3800" s="46">
        <f t="shared" si="179"/>
        <v>0</v>
      </c>
      <c r="AZ3800" s="46">
        <f t="shared" si="180"/>
        <v>0</v>
      </c>
    </row>
    <row r="3801" spans="50:52">
      <c r="AX3801" s="46">
        <f t="shared" si="178"/>
        <v>0</v>
      </c>
      <c r="AY3801" s="46">
        <f t="shared" si="179"/>
        <v>0</v>
      </c>
      <c r="AZ3801" s="46">
        <f t="shared" si="180"/>
        <v>0</v>
      </c>
    </row>
    <row r="3802" spans="50:52">
      <c r="AX3802" s="46">
        <f t="shared" si="178"/>
        <v>0</v>
      </c>
      <c r="AY3802" s="46">
        <f t="shared" si="179"/>
        <v>0</v>
      </c>
      <c r="AZ3802" s="46">
        <f t="shared" si="180"/>
        <v>0</v>
      </c>
    </row>
    <row r="3803" spans="50:52">
      <c r="AX3803" s="46">
        <f t="shared" si="178"/>
        <v>0</v>
      </c>
      <c r="AY3803" s="46">
        <f t="shared" si="179"/>
        <v>0</v>
      </c>
      <c r="AZ3803" s="46">
        <f t="shared" si="180"/>
        <v>0</v>
      </c>
    </row>
    <row r="3804" spans="50:52">
      <c r="AX3804" s="46">
        <f t="shared" si="178"/>
        <v>0</v>
      </c>
      <c r="AY3804" s="46">
        <f t="shared" si="179"/>
        <v>0</v>
      </c>
      <c r="AZ3804" s="46">
        <f t="shared" si="180"/>
        <v>0</v>
      </c>
    </row>
    <row r="3805" spans="50:52">
      <c r="AX3805" s="46">
        <f t="shared" si="178"/>
        <v>0</v>
      </c>
      <c r="AY3805" s="46">
        <f t="shared" si="179"/>
        <v>0</v>
      </c>
      <c r="AZ3805" s="46">
        <f t="shared" si="180"/>
        <v>0</v>
      </c>
    </row>
    <row r="3806" spans="50:52">
      <c r="AX3806" s="46">
        <f t="shared" si="178"/>
        <v>0</v>
      </c>
      <c r="AY3806" s="46">
        <f t="shared" si="179"/>
        <v>0</v>
      </c>
      <c r="AZ3806" s="46">
        <f t="shared" si="180"/>
        <v>0</v>
      </c>
    </row>
    <row r="3807" spans="50:52">
      <c r="AX3807" s="46">
        <f t="shared" si="178"/>
        <v>0</v>
      </c>
      <c r="AY3807" s="46">
        <f t="shared" si="179"/>
        <v>0</v>
      </c>
      <c r="AZ3807" s="46">
        <f t="shared" si="180"/>
        <v>0</v>
      </c>
    </row>
    <row r="3808" spans="50:52">
      <c r="AX3808" s="46">
        <f t="shared" si="178"/>
        <v>0</v>
      </c>
      <c r="AY3808" s="46">
        <f t="shared" si="179"/>
        <v>0</v>
      </c>
      <c r="AZ3808" s="46">
        <f t="shared" si="180"/>
        <v>0</v>
      </c>
    </row>
    <row r="3809" spans="50:52">
      <c r="AX3809" s="46">
        <f t="shared" si="178"/>
        <v>0</v>
      </c>
      <c r="AY3809" s="46">
        <f t="shared" si="179"/>
        <v>0</v>
      </c>
      <c r="AZ3809" s="46">
        <f t="shared" si="180"/>
        <v>0</v>
      </c>
    </row>
    <row r="3810" spans="50:52">
      <c r="AX3810" s="46">
        <f t="shared" si="178"/>
        <v>0</v>
      </c>
      <c r="AY3810" s="46">
        <f t="shared" si="179"/>
        <v>0</v>
      </c>
      <c r="AZ3810" s="46">
        <f t="shared" si="180"/>
        <v>0</v>
      </c>
    </row>
    <row r="3811" spans="50:52">
      <c r="AX3811" s="46">
        <f t="shared" si="178"/>
        <v>0</v>
      </c>
      <c r="AY3811" s="46">
        <f t="shared" si="179"/>
        <v>0</v>
      </c>
      <c r="AZ3811" s="46">
        <f t="shared" si="180"/>
        <v>0</v>
      </c>
    </row>
    <row r="3812" spans="50:52">
      <c r="AX3812" s="46">
        <f t="shared" si="178"/>
        <v>0</v>
      </c>
      <c r="AY3812" s="46">
        <f t="shared" si="179"/>
        <v>0</v>
      </c>
      <c r="AZ3812" s="46">
        <f t="shared" si="180"/>
        <v>0</v>
      </c>
    </row>
    <row r="3813" spans="50:52">
      <c r="AX3813" s="46">
        <f t="shared" si="178"/>
        <v>0</v>
      </c>
      <c r="AY3813" s="46">
        <f t="shared" si="179"/>
        <v>0</v>
      </c>
      <c r="AZ3813" s="46">
        <f t="shared" si="180"/>
        <v>0</v>
      </c>
    </row>
    <row r="3814" spans="50:52">
      <c r="AX3814" s="46">
        <f t="shared" si="178"/>
        <v>0</v>
      </c>
      <c r="AY3814" s="46">
        <f t="shared" si="179"/>
        <v>0</v>
      </c>
      <c r="AZ3814" s="46">
        <f t="shared" si="180"/>
        <v>0</v>
      </c>
    </row>
    <row r="3815" spans="50:52">
      <c r="AX3815" s="46">
        <f t="shared" si="178"/>
        <v>0</v>
      </c>
      <c r="AY3815" s="46">
        <f t="shared" si="179"/>
        <v>0</v>
      </c>
      <c r="AZ3815" s="46">
        <f t="shared" si="180"/>
        <v>0</v>
      </c>
    </row>
    <row r="3816" spans="50:52">
      <c r="AX3816" s="46">
        <f t="shared" si="178"/>
        <v>0</v>
      </c>
      <c r="AY3816" s="46">
        <f t="shared" si="179"/>
        <v>0</v>
      </c>
      <c r="AZ3816" s="46">
        <f t="shared" si="180"/>
        <v>0</v>
      </c>
    </row>
    <row r="3817" spans="50:52">
      <c r="AX3817" s="46">
        <f t="shared" si="178"/>
        <v>0</v>
      </c>
      <c r="AY3817" s="46">
        <f t="shared" si="179"/>
        <v>0</v>
      </c>
      <c r="AZ3817" s="46">
        <f t="shared" si="180"/>
        <v>0</v>
      </c>
    </row>
    <row r="3818" spans="50:52">
      <c r="AX3818" s="46">
        <f t="shared" si="178"/>
        <v>0</v>
      </c>
      <c r="AY3818" s="46">
        <f t="shared" si="179"/>
        <v>0</v>
      </c>
      <c r="AZ3818" s="46">
        <f t="shared" si="180"/>
        <v>0</v>
      </c>
    </row>
    <row r="3819" spans="50:52">
      <c r="AX3819" s="46">
        <f t="shared" si="178"/>
        <v>0</v>
      </c>
      <c r="AY3819" s="46">
        <f t="shared" si="179"/>
        <v>0</v>
      </c>
      <c r="AZ3819" s="46">
        <f t="shared" si="180"/>
        <v>0</v>
      </c>
    </row>
    <row r="3820" spans="50:52">
      <c r="AX3820" s="46">
        <f t="shared" si="178"/>
        <v>0</v>
      </c>
      <c r="AY3820" s="46">
        <f t="shared" si="179"/>
        <v>0</v>
      </c>
      <c r="AZ3820" s="46">
        <f t="shared" si="180"/>
        <v>0</v>
      </c>
    </row>
    <row r="3821" spans="50:52">
      <c r="AX3821" s="46">
        <f t="shared" si="178"/>
        <v>0</v>
      </c>
      <c r="AY3821" s="46">
        <f t="shared" si="179"/>
        <v>0</v>
      </c>
      <c r="AZ3821" s="46">
        <f t="shared" si="180"/>
        <v>0</v>
      </c>
    </row>
    <row r="3822" spans="50:52">
      <c r="AX3822" s="46">
        <f t="shared" si="178"/>
        <v>0</v>
      </c>
      <c r="AY3822" s="46">
        <f t="shared" si="179"/>
        <v>0</v>
      </c>
      <c r="AZ3822" s="46">
        <f t="shared" si="180"/>
        <v>0</v>
      </c>
    </row>
    <row r="3823" spans="50:52">
      <c r="AX3823" s="46">
        <f t="shared" si="178"/>
        <v>0</v>
      </c>
      <c r="AY3823" s="46">
        <f t="shared" si="179"/>
        <v>0</v>
      </c>
      <c r="AZ3823" s="46">
        <f t="shared" si="180"/>
        <v>0</v>
      </c>
    </row>
    <row r="3824" spans="50:52">
      <c r="AX3824" s="46">
        <f t="shared" si="178"/>
        <v>0</v>
      </c>
      <c r="AY3824" s="46">
        <f t="shared" si="179"/>
        <v>0</v>
      </c>
      <c r="AZ3824" s="46">
        <f t="shared" si="180"/>
        <v>0</v>
      </c>
    </row>
    <row r="3825" spans="50:52">
      <c r="AX3825" s="46">
        <f t="shared" si="178"/>
        <v>0</v>
      </c>
      <c r="AY3825" s="46">
        <f t="shared" si="179"/>
        <v>0</v>
      </c>
      <c r="AZ3825" s="46">
        <f t="shared" si="180"/>
        <v>0</v>
      </c>
    </row>
    <row r="3826" spans="50:52">
      <c r="AX3826" s="46">
        <f t="shared" si="178"/>
        <v>0</v>
      </c>
      <c r="AY3826" s="46">
        <f t="shared" si="179"/>
        <v>0</v>
      </c>
      <c r="AZ3826" s="46">
        <f t="shared" si="180"/>
        <v>0</v>
      </c>
    </row>
    <row r="3827" spans="50:52">
      <c r="AX3827" s="46">
        <f t="shared" si="178"/>
        <v>0</v>
      </c>
      <c r="AY3827" s="46">
        <f t="shared" si="179"/>
        <v>0</v>
      </c>
      <c r="AZ3827" s="46">
        <f t="shared" si="180"/>
        <v>0</v>
      </c>
    </row>
    <row r="3828" spans="50:52">
      <c r="AX3828" s="46">
        <f t="shared" si="178"/>
        <v>0</v>
      </c>
      <c r="AY3828" s="46">
        <f t="shared" si="179"/>
        <v>0</v>
      </c>
      <c r="AZ3828" s="46">
        <f t="shared" si="180"/>
        <v>0</v>
      </c>
    </row>
    <row r="3829" spans="50:52">
      <c r="AX3829" s="46">
        <f t="shared" si="178"/>
        <v>0</v>
      </c>
      <c r="AY3829" s="46">
        <f t="shared" si="179"/>
        <v>0</v>
      </c>
      <c r="AZ3829" s="46">
        <f t="shared" si="180"/>
        <v>0</v>
      </c>
    </row>
    <row r="3830" spans="50:52">
      <c r="AX3830" s="46">
        <f t="shared" si="178"/>
        <v>0</v>
      </c>
      <c r="AY3830" s="46">
        <f t="shared" si="179"/>
        <v>0</v>
      </c>
      <c r="AZ3830" s="46">
        <f t="shared" si="180"/>
        <v>0</v>
      </c>
    </row>
    <row r="3831" spans="50:52">
      <c r="AX3831" s="46">
        <f t="shared" si="178"/>
        <v>0</v>
      </c>
      <c r="AY3831" s="46">
        <f t="shared" si="179"/>
        <v>0</v>
      </c>
      <c r="AZ3831" s="46">
        <f t="shared" si="180"/>
        <v>0</v>
      </c>
    </row>
    <row r="3832" spans="50:52">
      <c r="AX3832" s="46">
        <f t="shared" si="178"/>
        <v>0</v>
      </c>
      <c r="AY3832" s="46">
        <f t="shared" si="179"/>
        <v>0</v>
      </c>
      <c r="AZ3832" s="46">
        <f t="shared" si="180"/>
        <v>0</v>
      </c>
    </row>
    <row r="3833" spans="50:52">
      <c r="AX3833" s="46">
        <f t="shared" si="178"/>
        <v>0</v>
      </c>
      <c r="AY3833" s="46">
        <f t="shared" si="179"/>
        <v>0</v>
      </c>
      <c r="AZ3833" s="46">
        <f t="shared" si="180"/>
        <v>0</v>
      </c>
    </row>
    <row r="3834" spans="50:52">
      <c r="AX3834" s="46">
        <f t="shared" si="178"/>
        <v>0</v>
      </c>
      <c r="AY3834" s="46">
        <f t="shared" si="179"/>
        <v>0</v>
      </c>
      <c r="AZ3834" s="46">
        <f t="shared" si="180"/>
        <v>0</v>
      </c>
    </row>
    <row r="3835" spans="50:52">
      <c r="AX3835" s="46">
        <f t="shared" si="178"/>
        <v>0</v>
      </c>
      <c r="AY3835" s="46">
        <f t="shared" si="179"/>
        <v>0</v>
      </c>
      <c r="AZ3835" s="46">
        <f t="shared" si="180"/>
        <v>0</v>
      </c>
    </row>
    <row r="3836" spans="50:52">
      <c r="AX3836" s="46">
        <f t="shared" si="178"/>
        <v>0</v>
      </c>
      <c r="AY3836" s="46">
        <f t="shared" si="179"/>
        <v>0</v>
      </c>
      <c r="AZ3836" s="46">
        <f t="shared" si="180"/>
        <v>0</v>
      </c>
    </row>
    <row r="3837" spans="50:52">
      <c r="AX3837" s="46">
        <f t="shared" si="178"/>
        <v>0</v>
      </c>
      <c r="AY3837" s="46">
        <f t="shared" si="179"/>
        <v>0</v>
      </c>
      <c r="AZ3837" s="46">
        <f t="shared" si="180"/>
        <v>0</v>
      </c>
    </row>
    <row r="3838" spans="50:52">
      <c r="AX3838" s="46">
        <f t="shared" si="178"/>
        <v>0</v>
      </c>
      <c r="AY3838" s="46">
        <f t="shared" si="179"/>
        <v>0</v>
      </c>
      <c r="AZ3838" s="46">
        <f t="shared" si="180"/>
        <v>0</v>
      </c>
    </row>
    <row r="3839" spans="50:52">
      <c r="AX3839" s="46">
        <f t="shared" si="178"/>
        <v>0</v>
      </c>
      <c r="AY3839" s="46">
        <f t="shared" si="179"/>
        <v>0</v>
      </c>
      <c r="AZ3839" s="46">
        <f t="shared" si="180"/>
        <v>0</v>
      </c>
    </row>
    <row r="3840" spans="50:52">
      <c r="AX3840" s="46">
        <f t="shared" si="178"/>
        <v>0</v>
      </c>
      <c r="AY3840" s="46">
        <f t="shared" si="179"/>
        <v>0</v>
      </c>
      <c r="AZ3840" s="46">
        <f t="shared" si="180"/>
        <v>0</v>
      </c>
    </row>
    <row r="3841" spans="50:52">
      <c r="AX3841" s="46">
        <f t="shared" si="178"/>
        <v>0</v>
      </c>
      <c r="AY3841" s="46">
        <f t="shared" si="179"/>
        <v>0</v>
      </c>
      <c r="AZ3841" s="46">
        <f t="shared" si="180"/>
        <v>0</v>
      </c>
    </row>
    <row r="3842" spans="50:52">
      <c r="AX3842" s="46">
        <f t="shared" si="178"/>
        <v>0</v>
      </c>
      <c r="AY3842" s="46">
        <f t="shared" si="179"/>
        <v>0</v>
      </c>
      <c r="AZ3842" s="46">
        <f t="shared" si="180"/>
        <v>0</v>
      </c>
    </row>
    <row r="3843" spans="50:52">
      <c r="AX3843" s="46">
        <f t="shared" si="178"/>
        <v>0</v>
      </c>
      <c r="AY3843" s="46">
        <f t="shared" si="179"/>
        <v>0</v>
      </c>
      <c r="AZ3843" s="46">
        <f t="shared" si="180"/>
        <v>0</v>
      </c>
    </row>
    <row r="3844" spans="50:52">
      <c r="AX3844" s="46">
        <f t="shared" si="178"/>
        <v>0</v>
      </c>
      <c r="AY3844" s="46">
        <f t="shared" si="179"/>
        <v>0</v>
      </c>
      <c r="AZ3844" s="46">
        <f t="shared" si="180"/>
        <v>0</v>
      </c>
    </row>
    <row r="3845" spans="50:52">
      <c r="AX3845" s="46">
        <f t="shared" si="178"/>
        <v>0</v>
      </c>
      <c r="AY3845" s="46">
        <f t="shared" si="179"/>
        <v>0</v>
      </c>
      <c r="AZ3845" s="46">
        <f t="shared" si="180"/>
        <v>0</v>
      </c>
    </row>
    <row r="3846" spans="50:52">
      <c r="AX3846" s="46">
        <f t="shared" si="178"/>
        <v>0</v>
      </c>
      <c r="AY3846" s="46">
        <f t="shared" si="179"/>
        <v>0</v>
      </c>
      <c r="AZ3846" s="46">
        <f t="shared" si="180"/>
        <v>0</v>
      </c>
    </row>
    <row r="3847" spans="50:52">
      <c r="AX3847" s="46">
        <f t="shared" si="178"/>
        <v>0</v>
      </c>
      <c r="AY3847" s="46">
        <f t="shared" si="179"/>
        <v>0</v>
      </c>
      <c r="AZ3847" s="46">
        <f t="shared" si="180"/>
        <v>0</v>
      </c>
    </row>
    <row r="3848" spans="50:52">
      <c r="AX3848" s="46">
        <f t="shared" si="178"/>
        <v>0</v>
      </c>
      <c r="AY3848" s="46">
        <f t="shared" si="179"/>
        <v>0</v>
      </c>
      <c r="AZ3848" s="46">
        <f t="shared" si="180"/>
        <v>0</v>
      </c>
    </row>
    <row r="3849" spans="50:52">
      <c r="AX3849" s="46">
        <f t="shared" si="178"/>
        <v>0</v>
      </c>
      <c r="AY3849" s="46">
        <f t="shared" si="179"/>
        <v>0</v>
      </c>
      <c r="AZ3849" s="46">
        <f t="shared" si="180"/>
        <v>0</v>
      </c>
    </row>
    <row r="3850" spans="50:52">
      <c r="AX3850" s="46">
        <f t="shared" si="178"/>
        <v>0</v>
      </c>
      <c r="AY3850" s="46">
        <f t="shared" si="179"/>
        <v>0</v>
      </c>
      <c r="AZ3850" s="46">
        <f t="shared" si="180"/>
        <v>0</v>
      </c>
    </row>
    <row r="3851" spans="50:52">
      <c r="AX3851" s="46">
        <f t="shared" ref="AX3851:AX3914" si="181">IFERROR(SUM(Q3851:AS3851)-SUM(AT3851:AU3851)+AV3851,"-")</f>
        <v>0</v>
      </c>
      <c r="AY3851" s="46">
        <f t="shared" ref="AY3851:AY3914" si="182">IFERROR(SUM(Q3851:AS3851)-SUM(AT3851:AT3851),"-")</f>
        <v>0</v>
      </c>
      <c r="AZ3851" s="46">
        <f t="shared" ref="AZ3851:AZ3914" si="183">SUM(Q3851:AS3851)</f>
        <v>0</v>
      </c>
    </row>
    <row r="3852" spans="50:52">
      <c r="AX3852" s="46">
        <f t="shared" si="181"/>
        <v>0</v>
      </c>
      <c r="AY3852" s="46">
        <f t="shared" si="182"/>
        <v>0</v>
      </c>
      <c r="AZ3852" s="46">
        <f t="shared" si="183"/>
        <v>0</v>
      </c>
    </row>
    <row r="3853" spans="50:52">
      <c r="AX3853" s="46">
        <f t="shared" si="181"/>
        <v>0</v>
      </c>
      <c r="AY3853" s="46">
        <f t="shared" si="182"/>
        <v>0</v>
      </c>
      <c r="AZ3853" s="46">
        <f t="shared" si="183"/>
        <v>0</v>
      </c>
    </row>
    <row r="3854" spans="50:52">
      <c r="AX3854" s="46">
        <f t="shared" si="181"/>
        <v>0</v>
      </c>
      <c r="AY3854" s="46">
        <f t="shared" si="182"/>
        <v>0</v>
      </c>
      <c r="AZ3854" s="46">
        <f t="shared" si="183"/>
        <v>0</v>
      </c>
    </row>
    <row r="3855" spans="50:52">
      <c r="AX3855" s="46">
        <f t="shared" si="181"/>
        <v>0</v>
      </c>
      <c r="AY3855" s="46">
        <f t="shared" si="182"/>
        <v>0</v>
      </c>
      <c r="AZ3855" s="46">
        <f t="shared" si="183"/>
        <v>0</v>
      </c>
    </row>
    <row r="3856" spans="50:52">
      <c r="AX3856" s="46">
        <f t="shared" si="181"/>
        <v>0</v>
      </c>
      <c r="AY3856" s="46">
        <f t="shared" si="182"/>
        <v>0</v>
      </c>
      <c r="AZ3856" s="46">
        <f t="shared" si="183"/>
        <v>0</v>
      </c>
    </row>
    <row r="3857" spans="50:52">
      <c r="AX3857" s="46">
        <f t="shared" si="181"/>
        <v>0</v>
      </c>
      <c r="AY3857" s="46">
        <f t="shared" si="182"/>
        <v>0</v>
      </c>
      <c r="AZ3857" s="46">
        <f t="shared" si="183"/>
        <v>0</v>
      </c>
    </row>
    <row r="3858" spans="50:52">
      <c r="AX3858" s="46">
        <f t="shared" si="181"/>
        <v>0</v>
      </c>
      <c r="AY3858" s="46">
        <f t="shared" si="182"/>
        <v>0</v>
      </c>
      <c r="AZ3858" s="46">
        <f t="shared" si="183"/>
        <v>0</v>
      </c>
    </row>
    <row r="3859" spans="50:52">
      <c r="AX3859" s="46">
        <f t="shared" si="181"/>
        <v>0</v>
      </c>
      <c r="AY3859" s="46">
        <f t="shared" si="182"/>
        <v>0</v>
      </c>
      <c r="AZ3859" s="46">
        <f t="shared" si="183"/>
        <v>0</v>
      </c>
    </row>
    <row r="3860" spans="50:52">
      <c r="AX3860" s="46">
        <f t="shared" si="181"/>
        <v>0</v>
      </c>
      <c r="AY3860" s="46">
        <f t="shared" si="182"/>
        <v>0</v>
      </c>
      <c r="AZ3860" s="46">
        <f t="shared" si="183"/>
        <v>0</v>
      </c>
    </row>
    <row r="3861" spans="50:52">
      <c r="AX3861" s="46">
        <f t="shared" si="181"/>
        <v>0</v>
      </c>
      <c r="AY3861" s="46">
        <f t="shared" si="182"/>
        <v>0</v>
      </c>
      <c r="AZ3861" s="46">
        <f t="shared" si="183"/>
        <v>0</v>
      </c>
    </row>
    <row r="3862" spans="50:52">
      <c r="AX3862" s="46">
        <f t="shared" si="181"/>
        <v>0</v>
      </c>
      <c r="AY3862" s="46">
        <f t="shared" si="182"/>
        <v>0</v>
      </c>
      <c r="AZ3862" s="46">
        <f t="shared" si="183"/>
        <v>0</v>
      </c>
    </row>
    <row r="3863" spans="50:52">
      <c r="AX3863" s="46">
        <f t="shared" si="181"/>
        <v>0</v>
      </c>
      <c r="AY3863" s="46">
        <f t="shared" si="182"/>
        <v>0</v>
      </c>
      <c r="AZ3863" s="46">
        <f t="shared" si="183"/>
        <v>0</v>
      </c>
    </row>
    <row r="3864" spans="50:52">
      <c r="AX3864" s="46">
        <f t="shared" si="181"/>
        <v>0</v>
      </c>
      <c r="AY3864" s="46">
        <f t="shared" si="182"/>
        <v>0</v>
      </c>
      <c r="AZ3864" s="46">
        <f t="shared" si="183"/>
        <v>0</v>
      </c>
    </row>
    <row r="3865" spans="50:52">
      <c r="AX3865" s="46">
        <f t="shared" si="181"/>
        <v>0</v>
      </c>
      <c r="AY3865" s="46">
        <f t="shared" si="182"/>
        <v>0</v>
      </c>
      <c r="AZ3865" s="46">
        <f t="shared" si="183"/>
        <v>0</v>
      </c>
    </row>
    <row r="3866" spans="50:52">
      <c r="AX3866" s="46">
        <f t="shared" si="181"/>
        <v>0</v>
      </c>
      <c r="AY3866" s="46">
        <f t="shared" si="182"/>
        <v>0</v>
      </c>
      <c r="AZ3866" s="46">
        <f t="shared" si="183"/>
        <v>0</v>
      </c>
    </row>
    <row r="3867" spans="50:52">
      <c r="AX3867" s="46">
        <f t="shared" si="181"/>
        <v>0</v>
      </c>
      <c r="AY3867" s="46">
        <f t="shared" si="182"/>
        <v>0</v>
      </c>
      <c r="AZ3867" s="46">
        <f t="shared" si="183"/>
        <v>0</v>
      </c>
    </row>
    <row r="3868" spans="50:52">
      <c r="AX3868" s="46">
        <f t="shared" si="181"/>
        <v>0</v>
      </c>
      <c r="AY3868" s="46">
        <f t="shared" si="182"/>
        <v>0</v>
      </c>
      <c r="AZ3868" s="46">
        <f t="shared" si="183"/>
        <v>0</v>
      </c>
    </row>
    <row r="3869" spans="50:52">
      <c r="AX3869" s="46">
        <f t="shared" si="181"/>
        <v>0</v>
      </c>
      <c r="AY3869" s="46">
        <f t="shared" si="182"/>
        <v>0</v>
      </c>
      <c r="AZ3869" s="46">
        <f t="shared" si="183"/>
        <v>0</v>
      </c>
    </row>
    <row r="3870" spans="50:52">
      <c r="AX3870" s="46">
        <f t="shared" si="181"/>
        <v>0</v>
      </c>
      <c r="AY3870" s="46">
        <f t="shared" si="182"/>
        <v>0</v>
      </c>
      <c r="AZ3870" s="46">
        <f t="shared" si="183"/>
        <v>0</v>
      </c>
    </row>
    <row r="3871" spans="50:52">
      <c r="AX3871" s="46">
        <f t="shared" si="181"/>
        <v>0</v>
      </c>
      <c r="AY3871" s="46">
        <f t="shared" si="182"/>
        <v>0</v>
      </c>
      <c r="AZ3871" s="46">
        <f t="shared" si="183"/>
        <v>0</v>
      </c>
    </row>
    <row r="3872" spans="50:52">
      <c r="AX3872" s="46">
        <f t="shared" si="181"/>
        <v>0</v>
      </c>
      <c r="AY3872" s="46">
        <f t="shared" si="182"/>
        <v>0</v>
      </c>
      <c r="AZ3872" s="46">
        <f t="shared" si="183"/>
        <v>0</v>
      </c>
    </row>
    <row r="3873" spans="50:52">
      <c r="AX3873" s="46">
        <f t="shared" si="181"/>
        <v>0</v>
      </c>
      <c r="AY3873" s="46">
        <f t="shared" si="182"/>
        <v>0</v>
      </c>
      <c r="AZ3873" s="46">
        <f t="shared" si="183"/>
        <v>0</v>
      </c>
    </row>
    <row r="3874" spans="50:52">
      <c r="AX3874" s="46">
        <f t="shared" si="181"/>
        <v>0</v>
      </c>
      <c r="AY3874" s="46">
        <f t="shared" si="182"/>
        <v>0</v>
      </c>
      <c r="AZ3874" s="46">
        <f t="shared" si="183"/>
        <v>0</v>
      </c>
    </row>
    <row r="3875" spans="50:52">
      <c r="AX3875" s="46">
        <f t="shared" si="181"/>
        <v>0</v>
      </c>
      <c r="AY3875" s="46">
        <f t="shared" si="182"/>
        <v>0</v>
      </c>
      <c r="AZ3875" s="46">
        <f t="shared" si="183"/>
        <v>0</v>
      </c>
    </row>
    <row r="3876" spans="50:52">
      <c r="AX3876" s="46">
        <f t="shared" si="181"/>
        <v>0</v>
      </c>
      <c r="AY3876" s="46">
        <f t="shared" si="182"/>
        <v>0</v>
      </c>
      <c r="AZ3876" s="46">
        <f t="shared" si="183"/>
        <v>0</v>
      </c>
    </row>
    <row r="3877" spans="50:52">
      <c r="AX3877" s="46">
        <f t="shared" si="181"/>
        <v>0</v>
      </c>
      <c r="AY3877" s="46">
        <f t="shared" si="182"/>
        <v>0</v>
      </c>
      <c r="AZ3877" s="46">
        <f t="shared" si="183"/>
        <v>0</v>
      </c>
    </row>
    <row r="3878" spans="50:52">
      <c r="AX3878" s="46">
        <f t="shared" si="181"/>
        <v>0</v>
      </c>
      <c r="AY3878" s="46">
        <f t="shared" si="182"/>
        <v>0</v>
      </c>
      <c r="AZ3878" s="46">
        <f t="shared" si="183"/>
        <v>0</v>
      </c>
    </row>
    <row r="3879" spans="50:52">
      <c r="AX3879" s="46">
        <f t="shared" si="181"/>
        <v>0</v>
      </c>
      <c r="AY3879" s="46">
        <f t="shared" si="182"/>
        <v>0</v>
      </c>
      <c r="AZ3879" s="46">
        <f t="shared" si="183"/>
        <v>0</v>
      </c>
    </row>
    <row r="3880" spans="50:52">
      <c r="AX3880" s="46">
        <f t="shared" si="181"/>
        <v>0</v>
      </c>
      <c r="AY3880" s="46">
        <f t="shared" si="182"/>
        <v>0</v>
      </c>
      <c r="AZ3880" s="46">
        <f t="shared" si="183"/>
        <v>0</v>
      </c>
    </row>
    <row r="3881" spans="50:52">
      <c r="AX3881" s="46">
        <f t="shared" si="181"/>
        <v>0</v>
      </c>
      <c r="AY3881" s="46">
        <f t="shared" si="182"/>
        <v>0</v>
      </c>
      <c r="AZ3881" s="46">
        <f t="shared" si="183"/>
        <v>0</v>
      </c>
    </row>
    <row r="3882" spans="50:52">
      <c r="AX3882" s="46">
        <f t="shared" si="181"/>
        <v>0</v>
      </c>
      <c r="AY3882" s="46">
        <f t="shared" si="182"/>
        <v>0</v>
      </c>
      <c r="AZ3882" s="46">
        <f t="shared" si="183"/>
        <v>0</v>
      </c>
    </row>
    <row r="3883" spans="50:52">
      <c r="AX3883" s="46">
        <f t="shared" si="181"/>
        <v>0</v>
      </c>
      <c r="AY3883" s="46">
        <f t="shared" si="182"/>
        <v>0</v>
      </c>
      <c r="AZ3883" s="46">
        <f t="shared" si="183"/>
        <v>0</v>
      </c>
    </row>
    <row r="3884" spans="50:52">
      <c r="AX3884" s="46">
        <f t="shared" si="181"/>
        <v>0</v>
      </c>
      <c r="AY3884" s="46">
        <f t="shared" si="182"/>
        <v>0</v>
      </c>
      <c r="AZ3884" s="46">
        <f t="shared" si="183"/>
        <v>0</v>
      </c>
    </row>
    <row r="3885" spans="50:52">
      <c r="AX3885" s="46">
        <f t="shared" si="181"/>
        <v>0</v>
      </c>
      <c r="AY3885" s="46">
        <f t="shared" si="182"/>
        <v>0</v>
      </c>
      <c r="AZ3885" s="46">
        <f t="shared" si="183"/>
        <v>0</v>
      </c>
    </row>
    <row r="3886" spans="50:52">
      <c r="AX3886" s="46">
        <f t="shared" si="181"/>
        <v>0</v>
      </c>
      <c r="AY3886" s="46">
        <f t="shared" si="182"/>
        <v>0</v>
      </c>
      <c r="AZ3886" s="46">
        <f t="shared" si="183"/>
        <v>0</v>
      </c>
    </row>
    <row r="3887" spans="50:52">
      <c r="AX3887" s="46">
        <f t="shared" si="181"/>
        <v>0</v>
      </c>
      <c r="AY3887" s="46">
        <f t="shared" si="182"/>
        <v>0</v>
      </c>
      <c r="AZ3887" s="46">
        <f t="shared" si="183"/>
        <v>0</v>
      </c>
    </row>
    <row r="3888" spans="50:52">
      <c r="AX3888" s="46">
        <f t="shared" si="181"/>
        <v>0</v>
      </c>
      <c r="AY3888" s="46">
        <f t="shared" si="182"/>
        <v>0</v>
      </c>
      <c r="AZ3888" s="46">
        <f t="shared" si="183"/>
        <v>0</v>
      </c>
    </row>
    <row r="3889" spans="50:52">
      <c r="AX3889" s="46">
        <f t="shared" si="181"/>
        <v>0</v>
      </c>
      <c r="AY3889" s="46">
        <f t="shared" si="182"/>
        <v>0</v>
      </c>
      <c r="AZ3889" s="46">
        <f t="shared" si="183"/>
        <v>0</v>
      </c>
    </row>
    <row r="3890" spans="50:52">
      <c r="AX3890" s="46">
        <f t="shared" si="181"/>
        <v>0</v>
      </c>
      <c r="AY3890" s="46">
        <f t="shared" si="182"/>
        <v>0</v>
      </c>
      <c r="AZ3890" s="46">
        <f t="shared" si="183"/>
        <v>0</v>
      </c>
    </row>
    <row r="3891" spans="50:52">
      <c r="AX3891" s="46">
        <f t="shared" si="181"/>
        <v>0</v>
      </c>
      <c r="AY3891" s="46">
        <f t="shared" si="182"/>
        <v>0</v>
      </c>
      <c r="AZ3891" s="46">
        <f t="shared" si="183"/>
        <v>0</v>
      </c>
    </row>
    <row r="3892" spans="50:52">
      <c r="AX3892" s="46">
        <f t="shared" si="181"/>
        <v>0</v>
      </c>
      <c r="AY3892" s="46">
        <f t="shared" si="182"/>
        <v>0</v>
      </c>
      <c r="AZ3892" s="46">
        <f t="shared" si="183"/>
        <v>0</v>
      </c>
    </row>
    <row r="3893" spans="50:52">
      <c r="AX3893" s="46">
        <f t="shared" si="181"/>
        <v>0</v>
      </c>
      <c r="AY3893" s="46">
        <f t="shared" si="182"/>
        <v>0</v>
      </c>
      <c r="AZ3893" s="46">
        <f t="shared" si="183"/>
        <v>0</v>
      </c>
    </row>
    <row r="3894" spans="50:52">
      <c r="AX3894" s="46">
        <f t="shared" si="181"/>
        <v>0</v>
      </c>
      <c r="AY3894" s="46">
        <f t="shared" si="182"/>
        <v>0</v>
      </c>
      <c r="AZ3894" s="46">
        <f t="shared" si="183"/>
        <v>0</v>
      </c>
    </row>
    <row r="3895" spans="50:52">
      <c r="AX3895" s="46">
        <f t="shared" si="181"/>
        <v>0</v>
      </c>
      <c r="AY3895" s="46">
        <f t="shared" si="182"/>
        <v>0</v>
      </c>
      <c r="AZ3895" s="46">
        <f t="shared" si="183"/>
        <v>0</v>
      </c>
    </row>
    <row r="3896" spans="50:52">
      <c r="AX3896" s="46">
        <f t="shared" si="181"/>
        <v>0</v>
      </c>
      <c r="AY3896" s="46">
        <f t="shared" si="182"/>
        <v>0</v>
      </c>
      <c r="AZ3896" s="46">
        <f t="shared" si="183"/>
        <v>0</v>
      </c>
    </row>
    <row r="3897" spans="50:52">
      <c r="AX3897" s="46">
        <f t="shared" si="181"/>
        <v>0</v>
      </c>
      <c r="AY3897" s="46">
        <f t="shared" si="182"/>
        <v>0</v>
      </c>
      <c r="AZ3897" s="46">
        <f t="shared" si="183"/>
        <v>0</v>
      </c>
    </row>
    <row r="3898" spans="50:52">
      <c r="AX3898" s="46">
        <f t="shared" si="181"/>
        <v>0</v>
      </c>
      <c r="AY3898" s="46">
        <f t="shared" si="182"/>
        <v>0</v>
      </c>
      <c r="AZ3898" s="46">
        <f t="shared" si="183"/>
        <v>0</v>
      </c>
    </row>
    <row r="3899" spans="50:52">
      <c r="AX3899" s="46">
        <f t="shared" si="181"/>
        <v>0</v>
      </c>
      <c r="AY3899" s="46">
        <f t="shared" si="182"/>
        <v>0</v>
      </c>
      <c r="AZ3899" s="46">
        <f t="shared" si="183"/>
        <v>0</v>
      </c>
    </row>
    <row r="3900" spans="50:52">
      <c r="AX3900" s="46">
        <f t="shared" si="181"/>
        <v>0</v>
      </c>
      <c r="AY3900" s="46">
        <f t="shared" si="182"/>
        <v>0</v>
      </c>
      <c r="AZ3900" s="46">
        <f t="shared" si="183"/>
        <v>0</v>
      </c>
    </row>
    <row r="3901" spans="50:52">
      <c r="AX3901" s="46">
        <f t="shared" si="181"/>
        <v>0</v>
      </c>
      <c r="AY3901" s="46">
        <f t="shared" si="182"/>
        <v>0</v>
      </c>
      <c r="AZ3901" s="46">
        <f t="shared" si="183"/>
        <v>0</v>
      </c>
    </row>
    <row r="3902" spans="50:52">
      <c r="AX3902" s="46">
        <f t="shared" si="181"/>
        <v>0</v>
      </c>
      <c r="AY3902" s="46">
        <f t="shared" si="182"/>
        <v>0</v>
      </c>
      <c r="AZ3902" s="46">
        <f t="shared" si="183"/>
        <v>0</v>
      </c>
    </row>
    <row r="3903" spans="50:52">
      <c r="AX3903" s="46">
        <f t="shared" si="181"/>
        <v>0</v>
      </c>
      <c r="AY3903" s="46">
        <f t="shared" si="182"/>
        <v>0</v>
      </c>
      <c r="AZ3903" s="46">
        <f t="shared" si="183"/>
        <v>0</v>
      </c>
    </row>
    <row r="3904" spans="50:52">
      <c r="AX3904" s="46">
        <f t="shared" si="181"/>
        <v>0</v>
      </c>
      <c r="AY3904" s="46">
        <f t="shared" si="182"/>
        <v>0</v>
      </c>
      <c r="AZ3904" s="46">
        <f t="shared" si="183"/>
        <v>0</v>
      </c>
    </row>
    <row r="3905" spans="50:52">
      <c r="AX3905" s="46">
        <f t="shared" si="181"/>
        <v>0</v>
      </c>
      <c r="AY3905" s="46">
        <f t="shared" si="182"/>
        <v>0</v>
      </c>
      <c r="AZ3905" s="46">
        <f t="shared" si="183"/>
        <v>0</v>
      </c>
    </row>
    <row r="3906" spans="50:52">
      <c r="AX3906" s="46">
        <f t="shared" si="181"/>
        <v>0</v>
      </c>
      <c r="AY3906" s="46">
        <f t="shared" si="182"/>
        <v>0</v>
      </c>
      <c r="AZ3906" s="46">
        <f t="shared" si="183"/>
        <v>0</v>
      </c>
    </row>
    <row r="3907" spans="50:52">
      <c r="AX3907" s="46">
        <f t="shared" si="181"/>
        <v>0</v>
      </c>
      <c r="AY3907" s="46">
        <f t="shared" si="182"/>
        <v>0</v>
      </c>
      <c r="AZ3907" s="46">
        <f t="shared" si="183"/>
        <v>0</v>
      </c>
    </row>
    <row r="3908" spans="50:52">
      <c r="AX3908" s="46">
        <f t="shared" si="181"/>
        <v>0</v>
      </c>
      <c r="AY3908" s="46">
        <f t="shared" si="182"/>
        <v>0</v>
      </c>
      <c r="AZ3908" s="46">
        <f t="shared" si="183"/>
        <v>0</v>
      </c>
    </row>
    <row r="3909" spans="50:52">
      <c r="AX3909" s="46">
        <f t="shared" si="181"/>
        <v>0</v>
      </c>
      <c r="AY3909" s="46">
        <f t="shared" si="182"/>
        <v>0</v>
      </c>
      <c r="AZ3909" s="46">
        <f t="shared" si="183"/>
        <v>0</v>
      </c>
    </row>
    <row r="3910" spans="50:52">
      <c r="AX3910" s="46">
        <f t="shared" si="181"/>
        <v>0</v>
      </c>
      <c r="AY3910" s="46">
        <f t="shared" si="182"/>
        <v>0</v>
      </c>
      <c r="AZ3910" s="46">
        <f t="shared" si="183"/>
        <v>0</v>
      </c>
    </row>
    <row r="3911" spans="50:52">
      <c r="AX3911" s="46">
        <f t="shared" si="181"/>
        <v>0</v>
      </c>
      <c r="AY3911" s="46">
        <f t="shared" si="182"/>
        <v>0</v>
      </c>
      <c r="AZ3911" s="46">
        <f t="shared" si="183"/>
        <v>0</v>
      </c>
    </row>
    <row r="3912" spans="50:52">
      <c r="AX3912" s="46">
        <f t="shared" si="181"/>
        <v>0</v>
      </c>
      <c r="AY3912" s="46">
        <f t="shared" si="182"/>
        <v>0</v>
      </c>
      <c r="AZ3912" s="46">
        <f t="shared" si="183"/>
        <v>0</v>
      </c>
    </row>
    <row r="3913" spans="50:52">
      <c r="AX3913" s="46">
        <f t="shared" si="181"/>
        <v>0</v>
      </c>
      <c r="AY3913" s="46">
        <f t="shared" si="182"/>
        <v>0</v>
      </c>
      <c r="AZ3913" s="46">
        <f t="shared" si="183"/>
        <v>0</v>
      </c>
    </row>
    <row r="3914" spans="50:52">
      <c r="AX3914" s="46">
        <f t="shared" si="181"/>
        <v>0</v>
      </c>
      <c r="AY3914" s="46">
        <f t="shared" si="182"/>
        <v>0</v>
      </c>
      <c r="AZ3914" s="46">
        <f t="shared" si="183"/>
        <v>0</v>
      </c>
    </row>
    <row r="3915" spans="50:52">
      <c r="AX3915" s="46">
        <f t="shared" ref="AX3915:AX3978" si="184">IFERROR(SUM(Q3915:AS3915)-SUM(AT3915:AU3915)+AV3915,"-")</f>
        <v>0</v>
      </c>
      <c r="AY3915" s="46">
        <f t="shared" ref="AY3915:AY3978" si="185">IFERROR(SUM(Q3915:AS3915)-SUM(AT3915:AT3915),"-")</f>
        <v>0</v>
      </c>
      <c r="AZ3915" s="46">
        <f t="shared" ref="AZ3915:AZ3978" si="186">SUM(Q3915:AS3915)</f>
        <v>0</v>
      </c>
    </row>
    <row r="3916" spans="50:52">
      <c r="AX3916" s="46">
        <f t="shared" si="184"/>
        <v>0</v>
      </c>
      <c r="AY3916" s="46">
        <f t="shared" si="185"/>
        <v>0</v>
      </c>
      <c r="AZ3916" s="46">
        <f t="shared" si="186"/>
        <v>0</v>
      </c>
    </row>
    <row r="3917" spans="50:52">
      <c r="AX3917" s="46">
        <f t="shared" si="184"/>
        <v>0</v>
      </c>
      <c r="AY3917" s="46">
        <f t="shared" si="185"/>
        <v>0</v>
      </c>
      <c r="AZ3917" s="46">
        <f t="shared" si="186"/>
        <v>0</v>
      </c>
    </row>
    <row r="3918" spans="50:52">
      <c r="AX3918" s="46">
        <f t="shared" si="184"/>
        <v>0</v>
      </c>
      <c r="AY3918" s="46">
        <f t="shared" si="185"/>
        <v>0</v>
      </c>
      <c r="AZ3918" s="46">
        <f t="shared" si="186"/>
        <v>0</v>
      </c>
    </row>
    <row r="3919" spans="50:52">
      <c r="AX3919" s="46">
        <f t="shared" si="184"/>
        <v>0</v>
      </c>
      <c r="AY3919" s="46">
        <f t="shared" si="185"/>
        <v>0</v>
      </c>
      <c r="AZ3919" s="46">
        <f t="shared" si="186"/>
        <v>0</v>
      </c>
    </row>
    <row r="3920" spans="50:52">
      <c r="AX3920" s="46">
        <f t="shared" si="184"/>
        <v>0</v>
      </c>
      <c r="AY3920" s="46">
        <f t="shared" si="185"/>
        <v>0</v>
      </c>
      <c r="AZ3920" s="46">
        <f t="shared" si="186"/>
        <v>0</v>
      </c>
    </row>
    <row r="3921" spans="50:52">
      <c r="AX3921" s="46">
        <f t="shared" si="184"/>
        <v>0</v>
      </c>
      <c r="AY3921" s="46">
        <f t="shared" si="185"/>
        <v>0</v>
      </c>
      <c r="AZ3921" s="46">
        <f t="shared" si="186"/>
        <v>0</v>
      </c>
    </row>
    <row r="3922" spans="50:52">
      <c r="AX3922" s="46">
        <f t="shared" si="184"/>
        <v>0</v>
      </c>
      <c r="AY3922" s="46">
        <f t="shared" si="185"/>
        <v>0</v>
      </c>
      <c r="AZ3922" s="46">
        <f t="shared" si="186"/>
        <v>0</v>
      </c>
    </row>
    <row r="3923" spans="50:52">
      <c r="AX3923" s="46">
        <f t="shared" si="184"/>
        <v>0</v>
      </c>
      <c r="AY3923" s="46">
        <f t="shared" si="185"/>
        <v>0</v>
      </c>
      <c r="AZ3923" s="46">
        <f t="shared" si="186"/>
        <v>0</v>
      </c>
    </row>
    <row r="3924" spans="50:52">
      <c r="AX3924" s="46">
        <f t="shared" si="184"/>
        <v>0</v>
      </c>
      <c r="AY3924" s="46">
        <f t="shared" si="185"/>
        <v>0</v>
      </c>
      <c r="AZ3924" s="46">
        <f t="shared" si="186"/>
        <v>0</v>
      </c>
    </row>
    <row r="3925" spans="50:52">
      <c r="AX3925" s="46">
        <f t="shared" si="184"/>
        <v>0</v>
      </c>
      <c r="AY3925" s="46">
        <f t="shared" si="185"/>
        <v>0</v>
      </c>
      <c r="AZ3925" s="46">
        <f t="shared" si="186"/>
        <v>0</v>
      </c>
    </row>
    <row r="3926" spans="50:52">
      <c r="AX3926" s="46">
        <f t="shared" si="184"/>
        <v>0</v>
      </c>
      <c r="AY3926" s="46">
        <f t="shared" si="185"/>
        <v>0</v>
      </c>
      <c r="AZ3926" s="46">
        <f t="shared" si="186"/>
        <v>0</v>
      </c>
    </row>
    <row r="3927" spans="50:52">
      <c r="AX3927" s="46">
        <f t="shared" si="184"/>
        <v>0</v>
      </c>
      <c r="AY3927" s="46">
        <f t="shared" si="185"/>
        <v>0</v>
      </c>
      <c r="AZ3927" s="46">
        <f t="shared" si="186"/>
        <v>0</v>
      </c>
    </row>
    <row r="3928" spans="50:52">
      <c r="AX3928" s="46">
        <f t="shared" si="184"/>
        <v>0</v>
      </c>
      <c r="AY3928" s="46">
        <f t="shared" si="185"/>
        <v>0</v>
      </c>
      <c r="AZ3928" s="46">
        <f t="shared" si="186"/>
        <v>0</v>
      </c>
    </row>
    <row r="3929" spans="50:52">
      <c r="AX3929" s="46">
        <f t="shared" si="184"/>
        <v>0</v>
      </c>
      <c r="AY3929" s="46">
        <f t="shared" si="185"/>
        <v>0</v>
      </c>
      <c r="AZ3929" s="46">
        <f t="shared" si="186"/>
        <v>0</v>
      </c>
    </row>
    <row r="3930" spans="50:52">
      <c r="AX3930" s="46">
        <f t="shared" si="184"/>
        <v>0</v>
      </c>
      <c r="AY3930" s="46">
        <f t="shared" si="185"/>
        <v>0</v>
      </c>
      <c r="AZ3930" s="46">
        <f t="shared" si="186"/>
        <v>0</v>
      </c>
    </row>
    <row r="3931" spans="50:52">
      <c r="AX3931" s="46">
        <f t="shared" si="184"/>
        <v>0</v>
      </c>
      <c r="AY3931" s="46">
        <f t="shared" si="185"/>
        <v>0</v>
      </c>
      <c r="AZ3931" s="46">
        <f t="shared" si="186"/>
        <v>0</v>
      </c>
    </row>
    <row r="3932" spans="50:52">
      <c r="AX3932" s="46">
        <f t="shared" si="184"/>
        <v>0</v>
      </c>
      <c r="AY3932" s="46">
        <f t="shared" si="185"/>
        <v>0</v>
      </c>
      <c r="AZ3932" s="46">
        <f t="shared" si="186"/>
        <v>0</v>
      </c>
    </row>
    <row r="3933" spans="50:52">
      <c r="AX3933" s="46">
        <f t="shared" si="184"/>
        <v>0</v>
      </c>
      <c r="AY3933" s="46">
        <f t="shared" si="185"/>
        <v>0</v>
      </c>
      <c r="AZ3933" s="46">
        <f t="shared" si="186"/>
        <v>0</v>
      </c>
    </row>
    <row r="3934" spans="50:52">
      <c r="AX3934" s="46">
        <f t="shared" si="184"/>
        <v>0</v>
      </c>
      <c r="AY3934" s="46">
        <f t="shared" si="185"/>
        <v>0</v>
      </c>
      <c r="AZ3934" s="46">
        <f t="shared" si="186"/>
        <v>0</v>
      </c>
    </row>
    <row r="3935" spans="50:52">
      <c r="AX3935" s="46">
        <f t="shared" si="184"/>
        <v>0</v>
      </c>
      <c r="AY3935" s="46">
        <f t="shared" si="185"/>
        <v>0</v>
      </c>
      <c r="AZ3935" s="46">
        <f t="shared" si="186"/>
        <v>0</v>
      </c>
    </row>
    <row r="3936" spans="50:52">
      <c r="AX3936" s="46">
        <f t="shared" si="184"/>
        <v>0</v>
      </c>
      <c r="AY3936" s="46">
        <f t="shared" si="185"/>
        <v>0</v>
      </c>
      <c r="AZ3936" s="46">
        <f t="shared" si="186"/>
        <v>0</v>
      </c>
    </row>
    <row r="3937" spans="50:52">
      <c r="AX3937" s="46">
        <f t="shared" si="184"/>
        <v>0</v>
      </c>
      <c r="AY3937" s="46">
        <f t="shared" si="185"/>
        <v>0</v>
      </c>
      <c r="AZ3937" s="46">
        <f t="shared" si="186"/>
        <v>0</v>
      </c>
    </row>
    <row r="3938" spans="50:52">
      <c r="AX3938" s="46">
        <f t="shared" si="184"/>
        <v>0</v>
      </c>
      <c r="AY3938" s="46">
        <f t="shared" si="185"/>
        <v>0</v>
      </c>
      <c r="AZ3938" s="46">
        <f t="shared" si="186"/>
        <v>0</v>
      </c>
    </row>
    <row r="3939" spans="50:52">
      <c r="AX3939" s="46">
        <f t="shared" si="184"/>
        <v>0</v>
      </c>
      <c r="AY3939" s="46">
        <f t="shared" si="185"/>
        <v>0</v>
      </c>
      <c r="AZ3939" s="46">
        <f t="shared" si="186"/>
        <v>0</v>
      </c>
    </row>
    <row r="3940" spans="50:52">
      <c r="AX3940" s="46">
        <f t="shared" si="184"/>
        <v>0</v>
      </c>
      <c r="AY3940" s="46">
        <f t="shared" si="185"/>
        <v>0</v>
      </c>
      <c r="AZ3940" s="46">
        <f t="shared" si="186"/>
        <v>0</v>
      </c>
    </row>
    <row r="3941" spans="50:52">
      <c r="AX3941" s="46">
        <f t="shared" si="184"/>
        <v>0</v>
      </c>
      <c r="AY3941" s="46">
        <f t="shared" si="185"/>
        <v>0</v>
      </c>
      <c r="AZ3941" s="46">
        <f t="shared" si="186"/>
        <v>0</v>
      </c>
    </row>
    <row r="3942" spans="50:52">
      <c r="AX3942" s="46">
        <f t="shared" si="184"/>
        <v>0</v>
      </c>
      <c r="AY3942" s="46">
        <f t="shared" si="185"/>
        <v>0</v>
      </c>
      <c r="AZ3942" s="46">
        <f t="shared" si="186"/>
        <v>0</v>
      </c>
    </row>
    <row r="3943" spans="50:52">
      <c r="AX3943" s="46">
        <f t="shared" si="184"/>
        <v>0</v>
      </c>
      <c r="AY3943" s="46">
        <f t="shared" si="185"/>
        <v>0</v>
      </c>
      <c r="AZ3943" s="46">
        <f t="shared" si="186"/>
        <v>0</v>
      </c>
    </row>
    <row r="3944" spans="50:52">
      <c r="AX3944" s="46">
        <f t="shared" si="184"/>
        <v>0</v>
      </c>
      <c r="AY3944" s="46">
        <f t="shared" si="185"/>
        <v>0</v>
      </c>
      <c r="AZ3944" s="46">
        <f t="shared" si="186"/>
        <v>0</v>
      </c>
    </row>
    <row r="3945" spans="50:52">
      <c r="AX3945" s="46">
        <f t="shared" si="184"/>
        <v>0</v>
      </c>
      <c r="AY3945" s="46">
        <f t="shared" si="185"/>
        <v>0</v>
      </c>
      <c r="AZ3945" s="46">
        <f t="shared" si="186"/>
        <v>0</v>
      </c>
    </row>
    <row r="3946" spans="50:52">
      <c r="AX3946" s="46">
        <f t="shared" si="184"/>
        <v>0</v>
      </c>
      <c r="AY3946" s="46">
        <f t="shared" si="185"/>
        <v>0</v>
      </c>
      <c r="AZ3946" s="46">
        <f t="shared" si="186"/>
        <v>0</v>
      </c>
    </row>
    <row r="3947" spans="50:52">
      <c r="AX3947" s="46">
        <f t="shared" si="184"/>
        <v>0</v>
      </c>
      <c r="AY3947" s="46">
        <f t="shared" si="185"/>
        <v>0</v>
      </c>
      <c r="AZ3947" s="46">
        <f t="shared" si="186"/>
        <v>0</v>
      </c>
    </row>
    <row r="3948" spans="50:52">
      <c r="AX3948" s="46">
        <f t="shared" si="184"/>
        <v>0</v>
      </c>
      <c r="AY3948" s="46">
        <f t="shared" si="185"/>
        <v>0</v>
      </c>
      <c r="AZ3948" s="46">
        <f t="shared" si="186"/>
        <v>0</v>
      </c>
    </row>
    <row r="3949" spans="50:52">
      <c r="AX3949" s="46">
        <f t="shared" si="184"/>
        <v>0</v>
      </c>
      <c r="AY3949" s="46">
        <f t="shared" si="185"/>
        <v>0</v>
      </c>
      <c r="AZ3949" s="46">
        <f t="shared" si="186"/>
        <v>0</v>
      </c>
    </row>
    <row r="3950" spans="50:52">
      <c r="AX3950" s="46">
        <f t="shared" si="184"/>
        <v>0</v>
      </c>
      <c r="AY3950" s="46">
        <f t="shared" si="185"/>
        <v>0</v>
      </c>
      <c r="AZ3950" s="46">
        <f t="shared" si="186"/>
        <v>0</v>
      </c>
    </row>
    <row r="3951" spans="50:52">
      <c r="AX3951" s="46">
        <f t="shared" si="184"/>
        <v>0</v>
      </c>
      <c r="AY3951" s="46">
        <f t="shared" si="185"/>
        <v>0</v>
      </c>
      <c r="AZ3951" s="46">
        <f t="shared" si="186"/>
        <v>0</v>
      </c>
    </row>
    <row r="3952" spans="50:52">
      <c r="AX3952" s="46">
        <f t="shared" si="184"/>
        <v>0</v>
      </c>
      <c r="AY3952" s="46">
        <f t="shared" si="185"/>
        <v>0</v>
      </c>
      <c r="AZ3952" s="46">
        <f t="shared" si="186"/>
        <v>0</v>
      </c>
    </row>
    <row r="3953" spans="50:52">
      <c r="AX3953" s="46">
        <f t="shared" si="184"/>
        <v>0</v>
      </c>
      <c r="AY3953" s="46">
        <f t="shared" si="185"/>
        <v>0</v>
      </c>
      <c r="AZ3953" s="46">
        <f t="shared" si="186"/>
        <v>0</v>
      </c>
    </row>
    <row r="3954" spans="50:52">
      <c r="AX3954" s="46">
        <f t="shared" si="184"/>
        <v>0</v>
      </c>
      <c r="AY3954" s="46">
        <f t="shared" si="185"/>
        <v>0</v>
      </c>
      <c r="AZ3954" s="46">
        <f t="shared" si="186"/>
        <v>0</v>
      </c>
    </row>
    <row r="3955" spans="50:52">
      <c r="AX3955" s="46">
        <f t="shared" si="184"/>
        <v>0</v>
      </c>
      <c r="AY3955" s="46">
        <f t="shared" si="185"/>
        <v>0</v>
      </c>
      <c r="AZ3955" s="46">
        <f t="shared" si="186"/>
        <v>0</v>
      </c>
    </row>
    <row r="3956" spans="50:52">
      <c r="AX3956" s="46">
        <f t="shared" si="184"/>
        <v>0</v>
      </c>
      <c r="AY3956" s="46">
        <f t="shared" si="185"/>
        <v>0</v>
      </c>
      <c r="AZ3956" s="46">
        <f t="shared" si="186"/>
        <v>0</v>
      </c>
    </row>
    <row r="3957" spans="50:52">
      <c r="AX3957" s="46">
        <f t="shared" si="184"/>
        <v>0</v>
      </c>
      <c r="AY3957" s="46">
        <f t="shared" si="185"/>
        <v>0</v>
      </c>
      <c r="AZ3957" s="46">
        <f t="shared" si="186"/>
        <v>0</v>
      </c>
    </row>
    <row r="3958" spans="50:52">
      <c r="AX3958" s="46">
        <f t="shared" si="184"/>
        <v>0</v>
      </c>
      <c r="AY3958" s="46">
        <f t="shared" si="185"/>
        <v>0</v>
      </c>
      <c r="AZ3958" s="46">
        <f t="shared" si="186"/>
        <v>0</v>
      </c>
    </row>
    <row r="3959" spans="50:52">
      <c r="AX3959" s="46">
        <f t="shared" si="184"/>
        <v>0</v>
      </c>
      <c r="AY3959" s="46">
        <f t="shared" si="185"/>
        <v>0</v>
      </c>
      <c r="AZ3959" s="46">
        <f t="shared" si="186"/>
        <v>0</v>
      </c>
    </row>
    <row r="3960" spans="50:52">
      <c r="AX3960" s="46">
        <f t="shared" si="184"/>
        <v>0</v>
      </c>
      <c r="AY3960" s="46">
        <f t="shared" si="185"/>
        <v>0</v>
      </c>
      <c r="AZ3960" s="46">
        <f t="shared" si="186"/>
        <v>0</v>
      </c>
    </row>
    <row r="3961" spans="50:52">
      <c r="AX3961" s="46">
        <f t="shared" si="184"/>
        <v>0</v>
      </c>
      <c r="AY3961" s="46">
        <f t="shared" si="185"/>
        <v>0</v>
      </c>
      <c r="AZ3961" s="46">
        <f t="shared" si="186"/>
        <v>0</v>
      </c>
    </row>
    <row r="3962" spans="50:52">
      <c r="AX3962" s="46">
        <f t="shared" si="184"/>
        <v>0</v>
      </c>
      <c r="AY3962" s="46">
        <f t="shared" si="185"/>
        <v>0</v>
      </c>
      <c r="AZ3962" s="46">
        <f t="shared" si="186"/>
        <v>0</v>
      </c>
    </row>
    <row r="3963" spans="50:52">
      <c r="AX3963" s="46">
        <f t="shared" si="184"/>
        <v>0</v>
      </c>
      <c r="AY3963" s="46">
        <f t="shared" si="185"/>
        <v>0</v>
      </c>
      <c r="AZ3963" s="46">
        <f t="shared" si="186"/>
        <v>0</v>
      </c>
    </row>
    <row r="3964" spans="50:52">
      <c r="AX3964" s="46">
        <f t="shared" si="184"/>
        <v>0</v>
      </c>
      <c r="AY3964" s="46">
        <f t="shared" si="185"/>
        <v>0</v>
      </c>
      <c r="AZ3964" s="46">
        <f t="shared" si="186"/>
        <v>0</v>
      </c>
    </row>
    <row r="3965" spans="50:52">
      <c r="AX3965" s="46">
        <f t="shared" si="184"/>
        <v>0</v>
      </c>
      <c r="AY3965" s="46">
        <f t="shared" si="185"/>
        <v>0</v>
      </c>
      <c r="AZ3965" s="46">
        <f t="shared" si="186"/>
        <v>0</v>
      </c>
    </row>
    <row r="3966" spans="50:52">
      <c r="AX3966" s="46">
        <f t="shared" si="184"/>
        <v>0</v>
      </c>
      <c r="AY3966" s="46">
        <f t="shared" si="185"/>
        <v>0</v>
      </c>
      <c r="AZ3966" s="46">
        <f t="shared" si="186"/>
        <v>0</v>
      </c>
    </row>
    <row r="3967" spans="50:52">
      <c r="AX3967" s="46">
        <f t="shared" si="184"/>
        <v>0</v>
      </c>
      <c r="AY3967" s="46">
        <f t="shared" si="185"/>
        <v>0</v>
      </c>
      <c r="AZ3967" s="46">
        <f t="shared" si="186"/>
        <v>0</v>
      </c>
    </row>
    <row r="3968" spans="50:52">
      <c r="AX3968" s="46">
        <f t="shared" si="184"/>
        <v>0</v>
      </c>
      <c r="AY3968" s="46">
        <f t="shared" si="185"/>
        <v>0</v>
      </c>
      <c r="AZ3968" s="46">
        <f t="shared" si="186"/>
        <v>0</v>
      </c>
    </row>
    <row r="3969" spans="50:52">
      <c r="AX3969" s="46">
        <f t="shared" si="184"/>
        <v>0</v>
      </c>
      <c r="AY3969" s="46">
        <f t="shared" si="185"/>
        <v>0</v>
      </c>
      <c r="AZ3969" s="46">
        <f t="shared" si="186"/>
        <v>0</v>
      </c>
    </row>
    <row r="3970" spans="50:52">
      <c r="AX3970" s="46">
        <f t="shared" si="184"/>
        <v>0</v>
      </c>
      <c r="AY3970" s="46">
        <f t="shared" si="185"/>
        <v>0</v>
      </c>
      <c r="AZ3970" s="46">
        <f t="shared" si="186"/>
        <v>0</v>
      </c>
    </row>
    <row r="3971" spans="50:52">
      <c r="AX3971" s="46">
        <f t="shared" si="184"/>
        <v>0</v>
      </c>
      <c r="AY3971" s="46">
        <f t="shared" si="185"/>
        <v>0</v>
      </c>
      <c r="AZ3971" s="46">
        <f t="shared" si="186"/>
        <v>0</v>
      </c>
    </row>
    <row r="3972" spans="50:52">
      <c r="AX3972" s="46">
        <f t="shared" si="184"/>
        <v>0</v>
      </c>
      <c r="AY3972" s="46">
        <f t="shared" si="185"/>
        <v>0</v>
      </c>
      <c r="AZ3972" s="46">
        <f t="shared" si="186"/>
        <v>0</v>
      </c>
    </row>
    <row r="3973" spans="50:52">
      <c r="AX3973" s="46">
        <f t="shared" si="184"/>
        <v>0</v>
      </c>
      <c r="AY3973" s="46">
        <f t="shared" si="185"/>
        <v>0</v>
      </c>
      <c r="AZ3973" s="46">
        <f t="shared" si="186"/>
        <v>0</v>
      </c>
    </row>
    <row r="3974" spans="50:52">
      <c r="AX3974" s="46">
        <f t="shared" si="184"/>
        <v>0</v>
      </c>
      <c r="AY3974" s="46">
        <f t="shared" si="185"/>
        <v>0</v>
      </c>
      <c r="AZ3974" s="46">
        <f t="shared" si="186"/>
        <v>0</v>
      </c>
    </row>
    <row r="3975" spans="50:52">
      <c r="AX3975" s="46">
        <f t="shared" si="184"/>
        <v>0</v>
      </c>
      <c r="AY3975" s="46">
        <f t="shared" si="185"/>
        <v>0</v>
      </c>
      <c r="AZ3975" s="46">
        <f t="shared" si="186"/>
        <v>0</v>
      </c>
    </row>
    <row r="3976" spans="50:52">
      <c r="AX3976" s="46">
        <f t="shared" si="184"/>
        <v>0</v>
      </c>
      <c r="AY3976" s="46">
        <f t="shared" si="185"/>
        <v>0</v>
      </c>
      <c r="AZ3976" s="46">
        <f t="shared" si="186"/>
        <v>0</v>
      </c>
    </row>
    <row r="3977" spans="50:52">
      <c r="AX3977" s="46">
        <f t="shared" si="184"/>
        <v>0</v>
      </c>
      <c r="AY3977" s="46">
        <f t="shared" si="185"/>
        <v>0</v>
      </c>
      <c r="AZ3977" s="46">
        <f t="shared" si="186"/>
        <v>0</v>
      </c>
    </row>
    <row r="3978" spans="50:52">
      <c r="AX3978" s="46">
        <f t="shared" si="184"/>
        <v>0</v>
      </c>
      <c r="AY3978" s="46">
        <f t="shared" si="185"/>
        <v>0</v>
      </c>
      <c r="AZ3978" s="46">
        <f t="shared" si="186"/>
        <v>0</v>
      </c>
    </row>
    <row r="3979" spans="50:52">
      <c r="AX3979" s="46">
        <f t="shared" ref="AX3979:AX4042" si="187">IFERROR(SUM(Q3979:AS3979)-SUM(AT3979:AU3979)+AV3979,"-")</f>
        <v>0</v>
      </c>
      <c r="AY3979" s="46">
        <f t="shared" ref="AY3979:AY4042" si="188">IFERROR(SUM(Q3979:AS3979)-SUM(AT3979:AT3979),"-")</f>
        <v>0</v>
      </c>
      <c r="AZ3979" s="46">
        <f t="shared" ref="AZ3979:AZ4042" si="189">SUM(Q3979:AS3979)</f>
        <v>0</v>
      </c>
    </row>
    <row r="3980" spans="50:52">
      <c r="AX3980" s="46">
        <f t="shared" si="187"/>
        <v>0</v>
      </c>
      <c r="AY3980" s="46">
        <f t="shared" si="188"/>
        <v>0</v>
      </c>
      <c r="AZ3980" s="46">
        <f t="shared" si="189"/>
        <v>0</v>
      </c>
    </row>
    <row r="3981" spans="50:52">
      <c r="AX3981" s="46">
        <f t="shared" si="187"/>
        <v>0</v>
      </c>
      <c r="AY3981" s="46">
        <f t="shared" si="188"/>
        <v>0</v>
      </c>
      <c r="AZ3981" s="46">
        <f t="shared" si="189"/>
        <v>0</v>
      </c>
    </row>
    <row r="3982" spans="50:52">
      <c r="AX3982" s="46">
        <f t="shared" si="187"/>
        <v>0</v>
      </c>
      <c r="AY3982" s="46">
        <f t="shared" si="188"/>
        <v>0</v>
      </c>
      <c r="AZ3982" s="46">
        <f t="shared" si="189"/>
        <v>0</v>
      </c>
    </row>
    <row r="3983" spans="50:52">
      <c r="AX3983" s="46">
        <f t="shared" si="187"/>
        <v>0</v>
      </c>
      <c r="AY3983" s="46">
        <f t="shared" si="188"/>
        <v>0</v>
      </c>
      <c r="AZ3983" s="46">
        <f t="shared" si="189"/>
        <v>0</v>
      </c>
    </row>
    <row r="3984" spans="50:52">
      <c r="AX3984" s="46">
        <f t="shared" si="187"/>
        <v>0</v>
      </c>
      <c r="AY3984" s="46">
        <f t="shared" si="188"/>
        <v>0</v>
      </c>
      <c r="AZ3984" s="46">
        <f t="shared" si="189"/>
        <v>0</v>
      </c>
    </row>
    <row r="3985" spans="50:52">
      <c r="AX3985" s="46">
        <f t="shared" si="187"/>
        <v>0</v>
      </c>
      <c r="AY3985" s="46">
        <f t="shared" si="188"/>
        <v>0</v>
      </c>
      <c r="AZ3985" s="46">
        <f t="shared" si="189"/>
        <v>0</v>
      </c>
    </row>
    <row r="3986" spans="50:52">
      <c r="AX3986" s="46">
        <f t="shared" si="187"/>
        <v>0</v>
      </c>
      <c r="AY3986" s="46">
        <f t="shared" si="188"/>
        <v>0</v>
      </c>
      <c r="AZ3986" s="46">
        <f t="shared" si="189"/>
        <v>0</v>
      </c>
    </row>
    <row r="3987" spans="50:52">
      <c r="AX3987" s="46">
        <f t="shared" si="187"/>
        <v>0</v>
      </c>
      <c r="AY3987" s="46">
        <f t="shared" si="188"/>
        <v>0</v>
      </c>
      <c r="AZ3987" s="46">
        <f t="shared" si="189"/>
        <v>0</v>
      </c>
    </row>
    <row r="3988" spans="50:52">
      <c r="AX3988" s="46">
        <f t="shared" si="187"/>
        <v>0</v>
      </c>
      <c r="AY3988" s="46">
        <f t="shared" si="188"/>
        <v>0</v>
      </c>
      <c r="AZ3988" s="46">
        <f t="shared" si="189"/>
        <v>0</v>
      </c>
    </row>
    <row r="3989" spans="50:52">
      <c r="AX3989" s="46">
        <f t="shared" si="187"/>
        <v>0</v>
      </c>
      <c r="AY3989" s="46">
        <f t="shared" si="188"/>
        <v>0</v>
      </c>
      <c r="AZ3989" s="46">
        <f t="shared" si="189"/>
        <v>0</v>
      </c>
    </row>
    <row r="3990" spans="50:52">
      <c r="AX3990" s="46">
        <f t="shared" si="187"/>
        <v>0</v>
      </c>
      <c r="AY3990" s="46">
        <f t="shared" si="188"/>
        <v>0</v>
      </c>
      <c r="AZ3990" s="46">
        <f t="shared" si="189"/>
        <v>0</v>
      </c>
    </row>
    <row r="3991" spans="50:52">
      <c r="AX3991" s="46">
        <f t="shared" si="187"/>
        <v>0</v>
      </c>
      <c r="AY3991" s="46">
        <f t="shared" si="188"/>
        <v>0</v>
      </c>
      <c r="AZ3991" s="46">
        <f t="shared" si="189"/>
        <v>0</v>
      </c>
    </row>
    <row r="3992" spans="50:52">
      <c r="AX3992" s="46">
        <f t="shared" si="187"/>
        <v>0</v>
      </c>
      <c r="AY3992" s="46">
        <f t="shared" si="188"/>
        <v>0</v>
      </c>
      <c r="AZ3992" s="46">
        <f t="shared" si="189"/>
        <v>0</v>
      </c>
    </row>
    <row r="3993" spans="50:52">
      <c r="AX3993" s="46">
        <f t="shared" si="187"/>
        <v>0</v>
      </c>
      <c r="AY3993" s="46">
        <f t="shared" si="188"/>
        <v>0</v>
      </c>
      <c r="AZ3993" s="46">
        <f t="shared" si="189"/>
        <v>0</v>
      </c>
    </row>
    <row r="3994" spans="50:52">
      <c r="AX3994" s="46">
        <f t="shared" si="187"/>
        <v>0</v>
      </c>
      <c r="AY3994" s="46">
        <f t="shared" si="188"/>
        <v>0</v>
      </c>
      <c r="AZ3994" s="46">
        <f t="shared" si="189"/>
        <v>0</v>
      </c>
    </row>
    <row r="3995" spans="50:52">
      <c r="AX3995" s="46">
        <f t="shared" si="187"/>
        <v>0</v>
      </c>
      <c r="AY3995" s="46">
        <f t="shared" si="188"/>
        <v>0</v>
      </c>
      <c r="AZ3995" s="46">
        <f t="shared" si="189"/>
        <v>0</v>
      </c>
    </row>
    <row r="3996" spans="50:52">
      <c r="AX3996" s="46">
        <f t="shared" si="187"/>
        <v>0</v>
      </c>
      <c r="AY3996" s="46">
        <f t="shared" si="188"/>
        <v>0</v>
      </c>
      <c r="AZ3996" s="46">
        <f t="shared" si="189"/>
        <v>0</v>
      </c>
    </row>
    <row r="3997" spans="50:52">
      <c r="AX3997" s="46">
        <f t="shared" si="187"/>
        <v>0</v>
      </c>
      <c r="AY3997" s="46">
        <f t="shared" si="188"/>
        <v>0</v>
      </c>
      <c r="AZ3997" s="46">
        <f t="shared" si="189"/>
        <v>0</v>
      </c>
    </row>
    <row r="3998" spans="50:52">
      <c r="AX3998" s="46">
        <f t="shared" si="187"/>
        <v>0</v>
      </c>
      <c r="AY3998" s="46">
        <f t="shared" si="188"/>
        <v>0</v>
      </c>
      <c r="AZ3998" s="46">
        <f t="shared" si="189"/>
        <v>0</v>
      </c>
    </row>
    <row r="3999" spans="50:52">
      <c r="AX3999" s="46">
        <f t="shared" si="187"/>
        <v>0</v>
      </c>
      <c r="AY3999" s="46">
        <f t="shared" si="188"/>
        <v>0</v>
      </c>
      <c r="AZ3999" s="46">
        <f t="shared" si="189"/>
        <v>0</v>
      </c>
    </row>
    <row r="4000" spans="50:52">
      <c r="AX4000" s="46">
        <f t="shared" si="187"/>
        <v>0</v>
      </c>
      <c r="AY4000" s="46">
        <f t="shared" si="188"/>
        <v>0</v>
      </c>
      <c r="AZ4000" s="46">
        <f t="shared" si="189"/>
        <v>0</v>
      </c>
    </row>
    <row r="4001" spans="50:52">
      <c r="AX4001" s="46">
        <f t="shared" si="187"/>
        <v>0</v>
      </c>
      <c r="AY4001" s="46">
        <f t="shared" si="188"/>
        <v>0</v>
      </c>
      <c r="AZ4001" s="46">
        <f t="shared" si="189"/>
        <v>0</v>
      </c>
    </row>
    <row r="4002" spans="50:52">
      <c r="AX4002" s="46">
        <f t="shared" si="187"/>
        <v>0</v>
      </c>
      <c r="AY4002" s="46">
        <f t="shared" si="188"/>
        <v>0</v>
      </c>
      <c r="AZ4002" s="46">
        <f t="shared" si="189"/>
        <v>0</v>
      </c>
    </row>
    <row r="4003" spans="50:52">
      <c r="AX4003" s="46">
        <f t="shared" si="187"/>
        <v>0</v>
      </c>
      <c r="AY4003" s="46">
        <f t="shared" si="188"/>
        <v>0</v>
      </c>
      <c r="AZ4003" s="46">
        <f t="shared" si="189"/>
        <v>0</v>
      </c>
    </row>
    <row r="4004" spans="50:52">
      <c r="AX4004" s="46">
        <f t="shared" si="187"/>
        <v>0</v>
      </c>
      <c r="AY4004" s="46">
        <f t="shared" si="188"/>
        <v>0</v>
      </c>
      <c r="AZ4004" s="46">
        <f t="shared" si="189"/>
        <v>0</v>
      </c>
    </row>
    <row r="4005" spans="50:52">
      <c r="AX4005" s="46">
        <f t="shared" si="187"/>
        <v>0</v>
      </c>
      <c r="AY4005" s="46">
        <f t="shared" si="188"/>
        <v>0</v>
      </c>
      <c r="AZ4005" s="46">
        <f t="shared" si="189"/>
        <v>0</v>
      </c>
    </row>
    <row r="4006" spans="50:52">
      <c r="AX4006" s="46">
        <f t="shared" si="187"/>
        <v>0</v>
      </c>
      <c r="AY4006" s="46">
        <f t="shared" si="188"/>
        <v>0</v>
      </c>
      <c r="AZ4006" s="46">
        <f t="shared" si="189"/>
        <v>0</v>
      </c>
    </row>
    <row r="4007" spans="50:52">
      <c r="AX4007" s="46">
        <f t="shared" si="187"/>
        <v>0</v>
      </c>
      <c r="AY4007" s="46">
        <f t="shared" si="188"/>
        <v>0</v>
      </c>
      <c r="AZ4007" s="46">
        <f t="shared" si="189"/>
        <v>0</v>
      </c>
    </row>
    <row r="4008" spans="50:52">
      <c r="AX4008" s="46">
        <f t="shared" si="187"/>
        <v>0</v>
      </c>
      <c r="AY4008" s="46">
        <f t="shared" si="188"/>
        <v>0</v>
      </c>
      <c r="AZ4008" s="46">
        <f t="shared" si="189"/>
        <v>0</v>
      </c>
    </row>
    <row r="4009" spans="50:52">
      <c r="AX4009" s="46">
        <f t="shared" si="187"/>
        <v>0</v>
      </c>
      <c r="AY4009" s="46">
        <f t="shared" si="188"/>
        <v>0</v>
      </c>
      <c r="AZ4009" s="46">
        <f t="shared" si="189"/>
        <v>0</v>
      </c>
    </row>
    <row r="4010" spans="50:52">
      <c r="AX4010" s="46">
        <f t="shared" si="187"/>
        <v>0</v>
      </c>
      <c r="AY4010" s="46">
        <f t="shared" si="188"/>
        <v>0</v>
      </c>
      <c r="AZ4010" s="46">
        <f t="shared" si="189"/>
        <v>0</v>
      </c>
    </row>
    <row r="4011" spans="50:52">
      <c r="AX4011" s="46">
        <f t="shared" si="187"/>
        <v>0</v>
      </c>
      <c r="AY4011" s="46">
        <f t="shared" si="188"/>
        <v>0</v>
      </c>
      <c r="AZ4011" s="46">
        <f t="shared" si="189"/>
        <v>0</v>
      </c>
    </row>
    <row r="4012" spans="50:52">
      <c r="AX4012" s="46">
        <f t="shared" si="187"/>
        <v>0</v>
      </c>
      <c r="AY4012" s="46">
        <f t="shared" si="188"/>
        <v>0</v>
      </c>
      <c r="AZ4012" s="46">
        <f t="shared" si="189"/>
        <v>0</v>
      </c>
    </row>
    <row r="4013" spans="50:52">
      <c r="AX4013" s="46">
        <f t="shared" si="187"/>
        <v>0</v>
      </c>
      <c r="AY4013" s="46">
        <f t="shared" si="188"/>
        <v>0</v>
      </c>
      <c r="AZ4013" s="46">
        <f t="shared" si="189"/>
        <v>0</v>
      </c>
    </row>
    <row r="4014" spans="50:52">
      <c r="AX4014" s="46">
        <f t="shared" si="187"/>
        <v>0</v>
      </c>
      <c r="AY4014" s="46">
        <f t="shared" si="188"/>
        <v>0</v>
      </c>
      <c r="AZ4014" s="46">
        <f t="shared" si="189"/>
        <v>0</v>
      </c>
    </row>
    <row r="4015" spans="50:52">
      <c r="AX4015" s="46">
        <f t="shared" si="187"/>
        <v>0</v>
      </c>
      <c r="AY4015" s="46">
        <f t="shared" si="188"/>
        <v>0</v>
      </c>
      <c r="AZ4015" s="46">
        <f t="shared" si="189"/>
        <v>0</v>
      </c>
    </row>
    <row r="4016" spans="50:52">
      <c r="AX4016" s="46">
        <f t="shared" si="187"/>
        <v>0</v>
      </c>
      <c r="AY4016" s="46">
        <f t="shared" si="188"/>
        <v>0</v>
      </c>
      <c r="AZ4016" s="46">
        <f t="shared" si="189"/>
        <v>0</v>
      </c>
    </row>
    <row r="4017" spans="50:52">
      <c r="AX4017" s="46">
        <f t="shared" si="187"/>
        <v>0</v>
      </c>
      <c r="AY4017" s="46">
        <f t="shared" si="188"/>
        <v>0</v>
      </c>
      <c r="AZ4017" s="46">
        <f t="shared" si="189"/>
        <v>0</v>
      </c>
    </row>
    <row r="4018" spans="50:52">
      <c r="AX4018" s="46">
        <f t="shared" si="187"/>
        <v>0</v>
      </c>
      <c r="AY4018" s="46">
        <f t="shared" si="188"/>
        <v>0</v>
      </c>
      <c r="AZ4018" s="46">
        <f t="shared" si="189"/>
        <v>0</v>
      </c>
    </row>
    <row r="4019" spans="50:52">
      <c r="AX4019" s="46">
        <f t="shared" si="187"/>
        <v>0</v>
      </c>
      <c r="AY4019" s="46">
        <f t="shared" si="188"/>
        <v>0</v>
      </c>
      <c r="AZ4019" s="46">
        <f t="shared" si="189"/>
        <v>0</v>
      </c>
    </row>
    <row r="4020" spans="50:52">
      <c r="AX4020" s="46">
        <f t="shared" si="187"/>
        <v>0</v>
      </c>
      <c r="AY4020" s="46">
        <f t="shared" si="188"/>
        <v>0</v>
      </c>
      <c r="AZ4020" s="46">
        <f t="shared" si="189"/>
        <v>0</v>
      </c>
    </row>
    <row r="4021" spans="50:52">
      <c r="AX4021" s="46">
        <f t="shared" si="187"/>
        <v>0</v>
      </c>
      <c r="AY4021" s="46">
        <f t="shared" si="188"/>
        <v>0</v>
      </c>
      <c r="AZ4021" s="46">
        <f t="shared" si="189"/>
        <v>0</v>
      </c>
    </row>
    <row r="4022" spans="50:52">
      <c r="AX4022" s="46">
        <f t="shared" si="187"/>
        <v>0</v>
      </c>
      <c r="AY4022" s="46">
        <f t="shared" si="188"/>
        <v>0</v>
      </c>
      <c r="AZ4022" s="46">
        <f t="shared" si="189"/>
        <v>0</v>
      </c>
    </row>
    <row r="4023" spans="50:52">
      <c r="AX4023" s="46">
        <f t="shared" si="187"/>
        <v>0</v>
      </c>
      <c r="AY4023" s="46">
        <f t="shared" si="188"/>
        <v>0</v>
      </c>
      <c r="AZ4023" s="46">
        <f t="shared" si="189"/>
        <v>0</v>
      </c>
    </row>
    <row r="4024" spans="50:52">
      <c r="AX4024" s="46">
        <f t="shared" si="187"/>
        <v>0</v>
      </c>
      <c r="AY4024" s="46">
        <f t="shared" si="188"/>
        <v>0</v>
      </c>
      <c r="AZ4024" s="46">
        <f t="shared" si="189"/>
        <v>0</v>
      </c>
    </row>
    <row r="4025" spans="50:52">
      <c r="AX4025" s="46">
        <f t="shared" si="187"/>
        <v>0</v>
      </c>
      <c r="AY4025" s="46">
        <f t="shared" si="188"/>
        <v>0</v>
      </c>
      <c r="AZ4025" s="46">
        <f t="shared" si="189"/>
        <v>0</v>
      </c>
    </row>
    <row r="4026" spans="50:52">
      <c r="AX4026" s="46">
        <f t="shared" si="187"/>
        <v>0</v>
      </c>
      <c r="AY4026" s="46">
        <f t="shared" si="188"/>
        <v>0</v>
      </c>
      <c r="AZ4026" s="46">
        <f t="shared" si="189"/>
        <v>0</v>
      </c>
    </row>
    <row r="4027" spans="50:52">
      <c r="AX4027" s="46">
        <f t="shared" si="187"/>
        <v>0</v>
      </c>
      <c r="AY4027" s="46">
        <f t="shared" si="188"/>
        <v>0</v>
      </c>
      <c r="AZ4027" s="46">
        <f t="shared" si="189"/>
        <v>0</v>
      </c>
    </row>
    <row r="4028" spans="50:52">
      <c r="AX4028" s="46">
        <f t="shared" si="187"/>
        <v>0</v>
      </c>
      <c r="AY4028" s="46">
        <f t="shared" si="188"/>
        <v>0</v>
      </c>
      <c r="AZ4028" s="46">
        <f t="shared" si="189"/>
        <v>0</v>
      </c>
    </row>
    <row r="4029" spans="50:52">
      <c r="AX4029" s="46">
        <f t="shared" si="187"/>
        <v>0</v>
      </c>
      <c r="AY4029" s="46">
        <f t="shared" si="188"/>
        <v>0</v>
      </c>
      <c r="AZ4029" s="46">
        <f t="shared" si="189"/>
        <v>0</v>
      </c>
    </row>
    <row r="4030" spans="50:52">
      <c r="AX4030" s="46">
        <f t="shared" si="187"/>
        <v>0</v>
      </c>
      <c r="AY4030" s="46">
        <f t="shared" si="188"/>
        <v>0</v>
      </c>
      <c r="AZ4030" s="46">
        <f t="shared" si="189"/>
        <v>0</v>
      </c>
    </row>
    <row r="4031" spans="50:52">
      <c r="AX4031" s="46">
        <f t="shared" si="187"/>
        <v>0</v>
      </c>
      <c r="AY4031" s="46">
        <f t="shared" si="188"/>
        <v>0</v>
      </c>
      <c r="AZ4031" s="46">
        <f t="shared" si="189"/>
        <v>0</v>
      </c>
    </row>
    <row r="4032" spans="50:52">
      <c r="AX4032" s="46">
        <f t="shared" si="187"/>
        <v>0</v>
      </c>
      <c r="AY4032" s="46">
        <f t="shared" si="188"/>
        <v>0</v>
      </c>
      <c r="AZ4032" s="46">
        <f t="shared" si="189"/>
        <v>0</v>
      </c>
    </row>
    <row r="4033" spans="50:52">
      <c r="AX4033" s="46">
        <f t="shared" si="187"/>
        <v>0</v>
      </c>
      <c r="AY4033" s="46">
        <f t="shared" si="188"/>
        <v>0</v>
      </c>
      <c r="AZ4033" s="46">
        <f t="shared" si="189"/>
        <v>0</v>
      </c>
    </row>
    <row r="4034" spans="50:52">
      <c r="AX4034" s="46">
        <f t="shared" si="187"/>
        <v>0</v>
      </c>
      <c r="AY4034" s="46">
        <f t="shared" si="188"/>
        <v>0</v>
      </c>
      <c r="AZ4034" s="46">
        <f t="shared" si="189"/>
        <v>0</v>
      </c>
    </row>
    <row r="4035" spans="50:52">
      <c r="AX4035" s="46">
        <f t="shared" si="187"/>
        <v>0</v>
      </c>
      <c r="AY4035" s="46">
        <f t="shared" si="188"/>
        <v>0</v>
      </c>
      <c r="AZ4035" s="46">
        <f t="shared" si="189"/>
        <v>0</v>
      </c>
    </row>
    <row r="4036" spans="50:52">
      <c r="AX4036" s="46">
        <f t="shared" si="187"/>
        <v>0</v>
      </c>
      <c r="AY4036" s="46">
        <f t="shared" si="188"/>
        <v>0</v>
      </c>
      <c r="AZ4036" s="46">
        <f t="shared" si="189"/>
        <v>0</v>
      </c>
    </row>
    <row r="4037" spans="50:52">
      <c r="AX4037" s="46">
        <f t="shared" si="187"/>
        <v>0</v>
      </c>
      <c r="AY4037" s="46">
        <f t="shared" si="188"/>
        <v>0</v>
      </c>
      <c r="AZ4037" s="46">
        <f t="shared" si="189"/>
        <v>0</v>
      </c>
    </row>
    <row r="4038" spans="50:52">
      <c r="AX4038" s="46">
        <f t="shared" si="187"/>
        <v>0</v>
      </c>
      <c r="AY4038" s="46">
        <f t="shared" si="188"/>
        <v>0</v>
      </c>
      <c r="AZ4038" s="46">
        <f t="shared" si="189"/>
        <v>0</v>
      </c>
    </row>
    <row r="4039" spans="50:52">
      <c r="AX4039" s="46">
        <f t="shared" si="187"/>
        <v>0</v>
      </c>
      <c r="AY4039" s="46">
        <f t="shared" si="188"/>
        <v>0</v>
      </c>
      <c r="AZ4039" s="46">
        <f t="shared" si="189"/>
        <v>0</v>
      </c>
    </row>
    <row r="4040" spans="50:52">
      <c r="AX4040" s="46">
        <f t="shared" si="187"/>
        <v>0</v>
      </c>
      <c r="AY4040" s="46">
        <f t="shared" si="188"/>
        <v>0</v>
      </c>
      <c r="AZ4040" s="46">
        <f t="shared" si="189"/>
        <v>0</v>
      </c>
    </row>
    <row r="4041" spans="50:52">
      <c r="AX4041" s="46">
        <f t="shared" si="187"/>
        <v>0</v>
      </c>
      <c r="AY4041" s="46">
        <f t="shared" si="188"/>
        <v>0</v>
      </c>
      <c r="AZ4041" s="46">
        <f t="shared" si="189"/>
        <v>0</v>
      </c>
    </row>
    <row r="4042" spans="50:52">
      <c r="AX4042" s="46">
        <f t="shared" si="187"/>
        <v>0</v>
      </c>
      <c r="AY4042" s="46">
        <f t="shared" si="188"/>
        <v>0</v>
      </c>
      <c r="AZ4042" s="46">
        <f t="shared" si="189"/>
        <v>0</v>
      </c>
    </row>
    <row r="4043" spans="50:52">
      <c r="AX4043" s="46">
        <f t="shared" ref="AX4043:AX4106" si="190">IFERROR(SUM(Q4043:AS4043)-SUM(AT4043:AU4043)+AV4043,"-")</f>
        <v>0</v>
      </c>
      <c r="AY4043" s="46">
        <f t="shared" ref="AY4043:AY4106" si="191">IFERROR(SUM(Q4043:AS4043)-SUM(AT4043:AT4043),"-")</f>
        <v>0</v>
      </c>
      <c r="AZ4043" s="46">
        <f t="shared" ref="AZ4043:AZ4106" si="192">SUM(Q4043:AS4043)</f>
        <v>0</v>
      </c>
    </row>
    <row r="4044" spans="50:52">
      <c r="AX4044" s="46">
        <f t="shared" si="190"/>
        <v>0</v>
      </c>
      <c r="AY4044" s="46">
        <f t="shared" si="191"/>
        <v>0</v>
      </c>
      <c r="AZ4044" s="46">
        <f t="shared" si="192"/>
        <v>0</v>
      </c>
    </row>
    <row r="4045" spans="50:52">
      <c r="AX4045" s="46">
        <f t="shared" si="190"/>
        <v>0</v>
      </c>
      <c r="AY4045" s="46">
        <f t="shared" si="191"/>
        <v>0</v>
      </c>
      <c r="AZ4045" s="46">
        <f t="shared" si="192"/>
        <v>0</v>
      </c>
    </row>
    <row r="4046" spans="50:52">
      <c r="AX4046" s="46">
        <f t="shared" si="190"/>
        <v>0</v>
      </c>
      <c r="AY4046" s="46">
        <f t="shared" si="191"/>
        <v>0</v>
      </c>
      <c r="AZ4046" s="46">
        <f t="shared" si="192"/>
        <v>0</v>
      </c>
    </row>
    <row r="4047" spans="50:52">
      <c r="AX4047" s="46">
        <f t="shared" si="190"/>
        <v>0</v>
      </c>
      <c r="AY4047" s="46">
        <f t="shared" si="191"/>
        <v>0</v>
      </c>
      <c r="AZ4047" s="46">
        <f t="shared" si="192"/>
        <v>0</v>
      </c>
    </row>
    <row r="4048" spans="50:52">
      <c r="AX4048" s="46">
        <f t="shared" si="190"/>
        <v>0</v>
      </c>
      <c r="AY4048" s="46">
        <f t="shared" si="191"/>
        <v>0</v>
      </c>
      <c r="AZ4048" s="46">
        <f t="shared" si="192"/>
        <v>0</v>
      </c>
    </row>
    <row r="4049" spans="50:52">
      <c r="AX4049" s="46">
        <f t="shared" si="190"/>
        <v>0</v>
      </c>
      <c r="AY4049" s="46">
        <f t="shared" si="191"/>
        <v>0</v>
      </c>
      <c r="AZ4049" s="46">
        <f t="shared" si="192"/>
        <v>0</v>
      </c>
    </row>
    <row r="4050" spans="50:52">
      <c r="AX4050" s="46">
        <f t="shared" si="190"/>
        <v>0</v>
      </c>
      <c r="AY4050" s="46">
        <f t="shared" si="191"/>
        <v>0</v>
      </c>
      <c r="AZ4050" s="46">
        <f t="shared" si="192"/>
        <v>0</v>
      </c>
    </row>
    <row r="4051" spans="50:52">
      <c r="AX4051" s="46">
        <f t="shared" si="190"/>
        <v>0</v>
      </c>
      <c r="AY4051" s="46">
        <f t="shared" si="191"/>
        <v>0</v>
      </c>
      <c r="AZ4051" s="46">
        <f t="shared" si="192"/>
        <v>0</v>
      </c>
    </row>
    <row r="4052" spans="50:52">
      <c r="AX4052" s="46">
        <f t="shared" si="190"/>
        <v>0</v>
      </c>
      <c r="AY4052" s="46">
        <f t="shared" si="191"/>
        <v>0</v>
      </c>
      <c r="AZ4052" s="46">
        <f t="shared" si="192"/>
        <v>0</v>
      </c>
    </row>
    <row r="4053" spans="50:52">
      <c r="AX4053" s="46">
        <f t="shared" si="190"/>
        <v>0</v>
      </c>
      <c r="AY4053" s="46">
        <f t="shared" si="191"/>
        <v>0</v>
      </c>
      <c r="AZ4053" s="46">
        <f t="shared" si="192"/>
        <v>0</v>
      </c>
    </row>
    <row r="4054" spans="50:52">
      <c r="AX4054" s="46">
        <f t="shared" si="190"/>
        <v>0</v>
      </c>
      <c r="AY4054" s="46">
        <f t="shared" si="191"/>
        <v>0</v>
      </c>
      <c r="AZ4054" s="46">
        <f t="shared" si="192"/>
        <v>0</v>
      </c>
    </row>
    <row r="4055" spans="50:52">
      <c r="AX4055" s="46">
        <f t="shared" si="190"/>
        <v>0</v>
      </c>
      <c r="AY4055" s="46">
        <f t="shared" si="191"/>
        <v>0</v>
      </c>
      <c r="AZ4055" s="46">
        <f t="shared" si="192"/>
        <v>0</v>
      </c>
    </row>
    <row r="4056" spans="50:52">
      <c r="AX4056" s="46">
        <f t="shared" si="190"/>
        <v>0</v>
      </c>
      <c r="AY4056" s="46">
        <f t="shared" si="191"/>
        <v>0</v>
      </c>
      <c r="AZ4056" s="46">
        <f t="shared" si="192"/>
        <v>0</v>
      </c>
    </row>
    <row r="4057" spans="50:52">
      <c r="AX4057" s="46">
        <f t="shared" si="190"/>
        <v>0</v>
      </c>
      <c r="AY4057" s="46">
        <f t="shared" si="191"/>
        <v>0</v>
      </c>
      <c r="AZ4057" s="46">
        <f t="shared" si="192"/>
        <v>0</v>
      </c>
    </row>
    <row r="4058" spans="50:52">
      <c r="AX4058" s="46">
        <f t="shared" si="190"/>
        <v>0</v>
      </c>
      <c r="AY4058" s="46">
        <f t="shared" si="191"/>
        <v>0</v>
      </c>
      <c r="AZ4058" s="46">
        <f t="shared" si="192"/>
        <v>0</v>
      </c>
    </row>
    <row r="4059" spans="50:52">
      <c r="AX4059" s="46">
        <f t="shared" si="190"/>
        <v>0</v>
      </c>
      <c r="AY4059" s="46">
        <f t="shared" si="191"/>
        <v>0</v>
      </c>
      <c r="AZ4059" s="46">
        <f t="shared" si="192"/>
        <v>0</v>
      </c>
    </row>
    <row r="4060" spans="50:52">
      <c r="AX4060" s="46">
        <f t="shared" si="190"/>
        <v>0</v>
      </c>
      <c r="AY4060" s="46">
        <f t="shared" si="191"/>
        <v>0</v>
      </c>
      <c r="AZ4060" s="46">
        <f t="shared" si="192"/>
        <v>0</v>
      </c>
    </row>
    <row r="4061" spans="50:52">
      <c r="AX4061" s="46">
        <f t="shared" si="190"/>
        <v>0</v>
      </c>
      <c r="AY4061" s="46">
        <f t="shared" si="191"/>
        <v>0</v>
      </c>
      <c r="AZ4061" s="46">
        <f t="shared" si="192"/>
        <v>0</v>
      </c>
    </row>
    <row r="4062" spans="50:52">
      <c r="AX4062" s="46">
        <f t="shared" si="190"/>
        <v>0</v>
      </c>
      <c r="AY4062" s="46">
        <f t="shared" si="191"/>
        <v>0</v>
      </c>
      <c r="AZ4062" s="46">
        <f t="shared" si="192"/>
        <v>0</v>
      </c>
    </row>
    <row r="4063" spans="50:52">
      <c r="AX4063" s="46">
        <f t="shared" si="190"/>
        <v>0</v>
      </c>
      <c r="AY4063" s="46">
        <f t="shared" si="191"/>
        <v>0</v>
      </c>
      <c r="AZ4063" s="46">
        <f t="shared" si="192"/>
        <v>0</v>
      </c>
    </row>
    <row r="4064" spans="50:52">
      <c r="AX4064" s="46">
        <f t="shared" si="190"/>
        <v>0</v>
      </c>
      <c r="AY4064" s="46">
        <f t="shared" si="191"/>
        <v>0</v>
      </c>
      <c r="AZ4064" s="46">
        <f t="shared" si="192"/>
        <v>0</v>
      </c>
    </row>
    <row r="4065" spans="50:52">
      <c r="AX4065" s="46">
        <f t="shared" si="190"/>
        <v>0</v>
      </c>
      <c r="AY4065" s="46">
        <f t="shared" si="191"/>
        <v>0</v>
      </c>
      <c r="AZ4065" s="46">
        <f t="shared" si="192"/>
        <v>0</v>
      </c>
    </row>
    <row r="4066" spans="50:52">
      <c r="AX4066" s="46">
        <f t="shared" si="190"/>
        <v>0</v>
      </c>
      <c r="AY4066" s="46">
        <f t="shared" si="191"/>
        <v>0</v>
      </c>
      <c r="AZ4066" s="46">
        <f t="shared" si="192"/>
        <v>0</v>
      </c>
    </row>
    <row r="4067" spans="50:52">
      <c r="AX4067" s="46">
        <f t="shared" si="190"/>
        <v>0</v>
      </c>
      <c r="AY4067" s="46">
        <f t="shared" si="191"/>
        <v>0</v>
      </c>
      <c r="AZ4067" s="46">
        <f t="shared" si="192"/>
        <v>0</v>
      </c>
    </row>
    <row r="4068" spans="50:52">
      <c r="AX4068" s="46">
        <f t="shared" si="190"/>
        <v>0</v>
      </c>
      <c r="AY4068" s="46">
        <f t="shared" si="191"/>
        <v>0</v>
      </c>
      <c r="AZ4068" s="46">
        <f t="shared" si="192"/>
        <v>0</v>
      </c>
    </row>
    <row r="4069" spans="50:52">
      <c r="AX4069" s="46">
        <f t="shared" si="190"/>
        <v>0</v>
      </c>
      <c r="AY4069" s="46">
        <f t="shared" si="191"/>
        <v>0</v>
      </c>
      <c r="AZ4069" s="46">
        <f t="shared" si="192"/>
        <v>0</v>
      </c>
    </row>
    <row r="4070" spans="50:52">
      <c r="AX4070" s="46">
        <f t="shared" si="190"/>
        <v>0</v>
      </c>
      <c r="AY4070" s="46">
        <f t="shared" si="191"/>
        <v>0</v>
      </c>
      <c r="AZ4070" s="46">
        <f t="shared" si="192"/>
        <v>0</v>
      </c>
    </row>
    <row r="4071" spans="50:52">
      <c r="AX4071" s="46">
        <f t="shared" si="190"/>
        <v>0</v>
      </c>
      <c r="AY4071" s="46">
        <f t="shared" si="191"/>
        <v>0</v>
      </c>
      <c r="AZ4071" s="46">
        <f t="shared" si="192"/>
        <v>0</v>
      </c>
    </row>
    <row r="4072" spans="50:52">
      <c r="AX4072" s="46">
        <f t="shared" si="190"/>
        <v>0</v>
      </c>
      <c r="AY4072" s="46">
        <f t="shared" si="191"/>
        <v>0</v>
      </c>
      <c r="AZ4072" s="46">
        <f t="shared" si="192"/>
        <v>0</v>
      </c>
    </row>
    <row r="4073" spans="50:52">
      <c r="AX4073" s="46">
        <f t="shared" si="190"/>
        <v>0</v>
      </c>
      <c r="AY4073" s="46">
        <f t="shared" si="191"/>
        <v>0</v>
      </c>
      <c r="AZ4073" s="46">
        <f t="shared" si="192"/>
        <v>0</v>
      </c>
    </row>
    <row r="4074" spans="50:52">
      <c r="AX4074" s="46">
        <f t="shared" si="190"/>
        <v>0</v>
      </c>
      <c r="AY4074" s="46">
        <f t="shared" si="191"/>
        <v>0</v>
      </c>
      <c r="AZ4074" s="46">
        <f t="shared" si="192"/>
        <v>0</v>
      </c>
    </row>
    <row r="4075" spans="50:52">
      <c r="AX4075" s="46">
        <f t="shared" si="190"/>
        <v>0</v>
      </c>
      <c r="AY4075" s="46">
        <f t="shared" si="191"/>
        <v>0</v>
      </c>
      <c r="AZ4075" s="46">
        <f t="shared" si="192"/>
        <v>0</v>
      </c>
    </row>
    <row r="4076" spans="50:52">
      <c r="AX4076" s="46">
        <f t="shared" si="190"/>
        <v>0</v>
      </c>
      <c r="AY4076" s="46">
        <f t="shared" si="191"/>
        <v>0</v>
      </c>
      <c r="AZ4076" s="46">
        <f t="shared" si="192"/>
        <v>0</v>
      </c>
    </row>
    <row r="4077" spans="50:52">
      <c r="AX4077" s="46">
        <f t="shared" si="190"/>
        <v>0</v>
      </c>
      <c r="AY4077" s="46">
        <f t="shared" si="191"/>
        <v>0</v>
      </c>
      <c r="AZ4077" s="46">
        <f t="shared" si="192"/>
        <v>0</v>
      </c>
    </row>
    <row r="4078" spans="50:52">
      <c r="AX4078" s="46">
        <f t="shared" si="190"/>
        <v>0</v>
      </c>
      <c r="AY4078" s="46">
        <f t="shared" si="191"/>
        <v>0</v>
      </c>
      <c r="AZ4078" s="46">
        <f t="shared" si="192"/>
        <v>0</v>
      </c>
    </row>
    <row r="4079" spans="50:52">
      <c r="AX4079" s="46">
        <f t="shared" si="190"/>
        <v>0</v>
      </c>
      <c r="AY4079" s="46">
        <f t="shared" si="191"/>
        <v>0</v>
      </c>
      <c r="AZ4079" s="46">
        <f t="shared" si="192"/>
        <v>0</v>
      </c>
    </row>
    <row r="4080" spans="50:52">
      <c r="AX4080" s="46">
        <f t="shared" si="190"/>
        <v>0</v>
      </c>
      <c r="AY4080" s="46">
        <f t="shared" si="191"/>
        <v>0</v>
      </c>
      <c r="AZ4080" s="46">
        <f t="shared" si="192"/>
        <v>0</v>
      </c>
    </row>
    <row r="4081" spans="50:52">
      <c r="AX4081" s="46">
        <f t="shared" si="190"/>
        <v>0</v>
      </c>
      <c r="AY4081" s="46">
        <f t="shared" si="191"/>
        <v>0</v>
      </c>
      <c r="AZ4081" s="46">
        <f t="shared" si="192"/>
        <v>0</v>
      </c>
    </row>
    <row r="4082" spans="50:52">
      <c r="AX4082" s="46">
        <f t="shared" si="190"/>
        <v>0</v>
      </c>
      <c r="AY4082" s="46">
        <f t="shared" si="191"/>
        <v>0</v>
      </c>
      <c r="AZ4082" s="46">
        <f t="shared" si="192"/>
        <v>0</v>
      </c>
    </row>
    <row r="4083" spans="50:52">
      <c r="AX4083" s="46">
        <f t="shared" si="190"/>
        <v>0</v>
      </c>
      <c r="AY4083" s="46">
        <f t="shared" si="191"/>
        <v>0</v>
      </c>
      <c r="AZ4083" s="46">
        <f t="shared" si="192"/>
        <v>0</v>
      </c>
    </row>
    <row r="4084" spans="50:52">
      <c r="AX4084" s="46">
        <f t="shared" si="190"/>
        <v>0</v>
      </c>
      <c r="AY4084" s="46">
        <f t="shared" si="191"/>
        <v>0</v>
      </c>
      <c r="AZ4084" s="46">
        <f t="shared" si="192"/>
        <v>0</v>
      </c>
    </row>
    <row r="4085" spans="50:52">
      <c r="AX4085" s="46">
        <f t="shared" si="190"/>
        <v>0</v>
      </c>
      <c r="AY4085" s="46">
        <f t="shared" si="191"/>
        <v>0</v>
      </c>
      <c r="AZ4085" s="46">
        <f t="shared" si="192"/>
        <v>0</v>
      </c>
    </row>
    <row r="4086" spans="50:52">
      <c r="AX4086" s="46">
        <f t="shared" si="190"/>
        <v>0</v>
      </c>
      <c r="AY4086" s="46">
        <f t="shared" si="191"/>
        <v>0</v>
      </c>
      <c r="AZ4086" s="46">
        <f t="shared" si="192"/>
        <v>0</v>
      </c>
    </row>
    <row r="4087" spans="50:52">
      <c r="AX4087" s="46">
        <f t="shared" si="190"/>
        <v>0</v>
      </c>
      <c r="AY4087" s="46">
        <f t="shared" si="191"/>
        <v>0</v>
      </c>
      <c r="AZ4087" s="46">
        <f t="shared" si="192"/>
        <v>0</v>
      </c>
    </row>
    <row r="4088" spans="50:52">
      <c r="AX4088" s="46">
        <f t="shared" si="190"/>
        <v>0</v>
      </c>
      <c r="AY4088" s="46">
        <f t="shared" si="191"/>
        <v>0</v>
      </c>
      <c r="AZ4088" s="46">
        <f t="shared" si="192"/>
        <v>0</v>
      </c>
    </row>
    <row r="4089" spans="50:52">
      <c r="AX4089" s="46">
        <f t="shared" si="190"/>
        <v>0</v>
      </c>
      <c r="AY4089" s="46">
        <f t="shared" si="191"/>
        <v>0</v>
      </c>
      <c r="AZ4089" s="46">
        <f t="shared" si="192"/>
        <v>0</v>
      </c>
    </row>
    <row r="4090" spans="50:52">
      <c r="AX4090" s="46">
        <f t="shared" si="190"/>
        <v>0</v>
      </c>
      <c r="AY4090" s="46">
        <f t="shared" si="191"/>
        <v>0</v>
      </c>
      <c r="AZ4090" s="46">
        <f t="shared" si="192"/>
        <v>0</v>
      </c>
    </row>
    <row r="4091" spans="50:52">
      <c r="AX4091" s="46">
        <f t="shared" si="190"/>
        <v>0</v>
      </c>
      <c r="AY4091" s="46">
        <f t="shared" si="191"/>
        <v>0</v>
      </c>
      <c r="AZ4091" s="46">
        <f t="shared" si="192"/>
        <v>0</v>
      </c>
    </row>
    <row r="4092" spans="50:52">
      <c r="AX4092" s="46">
        <f t="shared" si="190"/>
        <v>0</v>
      </c>
      <c r="AY4092" s="46">
        <f t="shared" si="191"/>
        <v>0</v>
      </c>
      <c r="AZ4092" s="46">
        <f t="shared" si="192"/>
        <v>0</v>
      </c>
    </row>
    <row r="4093" spans="50:52">
      <c r="AX4093" s="46">
        <f t="shared" si="190"/>
        <v>0</v>
      </c>
      <c r="AY4093" s="46">
        <f t="shared" si="191"/>
        <v>0</v>
      </c>
      <c r="AZ4093" s="46">
        <f t="shared" si="192"/>
        <v>0</v>
      </c>
    </row>
    <row r="4094" spans="50:52">
      <c r="AX4094" s="46">
        <f t="shared" si="190"/>
        <v>0</v>
      </c>
      <c r="AY4094" s="46">
        <f t="shared" si="191"/>
        <v>0</v>
      </c>
      <c r="AZ4094" s="46">
        <f t="shared" si="192"/>
        <v>0</v>
      </c>
    </row>
    <row r="4095" spans="50:52">
      <c r="AX4095" s="46">
        <f t="shared" si="190"/>
        <v>0</v>
      </c>
      <c r="AY4095" s="46">
        <f t="shared" si="191"/>
        <v>0</v>
      </c>
      <c r="AZ4095" s="46">
        <f t="shared" si="192"/>
        <v>0</v>
      </c>
    </row>
    <row r="4096" spans="50:52">
      <c r="AX4096" s="46">
        <f t="shared" si="190"/>
        <v>0</v>
      </c>
      <c r="AY4096" s="46">
        <f t="shared" si="191"/>
        <v>0</v>
      </c>
      <c r="AZ4096" s="46">
        <f t="shared" si="192"/>
        <v>0</v>
      </c>
    </row>
    <row r="4097" spans="50:52">
      <c r="AX4097" s="46">
        <f t="shared" si="190"/>
        <v>0</v>
      </c>
      <c r="AY4097" s="46">
        <f t="shared" si="191"/>
        <v>0</v>
      </c>
      <c r="AZ4097" s="46">
        <f t="shared" si="192"/>
        <v>0</v>
      </c>
    </row>
    <row r="4098" spans="50:52">
      <c r="AX4098" s="46">
        <f t="shared" si="190"/>
        <v>0</v>
      </c>
      <c r="AY4098" s="46">
        <f t="shared" si="191"/>
        <v>0</v>
      </c>
      <c r="AZ4098" s="46">
        <f t="shared" si="192"/>
        <v>0</v>
      </c>
    </row>
    <row r="4099" spans="50:52">
      <c r="AX4099" s="46">
        <f t="shared" si="190"/>
        <v>0</v>
      </c>
      <c r="AY4099" s="46">
        <f t="shared" si="191"/>
        <v>0</v>
      </c>
      <c r="AZ4099" s="46">
        <f t="shared" si="192"/>
        <v>0</v>
      </c>
    </row>
    <row r="4100" spans="50:52">
      <c r="AX4100" s="46">
        <f t="shared" si="190"/>
        <v>0</v>
      </c>
      <c r="AY4100" s="46">
        <f t="shared" si="191"/>
        <v>0</v>
      </c>
      <c r="AZ4100" s="46">
        <f t="shared" si="192"/>
        <v>0</v>
      </c>
    </row>
    <row r="4101" spans="50:52">
      <c r="AX4101" s="46">
        <f t="shared" si="190"/>
        <v>0</v>
      </c>
      <c r="AY4101" s="46">
        <f t="shared" si="191"/>
        <v>0</v>
      </c>
      <c r="AZ4101" s="46">
        <f t="shared" si="192"/>
        <v>0</v>
      </c>
    </row>
    <row r="4102" spans="50:52">
      <c r="AX4102" s="46">
        <f t="shared" si="190"/>
        <v>0</v>
      </c>
      <c r="AY4102" s="46">
        <f t="shared" si="191"/>
        <v>0</v>
      </c>
      <c r="AZ4102" s="46">
        <f t="shared" si="192"/>
        <v>0</v>
      </c>
    </row>
    <row r="4103" spans="50:52">
      <c r="AX4103" s="46">
        <f t="shared" si="190"/>
        <v>0</v>
      </c>
      <c r="AY4103" s="46">
        <f t="shared" si="191"/>
        <v>0</v>
      </c>
      <c r="AZ4103" s="46">
        <f t="shared" si="192"/>
        <v>0</v>
      </c>
    </row>
    <row r="4104" spans="50:52">
      <c r="AX4104" s="46">
        <f t="shared" si="190"/>
        <v>0</v>
      </c>
      <c r="AY4104" s="46">
        <f t="shared" si="191"/>
        <v>0</v>
      </c>
      <c r="AZ4104" s="46">
        <f t="shared" si="192"/>
        <v>0</v>
      </c>
    </row>
    <row r="4105" spans="50:52">
      <c r="AX4105" s="46">
        <f t="shared" si="190"/>
        <v>0</v>
      </c>
      <c r="AY4105" s="46">
        <f t="shared" si="191"/>
        <v>0</v>
      </c>
      <c r="AZ4105" s="46">
        <f t="shared" si="192"/>
        <v>0</v>
      </c>
    </row>
    <row r="4106" spans="50:52">
      <c r="AX4106" s="46">
        <f t="shared" si="190"/>
        <v>0</v>
      </c>
      <c r="AY4106" s="46">
        <f t="shared" si="191"/>
        <v>0</v>
      </c>
      <c r="AZ4106" s="46">
        <f t="shared" si="192"/>
        <v>0</v>
      </c>
    </row>
    <row r="4107" spans="50:52">
      <c r="AX4107" s="46">
        <f t="shared" ref="AX4107:AX4170" si="193">IFERROR(SUM(Q4107:AS4107)-SUM(AT4107:AU4107)+AV4107,"-")</f>
        <v>0</v>
      </c>
      <c r="AY4107" s="46">
        <f t="shared" ref="AY4107:AY4170" si="194">IFERROR(SUM(Q4107:AS4107)-SUM(AT4107:AT4107),"-")</f>
        <v>0</v>
      </c>
      <c r="AZ4107" s="46">
        <f t="shared" ref="AZ4107:AZ4170" si="195">SUM(Q4107:AS4107)</f>
        <v>0</v>
      </c>
    </row>
    <row r="4108" spans="50:52">
      <c r="AX4108" s="46">
        <f t="shared" si="193"/>
        <v>0</v>
      </c>
      <c r="AY4108" s="46">
        <f t="shared" si="194"/>
        <v>0</v>
      </c>
      <c r="AZ4108" s="46">
        <f t="shared" si="195"/>
        <v>0</v>
      </c>
    </row>
    <row r="4109" spans="50:52">
      <c r="AX4109" s="46">
        <f t="shared" si="193"/>
        <v>0</v>
      </c>
      <c r="AY4109" s="46">
        <f t="shared" si="194"/>
        <v>0</v>
      </c>
      <c r="AZ4109" s="46">
        <f t="shared" si="195"/>
        <v>0</v>
      </c>
    </row>
    <row r="4110" spans="50:52">
      <c r="AX4110" s="46">
        <f t="shared" si="193"/>
        <v>0</v>
      </c>
      <c r="AY4110" s="46">
        <f t="shared" si="194"/>
        <v>0</v>
      </c>
      <c r="AZ4110" s="46">
        <f t="shared" si="195"/>
        <v>0</v>
      </c>
    </row>
    <row r="4111" spans="50:52">
      <c r="AX4111" s="46">
        <f t="shared" si="193"/>
        <v>0</v>
      </c>
      <c r="AY4111" s="46">
        <f t="shared" si="194"/>
        <v>0</v>
      </c>
      <c r="AZ4111" s="46">
        <f t="shared" si="195"/>
        <v>0</v>
      </c>
    </row>
    <row r="4112" spans="50:52">
      <c r="AX4112" s="46">
        <f t="shared" si="193"/>
        <v>0</v>
      </c>
      <c r="AY4112" s="46">
        <f t="shared" si="194"/>
        <v>0</v>
      </c>
      <c r="AZ4112" s="46">
        <f t="shared" si="195"/>
        <v>0</v>
      </c>
    </row>
    <row r="4113" spans="50:52">
      <c r="AX4113" s="46">
        <f t="shared" si="193"/>
        <v>0</v>
      </c>
      <c r="AY4113" s="46">
        <f t="shared" si="194"/>
        <v>0</v>
      </c>
      <c r="AZ4113" s="46">
        <f t="shared" si="195"/>
        <v>0</v>
      </c>
    </row>
    <row r="4114" spans="50:52">
      <c r="AX4114" s="46">
        <f t="shared" si="193"/>
        <v>0</v>
      </c>
      <c r="AY4114" s="46">
        <f t="shared" si="194"/>
        <v>0</v>
      </c>
      <c r="AZ4114" s="46">
        <f t="shared" si="195"/>
        <v>0</v>
      </c>
    </row>
    <row r="4115" spans="50:52">
      <c r="AX4115" s="46">
        <f t="shared" si="193"/>
        <v>0</v>
      </c>
      <c r="AY4115" s="46">
        <f t="shared" si="194"/>
        <v>0</v>
      </c>
      <c r="AZ4115" s="46">
        <f t="shared" si="195"/>
        <v>0</v>
      </c>
    </row>
    <row r="4116" spans="50:52">
      <c r="AX4116" s="46">
        <f t="shared" si="193"/>
        <v>0</v>
      </c>
      <c r="AY4116" s="46">
        <f t="shared" si="194"/>
        <v>0</v>
      </c>
      <c r="AZ4116" s="46">
        <f t="shared" si="195"/>
        <v>0</v>
      </c>
    </row>
    <row r="4117" spans="50:52">
      <c r="AX4117" s="46">
        <f t="shared" si="193"/>
        <v>0</v>
      </c>
      <c r="AY4117" s="46">
        <f t="shared" si="194"/>
        <v>0</v>
      </c>
      <c r="AZ4117" s="46">
        <f t="shared" si="195"/>
        <v>0</v>
      </c>
    </row>
    <row r="4118" spans="50:52">
      <c r="AX4118" s="46">
        <f t="shared" si="193"/>
        <v>0</v>
      </c>
      <c r="AY4118" s="46">
        <f t="shared" si="194"/>
        <v>0</v>
      </c>
      <c r="AZ4118" s="46">
        <f t="shared" si="195"/>
        <v>0</v>
      </c>
    </row>
    <row r="4119" spans="50:52">
      <c r="AX4119" s="46">
        <f t="shared" si="193"/>
        <v>0</v>
      </c>
      <c r="AY4119" s="46">
        <f t="shared" si="194"/>
        <v>0</v>
      </c>
      <c r="AZ4119" s="46">
        <f t="shared" si="195"/>
        <v>0</v>
      </c>
    </row>
    <row r="4120" spans="50:52">
      <c r="AX4120" s="46">
        <f t="shared" si="193"/>
        <v>0</v>
      </c>
      <c r="AY4120" s="46">
        <f t="shared" si="194"/>
        <v>0</v>
      </c>
      <c r="AZ4120" s="46">
        <f t="shared" si="195"/>
        <v>0</v>
      </c>
    </row>
    <row r="4121" spans="50:52">
      <c r="AX4121" s="46">
        <f t="shared" si="193"/>
        <v>0</v>
      </c>
      <c r="AY4121" s="46">
        <f t="shared" si="194"/>
        <v>0</v>
      </c>
      <c r="AZ4121" s="46">
        <f t="shared" si="195"/>
        <v>0</v>
      </c>
    </row>
    <row r="4122" spans="50:52">
      <c r="AX4122" s="46">
        <f t="shared" si="193"/>
        <v>0</v>
      </c>
      <c r="AY4122" s="46">
        <f t="shared" si="194"/>
        <v>0</v>
      </c>
      <c r="AZ4122" s="46">
        <f t="shared" si="195"/>
        <v>0</v>
      </c>
    </row>
    <row r="4123" spans="50:52">
      <c r="AX4123" s="46">
        <f t="shared" si="193"/>
        <v>0</v>
      </c>
      <c r="AY4123" s="46">
        <f t="shared" si="194"/>
        <v>0</v>
      </c>
      <c r="AZ4123" s="46">
        <f t="shared" si="195"/>
        <v>0</v>
      </c>
    </row>
    <row r="4124" spans="50:52">
      <c r="AX4124" s="46">
        <f t="shared" si="193"/>
        <v>0</v>
      </c>
      <c r="AY4124" s="46">
        <f t="shared" si="194"/>
        <v>0</v>
      </c>
      <c r="AZ4124" s="46">
        <f t="shared" si="195"/>
        <v>0</v>
      </c>
    </row>
    <row r="4125" spans="50:52">
      <c r="AX4125" s="46">
        <f t="shared" si="193"/>
        <v>0</v>
      </c>
      <c r="AY4125" s="46">
        <f t="shared" si="194"/>
        <v>0</v>
      </c>
      <c r="AZ4125" s="46">
        <f t="shared" si="195"/>
        <v>0</v>
      </c>
    </row>
    <row r="4126" spans="50:52">
      <c r="AX4126" s="46">
        <f t="shared" si="193"/>
        <v>0</v>
      </c>
      <c r="AY4126" s="46">
        <f t="shared" si="194"/>
        <v>0</v>
      </c>
      <c r="AZ4126" s="46">
        <f t="shared" si="195"/>
        <v>0</v>
      </c>
    </row>
    <row r="4127" spans="50:52">
      <c r="AX4127" s="46">
        <f t="shared" si="193"/>
        <v>0</v>
      </c>
      <c r="AY4127" s="46">
        <f t="shared" si="194"/>
        <v>0</v>
      </c>
      <c r="AZ4127" s="46">
        <f t="shared" si="195"/>
        <v>0</v>
      </c>
    </row>
    <row r="4128" spans="50:52">
      <c r="AX4128" s="46">
        <f t="shared" si="193"/>
        <v>0</v>
      </c>
      <c r="AY4128" s="46">
        <f t="shared" si="194"/>
        <v>0</v>
      </c>
      <c r="AZ4128" s="46">
        <f t="shared" si="195"/>
        <v>0</v>
      </c>
    </row>
    <row r="4129" spans="50:52">
      <c r="AX4129" s="46">
        <f t="shared" si="193"/>
        <v>0</v>
      </c>
      <c r="AY4129" s="46">
        <f t="shared" si="194"/>
        <v>0</v>
      </c>
      <c r="AZ4129" s="46">
        <f t="shared" si="195"/>
        <v>0</v>
      </c>
    </row>
    <row r="4130" spans="50:52">
      <c r="AX4130" s="46">
        <f t="shared" si="193"/>
        <v>0</v>
      </c>
      <c r="AY4130" s="46">
        <f t="shared" si="194"/>
        <v>0</v>
      </c>
      <c r="AZ4130" s="46">
        <f t="shared" si="195"/>
        <v>0</v>
      </c>
    </row>
    <row r="4131" spans="50:52">
      <c r="AX4131" s="46">
        <f t="shared" si="193"/>
        <v>0</v>
      </c>
      <c r="AY4131" s="46">
        <f t="shared" si="194"/>
        <v>0</v>
      </c>
      <c r="AZ4131" s="46">
        <f t="shared" si="195"/>
        <v>0</v>
      </c>
    </row>
    <row r="4132" spans="50:52">
      <c r="AX4132" s="46">
        <f t="shared" si="193"/>
        <v>0</v>
      </c>
      <c r="AY4132" s="46">
        <f t="shared" si="194"/>
        <v>0</v>
      </c>
      <c r="AZ4132" s="46">
        <f t="shared" si="195"/>
        <v>0</v>
      </c>
    </row>
    <row r="4133" spans="50:52">
      <c r="AX4133" s="46">
        <f t="shared" si="193"/>
        <v>0</v>
      </c>
      <c r="AY4133" s="46">
        <f t="shared" si="194"/>
        <v>0</v>
      </c>
      <c r="AZ4133" s="46">
        <f t="shared" si="195"/>
        <v>0</v>
      </c>
    </row>
    <row r="4134" spans="50:52">
      <c r="AX4134" s="46">
        <f t="shared" si="193"/>
        <v>0</v>
      </c>
      <c r="AY4134" s="46">
        <f t="shared" si="194"/>
        <v>0</v>
      </c>
      <c r="AZ4134" s="46">
        <f t="shared" si="195"/>
        <v>0</v>
      </c>
    </row>
    <row r="4135" spans="50:52">
      <c r="AX4135" s="46">
        <f t="shared" si="193"/>
        <v>0</v>
      </c>
      <c r="AY4135" s="46">
        <f t="shared" si="194"/>
        <v>0</v>
      </c>
      <c r="AZ4135" s="46">
        <f t="shared" si="195"/>
        <v>0</v>
      </c>
    </row>
    <row r="4136" spans="50:52">
      <c r="AX4136" s="46">
        <f t="shared" si="193"/>
        <v>0</v>
      </c>
      <c r="AY4136" s="46">
        <f t="shared" si="194"/>
        <v>0</v>
      </c>
      <c r="AZ4136" s="46">
        <f t="shared" si="195"/>
        <v>0</v>
      </c>
    </row>
    <row r="4137" spans="50:52">
      <c r="AX4137" s="46">
        <f t="shared" si="193"/>
        <v>0</v>
      </c>
      <c r="AY4137" s="46">
        <f t="shared" si="194"/>
        <v>0</v>
      </c>
      <c r="AZ4137" s="46">
        <f t="shared" si="195"/>
        <v>0</v>
      </c>
    </row>
    <row r="4138" spans="50:52">
      <c r="AX4138" s="46">
        <f t="shared" si="193"/>
        <v>0</v>
      </c>
      <c r="AY4138" s="46">
        <f t="shared" si="194"/>
        <v>0</v>
      </c>
      <c r="AZ4138" s="46">
        <f t="shared" si="195"/>
        <v>0</v>
      </c>
    </row>
    <row r="4139" spans="50:52">
      <c r="AX4139" s="46">
        <f t="shared" si="193"/>
        <v>0</v>
      </c>
      <c r="AY4139" s="46">
        <f t="shared" si="194"/>
        <v>0</v>
      </c>
      <c r="AZ4139" s="46">
        <f t="shared" si="195"/>
        <v>0</v>
      </c>
    </row>
    <row r="4140" spans="50:52">
      <c r="AX4140" s="46">
        <f t="shared" si="193"/>
        <v>0</v>
      </c>
      <c r="AY4140" s="46">
        <f t="shared" si="194"/>
        <v>0</v>
      </c>
      <c r="AZ4140" s="46">
        <f t="shared" si="195"/>
        <v>0</v>
      </c>
    </row>
    <row r="4141" spans="50:52">
      <c r="AX4141" s="46">
        <f t="shared" si="193"/>
        <v>0</v>
      </c>
      <c r="AY4141" s="46">
        <f t="shared" si="194"/>
        <v>0</v>
      </c>
      <c r="AZ4141" s="46">
        <f t="shared" si="195"/>
        <v>0</v>
      </c>
    </row>
    <row r="4142" spans="50:52">
      <c r="AX4142" s="46">
        <f t="shared" si="193"/>
        <v>0</v>
      </c>
      <c r="AY4142" s="46">
        <f t="shared" si="194"/>
        <v>0</v>
      </c>
      <c r="AZ4142" s="46">
        <f t="shared" si="195"/>
        <v>0</v>
      </c>
    </row>
    <row r="4143" spans="50:52">
      <c r="AX4143" s="46">
        <f t="shared" si="193"/>
        <v>0</v>
      </c>
      <c r="AY4143" s="46">
        <f t="shared" si="194"/>
        <v>0</v>
      </c>
      <c r="AZ4143" s="46">
        <f t="shared" si="195"/>
        <v>0</v>
      </c>
    </row>
    <row r="4144" spans="50:52">
      <c r="AX4144" s="46">
        <f t="shared" si="193"/>
        <v>0</v>
      </c>
      <c r="AY4144" s="46">
        <f t="shared" si="194"/>
        <v>0</v>
      </c>
      <c r="AZ4144" s="46">
        <f t="shared" si="195"/>
        <v>0</v>
      </c>
    </row>
    <row r="4145" spans="50:52">
      <c r="AX4145" s="46">
        <f t="shared" si="193"/>
        <v>0</v>
      </c>
      <c r="AY4145" s="46">
        <f t="shared" si="194"/>
        <v>0</v>
      </c>
      <c r="AZ4145" s="46">
        <f t="shared" si="195"/>
        <v>0</v>
      </c>
    </row>
    <row r="4146" spans="50:52">
      <c r="AX4146" s="46">
        <f t="shared" si="193"/>
        <v>0</v>
      </c>
      <c r="AY4146" s="46">
        <f t="shared" si="194"/>
        <v>0</v>
      </c>
      <c r="AZ4146" s="46">
        <f t="shared" si="195"/>
        <v>0</v>
      </c>
    </row>
    <row r="4147" spans="50:52">
      <c r="AX4147" s="46">
        <f t="shared" si="193"/>
        <v>0</v>
      </c>
      <c r="AY4147" s="46">
        <f t="shared" si="194"/>
        <v>0</v>
      </c>
      <c r="AZ4147" s="46">
        <f t="shared" si="195"/>
        <v>0</v>
      </c>
    </row>
    <row r="4148" spans="50:52">
      <c r="AX4148" s="46">
        <f t="shared" si="193"/>
        <v>0</v>
      </c>
      <c r="AY4148" s="46">
        <f t="shared" si="194"/>
        <v>0</v>
      </c>
      <c r="AZ4148" s="46">
        <f t="shared" si="195"/>
        <v>0</v>
      </c>
    </row>
    <row r="4149" spans="50:52">
      <c r="AX4149" s="46">
        <f t="shared" si="193"/>
        <v>0</v>
      </c>
      <c r="AY4149" s="46">
        <f t="shared" si="194"/>
        <v>0</v>
      </c>
      <c r="AZ4149" s="46">
        <f t="shared" si="195"/>
        <v>0</v>
      </c>
    </row>
    <row r="4150" spans="50:52">
      <c r="AX4150" s="46">
        <f t="shared" si="193"/>
        <v>0</v>
      </c>
      <c r="AY4150" s="46">
        <f t="shared" si="194"/>
        <v>0</v>
      </c>
      <c r="AZ4150" s="46">
        <f t="shared" si="195"/>
        <v>0</v>
      </c>
    </row>
    <row r="4151" spans="50:52">
      <c r="AX4151" s="46">
        <f t="shared" si="193"/>
        <v>0</v>
      </c>
      <c r="AY4151" s="46">
        <f t="shared" si="194"/>
        <v>0</v>
      </c>
      <c r="AZ4151" s="46">
        <f t="shared" si="195"/>
        <v>0</v>
      </c>
    </row>
    <row r="4152" spans="50:52">
      <c r="AX4152" s="46">
        <f t="shared" si="193"/>
        <v>0</v>
      </c>
      <c r="AY4152" s="46">
        <f t="shared" si="194"/>
        <v>0</v>
      </c>
      <c r="AZ4152" s="46">
        <f t="shared" si="195"/>
        <v>0</v>
      </c>
    </row>
    <row r="4153" spans="50:52">
      <c r="AX4153" s="46">
        <f t="shared" si="193"/>
        <v>0</v>
      </c>
      <c r="AY4153" s="46">
        <f t="shared" si="194"/>
        <v>0</v>
      </c>
      <c r="AZ4153" s="46">
        <f t="shared" si="195"/>
        <v>0</v>
      </c>
    </row>
    <row r="4154" spans="50:52">
      <c r="AX4154" s="46">
        <f t="shared" si="193"/>
        <v>0</v>
      </c>
      <c r="AY4154" s="46">
        <f t="shared" si="194"/>
        <v>0</v>
      </c>
      <c r="AZ4154" s="46">
        <f t="shared" si="195"/>
        <v>0</v>
      </c>
    </row>
    <row r="4155" spans="50:52">
      <c r="AX4155" s="46">
        <f t="shared" si="193"/>
        <v>0</v>
      </c>
      <c r="AY4155" s="46">
        <f t="shared" si="194"/>
        <v>0</v>
      </c>
      <c r="AZ4155" s="46">
        <f t="shared" si="195"/>
        <v>0</v>
      </c>
    </row>
    <row r="4156" spans="50:52">
      <c r="AX4156" s="46">
        <f t="shared" si="193"/>
        <v>0</v>
      </c>
      <c r="AY4156" s="46">
        <f t="shared" si="194"/>
        <v>0</v>
      </c>
      <c r="AZ4156" s="46">
        <f t="shared" si="195"/>
        <v>0</v>
      </c>
    </row>
    <row r="4157" spans="50:52">
      <c r="AX4157" s="46">
        <f t="shared" si="193"/>
        <v>0</v>
      </c>
      <c r="AY4157" s="46">
        <f t="shared" si="194"/>
        <v>0</v>
      </c>
      <c r="AZ4157" s="46">
        <f t="shared" si="195"/>
        <v>0</v>
      </c>
    </row>
    <row r="4158" spans="50:52">
      <c r="AX4158" s="46">
        <f t="shared" si="193"/>
        <v>0</v>
      </c>
      <c r="AY4158" s="46">
        <f t="shared" si="194"/>
        <v>0</v>
      </c>
      <c r="AZ4158" s="46">
        <f t="shared" si="195"/>
        <v>0</v>
      </c>
    </row>
    <row r="4159" spans="50:52">
      <c r="AX4159" s="46">
        <f t="shared" si="193"/>
        <v>0</v>
      </c>
      <c r="AY4159" s="46">
        <f t="shared" si="194"/>
        <v>0</v>
      </c>
      <c r="AZ4159" s="46">
        <f t="shared" si="195"/>
        <v>0</v>
      </c>
    </row>
    <row r="4160" spans="50:52">
      <c r="AX4160" s="46">
        <f t="shared" si="193"/>
        <v>0</v>
      </c>
      <c r="AY4160" s="46">
        <f t="shared" si="194"/>
        <v>0</v>
      </c>
      <c r="AZ4160" s="46">
        <f t="shared" si="195"/>
        <v>0</v>
      </c>
    </row>
    <row r="4161" spans="50:52">
      <c r="AX4161" s="46">
        <f t="shared" si="193"/>
        <v>0</v>
      </c>
      <c r="AY4161" s="46">
        <f t="shared" si="194"/>
        <v>0</v>
      </c>
      <c r="AZ4161" s="46">
        <f t="shared" si="195"/>
        <v>0</v>
      </c>
    </row>
    <row r="4162" spans="50:52">
      <c r="AX4162" s="46">
        <f t="shared" si="193"/>
        <v>0</v>
      </c>
      <c r="AY4162" s="46">
        <f t="shared" si="194"/>
        <v>0</v>
      </c>
      <c r="AZ4162" s="46">
        <f t="shared" si="195"/>
        <v>0</v>
      </c>
    </row>
    <row r="4163" spans="50:52">
      <c r="AX4163" s="46">
        <f t="shared" si="193"/>
        <v>0</v>
      </c>
      <c r="AY4163" s="46">
        <f t="shared" si="194"/>
        <v>0</v>
      </c>
      <c r="AZ4163" s="46">
        <f t="shared" si="195"/>
        <v>0</v>
      </c>
    </row>
    <row r="4164" spans="50:52">
      <c r="AX4164" s="46">
        <f t="shared" si="193"/>
        <v>0</v>
      </c>
      <c r="AY4164" s="46">
        <f t="shared" si="194"/>
        <v>0</v>
      </c>
      <c r="AZ4164" s="46">
        <f t="shared" si="195"/>
        <v>0</v>
      </c>
    </row>
    <row r="4165" spans="50:52">
      <c r="AX4165" s="46">
        <f t="shared" si="193"/>
        <v>0</v>
      </c>
      <c r="AY4165" s="46">
        <f t="shared" si="194"/>
        <v>0</v>
      </c>
      <c r="AZ4165" s="46">
        <f t="shared" si="195"/>
        <v>0</v>
      </c>
    </row>
    <row r="4166" spans="50:52">
      <c r="AX4166" s="46">
        <f t="shared" si="193"/>
        <v>0</v>
      </c>
      <c r="AY4166" s="46">
        <f t="shared" si="194"/>
        <v>0</v>
      </c>
      <c r="AZ4166" s="46">
        <f t="shared" si="195"/>
        <v>0</v>
      </c>
    </row>
    <row r="4167" spans="50:52">
      <c r="AX4167" s="46">
        <f t="shared" si="193"/>
        <v>0</v>
      </c>
      <c r="AY4167" s="46">
        <f t="shared" si="194"/>
        <v>0</v>
      </c>
      <c r="AZ4167" s="46">
        <f t="shared" si="195"/>
        <v>0</v>
      </c>
    </row>
    <row r="4168" spans="50:52">
      <c r="AX4168" s="46">
        <f t="shared" si="193"/>
        <v>0</v>
      </c>
      <c r="AY4168" s="46">
        <f t="shared" si="194"/>
        <v>0</v>
      </c>
      <c r="AZ4168" s="46">
        <f t="shared" si="195"/>
        <v>0</v>
      </c>
    </row>
    <row r="4169" spans="50:52">
      <c r="AX4169" s="46">
        <f t="shared" si="193"/>
        <v>0</v>
      </c>
      <c r="AY4169" s="46">
        <f t="shared" si="194"/>
        <v>0</v>
      </c>
      <c r="AZ4169" s="46">
        <f t="shared" si="195"/>
        <v>0</v>
      </c>
    </row>
    <row r="4170" spans="50:52">
      <c r="AX4170" s="46">
        <f t="shared" si="193"/>
        <v>0</v>
      </c>
      <c r="AY4170" s="46">
        <f t="shared" si="194"/>
        <v>0</v>
      </c>
      <c r="AZ4170" s="46">
        <f t="shared" si="195"/>
        <v>0</v>
      </c>
    </row>
    <row r="4171" spans="50:52">
      <c r="AX4171" s="46">
        <f t="shared" ref="AX4171:AX4234" si="196">IFERROR(SUM(Q4171:AS4171)-SUM(AT4171:AU4171)+AV4171,"-")</f>
        <v>0</v>
      </c>
      <c r="AY4171" s="46">
        <f t="shared" ref="AY4171:AY4234" si="197">IFERROR(SUM(Q4171:AS4171)-SUM(AT4171:AT4171),"-")</f>
        <v>0</v>
      </c>
      <c r="AZ4171" s="46">
        <f t="shared" ref="AZ4171:AZ4234" si="198">SUM(Q4171:AS4171)</f>
        <v>0</v>
      </c>
    </row>
    <row r="4172" spans="50:52">
      <c r="AX4172" s="46">
        <f t="shared" si="196"/>
        <v>0</v>
      </c>
      <c r="AY4172" s="46">
        <f t="shared" si="197"/>
        <v>0</v>
      </c>
      <c r="AZ4172" s="46">
        <f t="shared" si="198"/>
        <v>0</v>
      </c>
    </row>
    <row r="4173" spans="50:52">
      <c r="AX4173" s="46">
        <f t="shared" si="196"/>
        <v>0</v>
      </c>
      <c r="AY4173" s="46">
        <f t="shared" si="197"/>
        <v>0</v>
      </c>
      <c r="AZ4173" s="46">
        <f t="shared" si="198"/>
        <v>0</v>
      </c>
    </row>
    <row r="4174" spans="50:52">
      <c r="AX4174" s="46">
        <f t="shared" si="196"/>
        <v>0</v>
      </c>
      <c r="AY4174" s="46">
        <f t="shared" si="197"/>
        <v>0</v>
      </c>
      <c r="AZ4174" s="46">
        <f t="shared" si="198"/>
        <v>0</v>
      </c>
    </row>
    <row r="4175" spans="50:52">
      <c r="AX4175" s="46">
        <f t="shared" si="196"/>
        <v>0</v>
      </c>
      <c r="AY4175" s="46">
        <f t="shared" si="197"/>
        <v>0</v>
      </c>
      <c r="AZ4175" s="46">
        <f t="shared" si="198"/>
        <v>0</v>
      </c>
    </row>
    <row r="4176" spans="50:52">
      <c r="AX4176" s="46">
        <f t="shared" si="196"/>
        <v>0</v>
      </c>
      <c r="AY4176" s="46">
        <f t="shared" si="197"/>
        <v>0</v>
      </c>
      <c r="AZ4176" s="46">
        <f t="shared" si="198"/>
        <v>0</v>
      </c>
    </row>
    <row r="4177" spans="50:52">
      <c r="AX4177" s="46">
        <f t="shared" si="196"/>
        <v>0</v>
      </c>
      <c r="AY4177" s="46">
        <f t="shared" si="197"/>
        <v>0</v>
      </c>
      <c r="AZ4177" s="46">
        <f t="shared" si="198"/>
        <v>0</v>
      </c>
    </row>
    <row r="4178" spans="50:52">
      <c r="AX4178" s="46">
        <f t="shared" si="196"/>
        <v>0</v>
      </c>
      <c r="AY4178" s="46">
        <f t="shared" si="197"/>
        <v>0</v>
      </c>
      <c r="AZ4178" s="46">
        <f t="shared" si="198"/>
        <v>0</v>
      </c>
    </row>
    <row r="4179" spans="50:52">
      <c r="AX4179" s="46">
        <f t="shared" si="196"/>
        <v>0</v>
      </c>
      <c r="AY4179" s="46">
        <f t="shared" si="197"/>
        <v>0</v>
      </c>
      <c r="AZ4179" s="46">
        <f t="shared" si="198"/>
        <v>0</v>
      </c>
    </row>
    <row r="4180" spans="50:52">
      <c r="AX4180" s="46">
        <f t="shared" si="196"/>
        <v>0</v>
      </c>
      <c r="AY4180" s="46">
        <f t="shared" si="197"/>
        <v>0</v>
      </c>
      <c r="AZ4180" s="46">
        <f t="shared" si="198"/>
        <v>0</v>
      </c>
    </row>
    <row r="4181" spans="50:52">
      <c r="AX4181" s="46">
        <f t="shared" si="196"/>
        <v>0</v>
      </c>
      <c r="AY4181" s="46">
        <f t="shared" si="197"/>
        <v>0</v>
      </c>
      <c r="AZ4181" s="46">
        <f t="shared" si="198"/>
        <v>0</v>
      </c>
    </row>
    <row r="4182" spans="50:52">
      <c r="AX4182" s="46">
        <f t="shared" si="196"/>
        <v>0</v>
      </c>
      <c r="AY4182" s="46">
        <f t="shared" si="197"/>
        <v>0</v>
      </c>
      <c r="AZ4182" s="46">
        <f t="shared" si="198"/>
        <v>0</v>
      </c>
    </row>
    <row r="4183" spans="50:52">
      <c r="AX4183" s="46">
        <f t="shared" si="196"/>
        <v>0</v>
      </c>
      <c r="AY4183" s="46">
        <f t="shared" si="197"/>
        <v>0</v>
      </c>
      <c r="AZ4183" s="46">
        <f t="shared" si="198"/>
        <v>0</v>
      </c>
    </row>
    <row r="4184" spans="50:52">
      <c r="AX4184" s="46">
        <f t="shared" si="196"/>
        <v>0</v>
      </c>
      <c r="AY4184" s="46">
        <f t="shared" si="197"/>
        <v>0</v>
      </c>
      <c r="AZ4184" s="46">
        <f t="shared" si="198"/>
        <v>0</v>
      </c>
    </row>
    <row r="4185" spans="50:52">
      <c r="AX4185" s="46">
        <f t="shared" si="196"/>
        <v>0</v>
      </c>
      <c r="AY4185" s="46">
        <f t="shared" si="197"/>
        <v>0</v>
      </c>
      <c r="AZ4185" s="46">
        <f t="shared" si="198"/>
        <v>0</v>
      </c>
    </row>
    <row r="4186" spans="50:52">
      <c r="AX4186" s="46">
        <f t="shared" si="196"/>
        <v>0</v>
      </c>
      <c r="AY4186" s="46">
        <f t="shared" si="197"/>
        <v>0</v>
      </c>
      <c r="AZ4186" s="46">
        <f t="shared" si="198"/>
        <v>0</v>
      </c>
    </row>
    <row r="4187" spans="50:52">
      <c r="AX4187" s="46">
        <f t="shared" si="196"/>
        <v>0</v>
      </c>
      <c r="AY4187" s="46">
        <f t="shared" si="197"/>
        <v>0</v>
      </c>
      <c r="AZ4187" s="46">
        <f t="shared" si="198"/>
        <v>0</v>
      </c>
    </row>
    <row r="4188" spans="50:52">
      <c r="AX4188" s="46">
        <f t="shared" si="196"/>
        <v>0</v>
      </c>
      <c r="AY4188" s="46">
        <f t="shared" si="197"/>
        <v>0</v>
      </c>
      <c r="AZ4188" s="46">
        <f t="shared" si="198"/>
        <v>0</v>
      </c>
    </row>
    <row r="4189" spans="50:52">
      <c r="AX4189" s="46">
        <f t="shared" si="196"/>
        <v>0</v>
      </c>
      <c r="AY4189" s="46">
        <f t="shared" si="197"/>
        <v>0</v>
      </c>
      <c r="AZ4189" s="46">
        <f t="shared" si="198"/>
        <v>0</v>
      </c>
    </row>
    <row r="4190" spans="50:52">
      <c r="AX4190" s="46">
        <f t="shared" si="196"/>
        <v>0</v>
      </c>
      <c r="AY4190" s="46">
        <f t="shared" si="197"/>
        <v>0</v>
      </c>
      <c r="AZ4190" s="46">
        <f t="shared" si="198"/>
        <v>0</v>
      </c>
    </row>
    <row r="4191" spans="50:52">
      <c r="AX4191" s="46">
        <f t="shared" si="196"/>
        <v>0</v>
      </c>
      <c r="AY4191" s="46">
        <f t="shared" si="197"/>
        <v>0</v>
      </c>
      <c r="AZ4191" s="46">
        <f t="shared" si="198"/>
        <v>0</v>
      </c>
    </row>
    <row r="4192" spans="50:52">
      <c r="AX4192" s="46">
        <f t="shared" si="196"/>
        <v>0</v>
      </c>
      <c r="AY4192" s="46">
        <f t="shared" si="197"/>
        <v>0</v>
      </c>
      <c r="AZ4192" s="46">
        <f t="shared" si="198"/>
        <v>0</v>
      </c>
    </row>
    <row r="4193" spans="50:52">
      <c r="AX4193" s="46">
        <f t="shared" si="196"/>
        <v>0</v>
      </c>
      <c r="AY4193" s="46">
        <f t="shared" si="197"/>
        <v>0</v>
      </c>
      <c r="AZ4193" s="46">
        <f t="shared" si="198"/>
        <v>0</v>
      </c>
    </row>
    <row r="4194" spans="50:52">
      <c r="AX4194" s="46">
        <f t="shared" si="196"/>
        <v>0</v>
      </c>
      <c r="AY4194" s="46">
        <f t="shared" si="197"/>
        <v>0</v>
      </c>
      <c r="AZ4194" s="46">
        <f t="shared" si="198"/>
        <v>0</v>
      </c>
    </row>
    <row r="4195" spans="50:52">
      <c r="AX4195" s="46">
        <f t="shared" si="196"/>
        <v>0</v>
      </c>
      <c r="AY4195" s="46">
        <f t="shared" si="197"/>
        <v>0</v>
      </c>
      <c r="AZ4195" s="46">
        <f t="shared" si="198"/>
        <v>0</v>
      </c>
    </row>
    <row r="4196" spans="50:52">
      <c r="AX4196" s="46">
        <f t="shared" si="196"/>
        <v>0</v>
      </c>
      <c r="AY4196" s="46">
        <f t="shared" si="197"/>
        <v>0</v>
      </c>
      <c r="AZ4196" s="46">
        <f t="shared" si="198"/>
        <v>0</v>
      </c>
    </row>
    <row r="4197" spans="50:52">
      <c r="AX4197" s="46">
        <f t="shared" si="196"/>
        <v>0</v>
      </c>
      <c r="AY4197" s="46">
        <f t="shared" si="197"/>
        <v>0</v>
      </c>
      <c r="AZ4197" s="46">
        <f t="shared" si="198"/>
        <v>0</v>
      </c>
    </row>
    <row r="4198" spans="50:52">
      <c r="AX4198" s="46">
        <f t="shared" si="196"/>
        <v>0</v>
      </c>
      <c r="AY4198" s="46">
        <f t="shared" si="197"/>
        <v>0</v>
      </c>
      <c r="AZ4198" s="46">
        <f t="shared" si="198"/>
        <v>0</v>
      </c>
    </row>
    <row r="4199" spans="50:52">
      <c r="AX4199" s="46">
        <f t="shared" si="196"/>
        <v>0</v>
      </c>
      <c r="AY4199" s="46">
        <f t="shared" si="197"/>
        <v>0</v>
      </c>
      <c r="AZ4199" s="46">
        <f t="shared" si="198"/>
        <v>0</v>
      </c>
    </row>
    <row r="4200" spans="50:52">
      <c r="AX4200" s="46">
        <f t="shared" si="196"/>
        <v>0</v>
      </c>
      <c r="AY4200" s="46">
        <f t="shared" si="197"/>
        <v>0</v>
      </c>
      <c r="AZ4200" s="46">
        <f t="shared" si="198"/>
        <v>0</v>
      </c>
    </row>
    <row r="4201" spans="50:52">
      <c r="AX4201" s="46">
        <f t="shared" si="196"/>
        <v>0</v>
      </c>
      <c r="AY4201" s="46">
        <f t="shared" si="197"/>
        <v>0</v>
      </c>
      <c r="AZ4201" s="46">
        <f t="shared" si="198"/>
        <v>0</v>
      </c>
    </row>
    <row r="4202" spans="50:52">
      <c r="AX4202" s="46">
        <f t="shared" si="196"/>
        <v>0</v>
      </c>
      <c r="AY4202" s="46">
        <f t="shared" si="197"/>
        <v>0</v>
      </c>
      <c r="AZ4202" s="46">
        <f t="shared" si="198"/>
        <v>0</v>
      </c>
    </row>
    <row r="4203" spans="50:52">
      <c r="AX4203" s="46">
        <f t="shared" si="196"/>
        <v>0</v>
      </c>
      <c r="AY4203" s="46">
        <f t="shared" si="197"/>
        <v>0</v>
      </c>
      <c r="AZ4203" s="46">
        <f t="shared" si="198"/>
        <v>0</v>
      </c>
    </row>
    <row r="4204" spans="50:52">
      <c r="AX4204" s="46">
        <f t="shared" si="196"/>
        <v>0</v>
      </c>
      <c r="AY4204" s="46">
        <f t="shared" si="197"/>
        <v>0</v>
      </c>
      <c r="AZ4204" s="46">
        <f t="shared" si="198"/>
        <v>0</v>
      </c>
    </row>
    <row r="4205" spans="50:52">
      <c r="AX4205" s="46">
        <f t="shared" si="196"/>
        <v>0</v>
      </c>
      <c r="AY4205" s="46">
        <f t="shared" si="197"/>
        <v>0</v>
      </c>
      <c r="AZ4205" s="46">
        <f t="shared" si="198"/>
        <v>0</v>
      </c>
    </row>
    <row r="4206" spans="50:52">
      <c r="AX4206" s="46">
        <f t="shared" si="196"/>
        <v>0</v>
      </c>
      <c r="AY4206" s="46">
        <f t="shared" si="197"/>
        <v>0</v>
      </c>
      <c r="AZ4206" s="46">
        <f t="shared" si="198"/>
        <v>0</v>
      </c>
    </row>
    <row r="4207" spans="50:52">
      <c r="AX4207" s="46">
        <f t="shared" si="196"/>
        <v>0</v>
      </c>
      <c r="AY4207" s="46">
        <f t="shared" si="197"/>
        <v>0</v>
      </c>
      <c r="AZ4207" s="46">
        <f t="shared" si="198"/>
        <v>0</v>
      </c>
    </row>
    <row r="4208" spans="50:52">
      <c r="AX4208" s="46">
        <f t="shared" si="196"/>
        <v>0</v>
      </c>
      <c r="AY4208" s="46">
        <f t="shared" si="197"/>
        <v>0</v>
      </c>
      <c r="AZ4208" s="46">
        <f t="shared" si="198"/>
        <v>0</v>
      </c>
    </row>
    <row r="4209" spans="50:52">
      <c r="AX4209" s="46">
        <f t="shared" si="196"/>
        <v>0</v>
      </c>
      <c r="AY4209" s="46">
        <f t="shared" si="197"/>
        <v>0</v>
      </c>
      <c r="AZ4209" s="46">
        <f t="shared" si="198"/>
        <v>0</v>
      </c>
    </row>
    <row r="4210" spans="50:52">
      <c r="AX4210" s="46">
        <f t="shared" si="196"/>
        <v>0</v>
      </c>
      <c r="AY4210" s="46">
        <f t="shared" si="197"/>
        <v>0</v>
      </c>
      <c r="AZ4210" s="46">
        <f t="shared" si="198"/>
        <v>0</v>
      </c>
    </row>
    <row r="4211" spans="50:52">
      <c r="AX4211" s="46">
        <f t="shared" si="196"/>
        <v>0</v>
      </c>
      <c r="AY4211" s="46">
        <f t="shared" si="197"/>
        <v>0</v>
      </c>
      <c r="AZ4211" s="46">
        <f t="shared" si="198"/>
        <v>0</v>
      </c>
    </row>
    <row r="4212" spans="50:52">
      <c r="AX4212" s="46">
        <f t="shared" si="196"/>
        <v>0</v>
      </c>
      <c r="AY4212" s="46">
        <f t="shared" si="197"/>
        <v>0</v>
      </c>
      <c r="AZ4212" s="46">
        <f t="shared" si="198"/>
        <v>0</v>
      </c>
    </row>
    <row r="4213" spans="50:52">
      <c r="AX4213" s="46">
        <f t="shared" si="196"/>
        <v>0</v>
      </c>
      <c r="AY4213" s="46">
        <f t="shared" si="197"/>
        <v>0</v>
      </c>
      <c r="AZ4213" s="46">
        <f t="shared" si="198"/>
        <v>0</v>
      </c>
    </row>
    <row r="4214" spans="50:52">
      <c r="AX4214" s="46">
        <f t="shared" si="196"/>
        <v>0</v>
      </c>
      <c r="AY4214" s="46">
        <f t="shared" si="197"/>
        <v>0</v>
      </c>
      <c r="AZ4214" s="46">
        <f t="shared" si="198"/>
        <v>0</v>
      </c>
    </row>
    <row r="4215" spans="50:52">
      <c r="AX4215" s="46">
        <f t="shared" si="196"/>
        <v>0</v>
      </c>
      <c r="AY4215" s="46">
        <f t="shared" si="197"/>
        <v>0</v>
      </c>
      <c r="AZ4215" s="46">
        <f t="shared" si="198"/>
        <v>0</v>
      </c>
    </row>
    <row r="4216" spans="50:52">
      <c r="AX4216" s="46">
        <f t="shared" si="196"/>
        <v>0</v>
      </c>
      <c r="AY4216" s="46">
        <f t="shared" si="197"/>
        <v>0</v>
      </c>
      <c r="AZ4216" s="46">
        <f t="shared" si="198"/>
        <v>0</v>
      </c>
    </row>
    <row r="4217" spans="50:52">
      <c r="AX4217" s="46">
        <f t="shared" si="196"/>
        <v>0</v>
      </c>
      <c r="AY4217" s="46">
        <f t="shared" si="197"/>
        <v>0</v>
      </c>
      <c r="AZ4217" s="46">
        <f t="shared" si="198"/>
        <v>0</v>
      </c>
    </row>
    <row r="4218" spans="50:52">
      <c r="AX4218" s="46">
        <f t="shared" si="196"/>
        <v>0</v>
      </c>
      <c r="AY4218" s="46">
        <f t="shared" si="197"/>
        <v>0</v>
      </c>
      <c r="AZ4218" s="46">
        <f t="shared" si="198"/>
        <v>0</v>
      </c>
    </row>
    <row r="4219" spans="50:52">
      <c r="AX4219" s="46">
        <f t="shared" si="196"/>
        <v>0</v>
      </c>
      <c r="AY4219" s="46">
        <f t="shared" si="197"/>
        <v>0</v>
      </c>
      <c r="AZ4219" s="46">
        <f t="shared" si="198"/>
        <v>0</v>
      </c>
    </row>
    <row r="4220" spans="50:52">
      <c r="AX4220" s="46">
        <f t="shared" si="196"/>
        <v>0</v>
      </c>
      <c r="AY4220" s="46">
        <f t="shared" si="197"/>
        <v>0</v>
      </c>
      <c r="AZ4220" s="46">
        <f t="shared" si="198"/>
        <v>0</v>
      </c>
    </row>
    <row r="4221" spans="50:52">
      <c r="AX4221" s="46">
        <f t="shared" si="196"/>
        <v>0</v>
      </c>
      <c r="AY4221" s="46">
        <f t="shared" si="197"/>
        <v>0</v>
      </c>
      <c r="AZ4221" s="46">
        <f t="shared" si="198"/>
        <v>0</v>
      </c>
    </row>
    <row r="4222" spans="50:52">
      <c r="AX4222" s="46">
        <f t="shared" si="196"/>
        <v>0</v>
      </c>
      <c r="AY4222" s="46">
        <f t="shared" si="197"/>
        <v>0</v>
      </c>
      <c r="AZ4222" s="46">
        <f t="shared" si="198"/>
        <v>0</v>
      </c>
    </row>
    <row r="4223" spans="50:52">
      <c r="AX4223" s="46">
        <f t="shared" si="196"/>
        <v>0</v>
      </c>
      <c r="AY4223" s="46">
        <f t="shared" si="197"/>
        <v>0</v>
      </c>
      <c r="AZ4223" s="46">
        <f t="shared" si="198"/>
        <v>0</v>
      </c>
    </row>
    <row r="4224" spans="50:52">
      <c r="AX4224" s="46">
        <f t="shared" si="196"/>
        <v>0</v>
      </c>
      <c r="AY4224" s="46">
        <f t="shared" si="197"/>
        <v>0</v>
      </c>
      <c r="AZ4224" s="46">
        <f t="shared" si="198"/>
        <v>0</v>
      </c>
    </row>
    <row r="4225" spans="50:52">
      <c r="AX4225" s="46">
        <f t="shared" si="196"/>
        <v>0</v>
      </c>
      <c r="AY4225" s="46">
        <f t="shared" si="197"/>
        <v>0</v>
      </c>
      <c r="AZ4225" s="46">
        <f t="shared" si="198"/>
        <v>0</v>
      </c>
    </row>
    <row r="4226" spans="50:52">
      <c r="AX4226" s="46">
        <f t="shared" si="196"/>
        <v>0</v>
      </c>
      <c r="AY4226" s="46">
        <f t="shared" si="197"/>
        <v>0</v>
      </c>
      <c r="AZ4226" s="46">
        <f t="shared" si="198"/>
        <v>0</v>
      </c>
    </row>
    <row r="4227" spans="50:52">
      <c r="AX4227" s="46">
        <f t="shared" si="196"/>
        <v>0</v>
      </c>
      <c r="AY4227" s="46">
        <f t="shared" si="197"/>
        <v>0</v>
      </c>
      <c r="AZ4227" s="46">
        <f t="shared" si="198"/>
        <v>0</v>
      </c>
    </row>
    <row r="4228" spans="50:52">
      <c r="AX4228" s="46">
        <f t="shared" si="196"/>
        <v>0</v>
      </c>
      <c r="AY4228" s="46">
        <f t="shared" si="197"/>
        <v>0</v>
      </c>
      <c r="AZ4228" s="46">
        <f t="shared" si="198"/>
        <v>0</v>
      </c>
    </row>
    <row r="4229" spans="50:52">
      <c r="AX4229" s="46">
        <f t="shared" si="196"/>
        <v>0</v>
      </c>
      <c r="AY4229" s="46">
        <f t="shared" si="197"/>
        <v>0</v>
      </c>
      <c r="AZ4229" s="46">
        <f t="shared" si="198"/>
        <v>0</v>
      </c>
    </row>
    <row r="4230" spans="50:52">
      <c r="AX4230" s="46">
        <f t="shared" si="196"/>
        <v>0</v>
      </c>
      <c r="AY4230" s="46">
        <f t="shared" si="197"/>
        <v>0</v>
      </c>
      <c r="AZ4230" s="46">
        <f t="shared" si="198"/>
        <v>0</v>
      </c>
    </row>
    <row r="4231" spans="50:52">
      <c r="AX4231" s="46">
        <f t="shared" si="196"/>
        <v>0</v>
      </c>
      <c r="AY4231" s="46">
        <f t="shared" si="197"/>
        <v>0</v>
      </c>
      <c r="AZ4231" s="46">
        <f t="shared" si="198"/>
        <v>0</v>
      </c>
    </row>
    <row r="4232" spans="50:52">
      <c r="AX4232" s="46">
        <f t="shared" si="196"/>
        <v>0</v>
      </c>
      <c r="AY4232" s="46">
        <f t="shared" si="197"/>
        <v>0</v>
      </c>
      <c r="AZ4232" s="46">
        <f t="shared" si="198"/>
        <v>0</v>
      </c>
    </row>
    <row r="4233" spans="50:52">
      <c r="AX4233" s="46">
        <f t="shared" si="196"/>
        <v>0</v>
      </c>
      <c r="AY4233" s="46">
        <f t="shared" si="197"/>
        <v>0</v>
      </c>
      <c r="AZ4233" s="46">
        <f t="shared" si="198"/>
        <v>0</v>
      </c>
    </row>
    <row r="4234" spans="50:52">
      <c r="AX4234" s="46">
        <f t="shared" si="196"/>
        <v>0</v>
      </c>
      <c r="AY4234" s="46">
        <f t="shared" si="197"/>
        <v>0</v>
      </c>
      <c r="AZ4234" s="46">
        <f t="shared" si="198"/>
        <v>0</v>
      </c>
    </row>
    <row r="4235" spans="50:52">
      <c r="AX4235" s="46">
        <f t="shared" ref="AX4235:AX4298" si="199">IFERROR(SUM(Q4235:AS4235)-SUM(AT4235:AU4235)+AV4235,"-")</f>
        <v>0</v>
      </c>
      <c r="AY4235" s="46">
        <f t="shared" ref="AY4235:AY4298" si="200">IFERROR(SUM(Q4235:AS4235)-SUM(AT4235:AT4235),"-")</f>
        <v>0</v>
      </c>
      <c r="AZ4235" s="46">
        <f t="shared" ref="AZ4235:AZ4298" si="201">SUM(Q4235:AS4235)</f>
        <v>0</v>
      </c>
    </row>
    <row r="4236" spans="50:52">
      <c r="AX4236" s="46">
        <f t="shared" si="199"/>
        <v>0</v>
      </c>
      <c r="AY4236" s="46">
        <f t="shared" si="200"/>
        <v>0</v>
      </c>
      <c r="AZ4236" s="46">
        <f t="shared" si="201"/>
        <v>0</v>
      </c>
    </row>
    <row r="4237" spans="50:52">
      <c r="AX4237" s="46">
        <f t="shared" si="199"/>
        <v>0</v>
      </c>
      <c r="AY4237" s="46">
        <f t="shared" si="200"/>
        <v>0</v>
      </c>
      <c r="AZ4237" s="46">
        <f t="shared" si="201"/>
        <v>0</v>
      </c>
    </row>
    <row r="4238" spans="50:52">
      <c r="AX4238" s="46">
        <f t="shared" si="199"/>
        <v>0</v>
      </c>
      <c r="AY4238" s="46">
        <f t="shared" si="200"/>
        <v>0</v>
      </c>
      <c r="AZ4238" s="46">
        <f t="shared" si="201"/>
        <v>0</v>
      </c>
    </row>
    <row r="4239" spans="50:52">
      <c r="AX4239" s="46">
        <f t="shared" si="199"/>
        <v>0</v>
      </c>
      <c r="AY4239" s="46">
        <f t="shared" si="200"/>
        <v>0</v>
      </c>
      <c r="AZ4239" s="46">
        <f t="shared" si="201"/>
        <v>0</v>
      </c>
    </row>
    <row r="4240" spans="50:52">
      <c r="AX4240" s="46">
        <f t="shared" si="199"/>
        <v>0</v>
      </c>
      <c r="AY4240" s="46">
        <f t="shared" si="200"/>
        <v>0</v>
      </c>
      <c r="AZ4240" s="46">
        <f t="shared" si="201"/>
        <v>0</v>
      </c>
    </row>
    <row r="4241" spans="50:52">
      <c r="AX4241" s="46">
        <f t="shared" si="199"/>
        <v>0</v>
      </c>
      <c r="AY4241" s="46">
        <f t="shared" si="200"/>
        <v>0</v>
      </c>
      <c r="AZ4241" s="46">
        <f t="shared" si="201"/>
        <v>0</v>
      </c>
    </row>
    <row r="4242" spans="50:52">
      <c r="AX4242" s="46">
        <f t="shared" si="199"/>
        <v>0</v>
      </c>
      <c r="AY4242" s="46">
        <f t="shared" si="200"/>
        <v>0</v>
      </c>
      <c r="AZ4242" s="46">
        <f t="shared" si="201"/>
        <v>0</v>
      </c>
    </row>
    <row r="4243" spans="50:52">
      <c r="AX4243" s="46">
        <f t="shared" si="199"/>
        <v>0</v>
      </c>
      <c r="AY4243" s="46">
        <f t="shared" si="200"/>
        <v>0</v>
      </c>
      <c r="AZ4243" s="46">
        <f t="shared" si="201"/>
        <v>0</v>
      </c>
    </row>
    <row r="4244" spans="50:52">
      <c r="AX4244" s="46">
        <f t="shared" si="199"/>
        <v>0</v>
      </c>
      <c r="AY4244" s="46">
        <f t="shared" si="200"/>
        <v>0</v>
      </c>
      <c r="AZ4244" s="46">
        <f t="shared" si="201"/>
        <v>0</v>
      </c>
    </row>
    <row r="4245" spans="50:52">
      <c r="AX4245" s="46">
        <f t="shared" si="199"/>
        <v>0</v>
      </c>
      <c r="AY4245" s="46">
        <f t="shared" si="200"/>
        <v>0</v>
      </c>
      <c r="AZ4245" s="46">
        <f t="shared" si="201"/>
        <v>0</v>
      </c>
    </row>
    <row r="4246" spans="50:52">
      <c r="AX4246" s="46">
        <f t="shared" si="199"/>
        <v>0</v>
      </c>
      <c r="AY4246" s="46">
        <f t="shared" si="200"/>
        <v>0</v>
      </c>
      <c r="AZ4246" s="46">
        <f t="shared" si="201"/>
        <v>0</v>
      </c>
    </row>
    <row r="4247" spans="50:52">
      <c r="AX4247" s="46">
        <f t="shared" si="199"/>
        <v>0</v>
      </c>
      <c r="AY4247" s="46">
        <f t="shared" si="200"/>
        <v>0</v>
      </c>
      <c r="AZ4247" s="46">
        <f t="shared" si="201"/>
        <v>0</v>
      </c>
    </row>
    <row r="4248" spans="50:52">
      <c r="AX4248" s="46">
        <f t="shared" si="199"/>
        <v>0</v>
      </c>
      <c r="AY4248" s="46">
        <f t="shared" si="200"/>
        <v>0</v>
      </c>
      <c r="AZ4248" s="46">
        <f t="shared" si="201"/>
        <v>0</v>
      </c>
    </row>
    <row r="4249" spans="50:52">
      <c r="AX4249" s="46">
        <f t="shared" si="199"/>
        <v>0</v>
      </c>
      <c r="AY4249" s="46">
        <f t="shared" si="200"/>
        <v>0</v>
      </c>
      <c r="AZ4249" s="46">
        <f t="shared" si="201"/>
        <v>0</v>
      </c>
    </row>
    <row r="4250" spans="50:52">
      <c r="AX4250" s="46">
        <f t="shared" si="199"/>
        <v>0</v>
      </c>
      <c r="AY4250" s="46">
        <f t="shared" si="200"/>
        <v>0</v>
      </c>
      <c r="AZ4250" s="46">
        <f t="shared" si="201"/>
        <v>0</v>
      </c>
    </row>
    <row r="4251" spans="50:52">
      <c r="AX4251" s="46">
        <f t="shared" si="199"/>
        <v>0</v>
      </c>
      <c r="AY4251" s="46">
        <f t="shared" si="200"/>
        <v>0</v>
      </c>
      <c r="AZ4251" s="46">
        <f t="shared" si="201"/>
        <v>0</v>
      </c>
    </row>
    <row r="4252" spans="50:52">
      <c r="AX4252" s="46">
        <f t="shared" si="199"/>
        <v>0</v>
      </c>
      <c r="AY4252" s="46">
        <f t="shared" si="200"/>
        <v>0</v>
      </c>
      <c r="AZ4252" s="46">
        <f t="shared" si="201"/>
        <v>0</v>
      </c>
    </row>
    <row r="4253" spans="50:52">
      <c r="AX4253" s="46">
        <f t="shared" si="199"/>
        <v>0</v>
      </c>
      <c r="AY4253" s="46">
        <f t="shared" si="200"/>
        <v>0</v>
      </c>
      <c r="AZ4253" s="46">
        <f t="shared" si="201"/>
        <v>0</v>
      </c>
    </row>
    <row r="4254" spans="50:52">
      <c r="AX4254" s="46">
        <f t="shared" si="199"/>
        <v>0</v>
      </c>
      <c r="AY4254" s="46">
        <f t="shared" si="200"/>
        <v>0</v>
      </c>
      <c r="AZ4254" s="46">
        <f t="shared" si="201"/>
        <v>0</v>
      </c>
    </row>
    <row r="4255" spans="50:52">
      <c r="AX4255" s="46">
        <f t="shared" si="199"/>
        <v>0</v>
      </c>
      <c r="AY4255" s="46">
        <f t="shared" si="200"/>
        <v>0</v>
      </c>
      <c r="AZ4255" s="46">
        <f t="shared" si="201"/>
        <v>0</v>
      </c>
    </row>
    <row r="4256" spans="50:52">
      <c r="AX4256" s="46">
        <f t="shared" si="199"/>
        <v>0</v>
      </c>
      <c r="AY4256" s="46">
        <f t="shared" si="200"/>
        <v>0</v>
      </c>
      <c r="AZ4256" s="46">
        <f t="shared" si="201"/>
        <v>0</v>
      </c>
    </row>
    <row r="4257" spans="50:52">
      <c r="AX4257" s="46">
        <f t="shared" si="199"/>
        <v>0</v>
      </c>
      <c r="AY4257" s="46">
        <f t="shared" si="200"/>
        <v>0</v>
      </c>
      <c r="AZ4257" s="46">
        <f t="shared" si="201"/>
        <v>0</v>
      </c>
    </row>
    <row r="4258" spans="50:52">
      <c r="AX4258" s="46">
        <f t="shared" si="199"/>
        <v>0</v>
      </c>
      <c r="AY4258" s="46">
        <f t="shared" si="200"/>
        <v>0</v>
      </c>
      <c r="AZ4258" s="46">
        <f t="shared" si="201"/>
        <v>0</v>
      </c>
    </row>
    <row r="4259" spans="50:52">
      <c r="AX4259" s="46">
        <f t="shared" si="199"/>
        <v>0</v>
      </c>
      <c r="AY4259" s="46">
        <f t="shared" si="200"/>
        <v>0</v>
      </c>
      <c r="AZ4259" s="46">
        <f t="shared" si="201"/>
        <v>0</v>
      </c>
    </row>
    <row r="4260" spans="50:52">
      <c r="AX4260" s="46">
        <f t="shared" si="199"/>
        <v>0</v>
      </c>
      <c r="AY4260" s="46">
        <f t="shared" si="200"/>
        <v>0</v>
      </c>
      <c r="AZ4260" s="46">
        <f t="shared" si="201"/>
        <v>0</v>
      </c>
    </row>
    <row r="4261" spans="50:52">
      <c r="AX4261" s="46">
        <f t="shared" si="199"/>
        <v>0</v>
      </c>
      <c r="AY4261" s="46">
        <f t="shared" si="200"/>
        <v>0</v>
      </c>
      <c r="AZ4261" s="46">
        <f t="shared" si="201"/>
        <v>0</v>
      </c>
    </row>
    <row r="4262" spans="50:52">
      <c r="AX4262" s="46">
        <f t="shared" si="199"/>
        <v>0</v>
      </c>
      <c r="AY4262" s="46">
        <f t="shared" si="200"/>
        <v>0</v>
      </c>
      <c r="AZ4262" s="46">
        <f t="shared" si="201"/>
        <v>0</v>
      </c>
    </row>
    <row r="4263" spans="50:52">
      <c r="AX4263" s="46">
        <f t="shared" si="199"/>
        <v>0</v>
      </c>
      <c r="AY4263" s="46">
        <f t="shared" si="200"/>
        <v>0</v>
      </c>
      <c r="AZ4263" s="46">
        <f t="shared" si="201"/>
        <v>0</v>
      </c>
    </row>
    <row r="4264" spans="50:52">
      <c r="AX4264" s="46">
        <f t="shared" si="199"/>
        <v>0</v>
      </c>
      <c r="AY4264" s="46">
        <f t="shared" si="200"/>
        <v>0</v>
      </c>
      <c r="AZ4264" s="46">
        <f t="shared" si="201"/>
        <v>0</v>
      </c>
    </row>
    <row r="4265" spans="50:52">
      <c r="AX4265" s="46">
        <f t="shared" si="199"/>
        <v>0</v>
      </c>
      <c r="AY4265" s="46">
        <f t="shared" si="200"/>
        <v>0</v>
      </c>
      <c r="AZ4265" s="46">
        <f t="shared" si="201"/>
        <v>0</v>
      </c>
    </row>
    <row r="4266" spans="50:52">
      <c r="AX4266" s="46">
        <f t="shared" si="199"/>
        <v>0</v>
      </c>
      <c r="AY4266" s="46">
        <f t="shared" si="200"/>
        <v>0</v>
      </c>
      <c r="AZ4266" s="46">
        <f t="shared" si="201"/>
        <v>0</v>
      </c>
    </row>
    <row r="4267" spans="50:52">
      <c r="AX4267" s="46">
        <f t="shared" si="199"/>
        <v>0</v>
      </c>
      <c r="AY4267" s="46">
        <f t="shared" si="200"/>
        <v>0</v>
      </c>
      <c r="AZ4267" s="46">
        <f t="shared" si="201"/>
        <v>0</v>
      </c>
    </row>
    <row r="4268" spans="50:52">
      <c r="AX4268" s="46">
        <f t="shared" si="199"/>
        <v>0</v>
      </c>
      <c r="AY4268" s="46">
        <f t="shared" si="200"/>
        <v>0</v>
      </c>
      <c r="AZ4268" s="46">
        <f t="shared" si="201"/>
        <v>0</v>
      </c>
    </row>
    <row r="4269" spans="50:52">
      <c r="AX4269" s="46">
        <f t="shared" si="199"/>
        <v>0</v>
      </c>
      <c r="AY4269" s="46">
        <f t="shared" si="200"/>
        <v>0</v>
      </c>
      <c r="AZ4269" s="46">
        <f t="shared" si="201"/>
        <v>0</v>
      </c>
    </row>
    <row r="4270" spans="50:52">
      <c r="AX4270" s="46">
        <f t="shared" si="199"/>
        <v>0</v>
      </c>
      <c r="AY4270" s="46">
        <f t="shared" si="200"/>
        <v>0</v>
      </c>
      <c r="AZ4270" s="46">
        <f t="shared" si="201"/>
        <v>0</v>
      </c>
    </row>
    <row r="4271" spans="50:52">
      <c r="AX4271" s="46">
        <f t="shared" si="199"/>
        <v>0</v>
      </c>
      <c r="AY4271" s="46">
        <f t="shared" si="200"/>
        <v>0</v>
      </c>
      <c r="AZ4271" s="46">
        <f t="shared" si="201"/>
        <v>0</v>
      </c>
    </row>
    <row r="4272" spans="50:52">
      <c r="AX4272" s="46">
        <f t="shared" si="199"/>
        <v>0</v>
      </c>
      <c r="AY4272" s="46">
        <f t="shared" si="200"/>
        <v>0</v>
      </c>
      <c r="AZ4272" s="46">
        <f t="shared" si="201"/>
        <v>0</v>
      </c>
    </row>
    <row r="4273" spans="50:52">
      <c r="AX4273" s="46">
        <f t="shared" si="199"/>
        <v>0</v>
      </c>
      <c r="AY4273" s="46">
        <f t="shared" si="200"/>
        <v>0</v>
      </c>
      <c r="AZ4273" s="46">
        <f t="shared" si="201"/>
        <v>0</v>
      </c>
    </row>
    <row r="4274" spans="50:52">
      <c r="AX4274" s="46">
        <f t="shared" si="199"/>
        <v>0</v>
      </c>
      <c r="AY4274" s="46">
        <f t="shared" si="200"/>
        <v>0</v>
      </c>
      <c r="AZ4274" s="46">
        <f t="shared" si="201"/>
        <v>0</v>
      </c>
    </row>
    <row r="4275" spans="50:52">
      <c r="AX4275" s="46">
        <f t="shared" si="199"/>
        <v>0</v>
      </c>
      <c r="AY4275" s="46">
        <f t="shared" si="200"/>
        <v>0</v>
      </c>
      <c r="AZ4275" s="46">
        <f t="shared" si="201"/>
        <v>0</v>
      </c>
    </row>
    <row r="4276" spans="50:52">
      <c r="AX4276" s="46">
        <f t="shared" si="199"/>
        <v>0</v>
      </c>
      <c r="AY4276" s="46">
        <f t="shared" si="200"/>
        <v>0</v>
      </c>
      <c r="AZ4276" s="46">
        <f t="shared" si="201"/>
        <v>0</v>
      </c>
    </row>
    <row r="4277" spans="50:52">
      <c r="AX4277" s="46">
        <f t="shared" si="199"/>
        <v>0</v>
      </c>
      <c r="AY4277" s="46">
        <f t="shared" si="200"/>
        <v>0</v>
      </c>
      <c r="AZ4277" s="46">
        <f t="shared" si="201"/>
        <v>0</v>
      </c>
    </row>
    <row r="4278" spans="50:52">
      <c r="AX4278" s="46">
        <f t="shared" si="199"/>
        <v>0</v>
      </c>
      <c r="AY4278" s="46">
        <f t="shared" si="200"/>
        <v>0</v>
      </c>
      <c r="AZ4278" s="46">
        <f t="shared" si="201"/>
        <v>0</v>
      </c>
    </row>
    <row r="4279" spans="50:52">
      <c r="AX4279" s="46">
        <f t="shared" si="199"/>
        <v>0</v>
      </c>
      <c r="AY4279" s="46">
        <f t="shared" si="200"/>
        <v>0</v>
      </c>
      <c r="AZ4279" s="46">
        <f t="shared" si="201"/>
        <v>0</v>
      </c>
    </row>
    <row r="4280" spans="50:52">
      <c r="AX4280" s="46">
        <f t="shared" si="199"/>
        <v>0</v>
      </c>
      <c r="AY4280" s="46">
        <f t="shared" si="200"/>
        <v>0</v>
      </c>
      <c r="AZ4280" s="46">
        <f t="shared" si="201"/>
        <v>0</v>
      </c>
    </row>
    <row r="4281" spans="50:52">
      <c r="AX4281" s="46">
        <f t="shared" si="199"/>
        <v>0</v>
      </c>
      <c r="AY4281" s="46">
        <f t="shared" si="200"/>
        <v>0</v>
      </c>
      <c r="AZ4281" s="46">
        <f t="shared" si="201"/>
        <v>0</v>
      </c>
    </row>
    <row r="4282" spans="50:52">
      <c r="AX4282" s="46">
        <f t="shared" si="199"/>
        <v>0</v>
      </c>
      <c r="AY4282" s="46">
        <f t="shared" si="200"/>
        <v>0</v>
      </c>
      <c r="AZ4282" s="46">
        <f t="shared" si="201"/>
        <v>0</v>
      </c>
    </row>
    <row r="4283" spans="50:52">
      <c r="AX4283" s="46">
        <f t="shared" si="199"/>
        <v>0</v>
      </c>
      <c r="AY4283" s="46">
        <f t="shared" si="200"/>
        <v>0</v>
      </c>
      <c r="AZ4283" s="46">
        <f t="shared" si="201"/>
        <v>0</v>
      </c>
    </row>
    <row r="4284" spans="50:52">
      <c r="AX4284" s="46">
        <f t="shared" si="199"/>
        <v>0</v>
      </c>
      <c r="AY4284" s="46">
        <f t="shared" si="200"/>
        <v>0</v>
      </c>
      <c r="AZ4284" s="46">
        <f t="shared" si="201"/>
        <v>0</v>
      </c>
    </row>
    <row r="4285" spans="50:52">
      <c r="AX4285" s="46">
        <f t="shared" si="199"/>
        <v>0</v>
      </c>
      <c r="AY4285" s="46">
        <f t="shared" si="200"/>
        <v>0</v>
      </c>
      <c r="AZ4285" s="46">
        <f t="shared" si="201"/>
        <v>0</v>
      </c>
    </row>
    <row r="4286" spans="50:52">
      <c r="AX4286" s="46">
        <f t="shared" si="199"/>
        <v>0</v>
      </c>
      <c r="AY4286" s="46">
        <f t="shared" si="200"/>
        <v>0</v>
      </c>
      <c r="AZ4286" s="46">
        <f t="shared" si="201"/>
        <v>0</v>
      </c>
    </row>
    <row r="4287" spans="50:52">
      <c r="AX4287" s="46">
        <f t="shared" si="199"/>
        <v>0</v>
      </c>
      <c r="AY4287" s="46">
        <f t="shared" si="200"/>
        <v>0</v>
      </c>
      <c r="AZ4287" s="46">
        <f t="shared" si="201"/>
        <v>0</v>
      </c>
    </row>
    <row r="4288" spans="50:52">
      <c r="AX4288" s="46">
        <f t="shared" si="199"/>
        <v>0</v>
      </c>
      <c r="AY4288" s="46">
        <f t="shared" si="200"/>
        <v>0</v>
      </c>
      <c r="AZ4288" s="46">
        <f t="shared" si="201"/>
        <v>0</v>
      </c>
    </row>
    <row r="4289" spans="50:52">
      <c r="AX4289" s="46">
        <f t="shared" si="199"/>
        <v>0</v>
      </c>
      <c r="AY4289" s="46">
        <f t="shared" si="200"/>
        <v>0</v>
      </c>
      <c r="AZ4289" s="46">
        <f t="shared" si="201"/>
        <v>0</v>
      </c>
    </row>
    <row r="4290" spans="50:52">
      <c r="AX4290" s="46">
        <f t="shared" si="199"/>
        <v>0</v>
      </c>
      <c r="AY4290" s="46">
        <f t="shared" si="200"/>
        <v>0</v>
      </c>
      <c r="AZ4290" s="46">
        <f t="shared" si="201"/>
        <v>0</v>
      </c>
    </row>
    <row r="4291" spans="50:52">
      <c r="AX4291" s="46">
        <f t="shared" si="199"/>
        <v>0</v>
      </c>
      <c r="AY4291" s="46">
        <f t="shared" si="200"/>
        <v>0</v>
      </c>
      <c r="AZ4291" s="46">
        <f t="shared" si="201"/>
        <v>0</v>
      </c>
    </row>
    <row r="4292" spans="50:52">
      <c r="AX4292" s="46">
        <f t="shared" si="199"/>
        <v>0</v>
      </c>
      <c r="AY4292" s="46">
        <f t="shared" si="200"/>
        <v>0</v>
      </c>
      <c r="AZ4292" s="46">
        <f t="shared" si="201"/>
        <v>0</v>
      </c>
    </row>
    <row r="4293" spans="50:52">
      <c r="AX4293" s="46">
        <f t="shared" si="199"/>
        <v>0</v>
      </c>
      <c r="AY4293" s="46">
        <f t="shared" si="200"/>
        <v>0</v>
      </c>
      <c r="AZ4293" s="46">
        <f t="shared" si="201"/>
        <v>0</v>
      </c>
    </row>
    <row r="4294" spans="50:52">
      <c r="AX4294" s="46">
        <f t="shared" si="199"/>
        <v>0</v>
      </c>
      <c r="AY4294" s="46">
        <f t="shared" si="200"/>
        <v>0</v>
      </c>
      <c r="AZ4294" s="46">
        <f t="shared" si="201"/>
        <v>0</v>
      </c>
    </row>
    <row r="4295" spans="50:52">
      <c r="AX4295" s="46">
        <f t="shared" si="199"/>
        <v>0</v>
      </c>
      <c r="AY4295" s="46">
        <f t="shared" si="200"/>
        <v>0</v>
      </c>
      <c r="AZ4295" s="46">
        <f t="shared" si="201"/>
        <v>0</v>
      </c>
    </row>
    <row r="4296" spans="50:52">
      <c r="AX4296" s="46">
        <f t="shared" si="199"/>
        <v>0</v>
      </c>
      <c r="AY4296" s="46">
        <f t="shared" si="200"/>
        <v>0</v>
      </c>
      <c r="AZ4296" s="46">
        <f t="shared" si="201"/>
        <v>0</v>
      </c>
    </row>
    <row r="4297" spans="50:52">
      <c r="AX4297" s="46">
        <f t="shared" si="199"/>
        <v>0</v>
      </c>
      <c r="AY4297" s="46">
        <f t="shared" si="200"/>
        <v>0</v>
      </c>
      <c r="AZ4297" s="46">
        <f t="shared" si="201"/>
        <v>0</v>
      </c>
    </row>
    <row r="4298" spans="50:52">
      <c r="AX4298" s="46">
        <f t="shared" si="199"/>
        <v>0</v>
      </c>
      <c r="AY4298" s="46">
        <f t="shared" si="200"/>
        <v>0</v>
      </c>
      <c r="AZ4298" s="46">
        <f t="shared" si="201"/>
        <v>0</v>
      </c>
    </row>
    <row r="4299" spans="50:52">
      <c r="AX4299" s="46">
        <f t="shared" ref="AX4299:AX4362" si="202">IFERROR(SUM(Q4299:AS4299)-SUM(AT4299:AU4299)+AV4299,"-")</f>
        <v>0</v>
      </c>
      <c r="AY4299" s="46">
        <f t="shared" ref="AY4299:AY4362" si="203">IFERROR(SUM(Q4299:AS4299)-SUM(AT4299:AT4299),"-")</f>
        <v>0</v>
      </c>
      <c r="AZ4299" s="46">
        <f t="shared" ref="AZ4299:AZ4362" si="204">SUM(Q4299:AS4299)</f>
        <v>0</v>
      </c>
    </row>
    <row r="4300" spans="50:52">
      <c r="AX4300" s="46">
        <f t="shared" si="202"/>
        <v>0</v>
      </c>
      <c r="AY4300" s="46">
        <f t="shared" si="203"/>
        <v>0</v>
      </c>
      <c r="AZ4300" s="46">
        <f t="shared" si="204"/>
        <v>0</v>
      </c>
    </row>
    <row r="4301" spans="50:52">
      <c r="AX4301" s="46">
        <f t="shared" si="202"/>
        <v>0</v>
      </c>
      <c r="AY4301" s="46">
        <f t="shared" si="203"/>
        <v>0</v>
      </c>
      <c r="AZ4301" s="46">
        <f t="shared" si="204"/>
        <v>0</v>
      </c>
    </row>
    <row r="4302" spans="50:52">
      <c r="AX4302" s="46">
        <f t="shared" si="202"/>
        <v>0</v>
      </c>
      <c r="AY4302" s="46">
        <f t="shared" si="203"/>
        <v>0</v>
      </c>
      <c r="AZ4302" s="46">
        <f t="shared" si="204"/>
        <v>0</v>
      </c>
    </row>
    <row r="4303" spans="50:52">
      <c r="AX4303" s="46">
        <f t="shared" si="202"/>
        <v>0</v>
      </c>
      <c r="AY4303" s="46">
        <f t="shared" si="203"/>
        <v>0</v>
      </c>
      <c r="AZ4303" s="46">
        <f t="shared" si="204"/>
        <v>0</v>
      </c>
    </row>
    <row r="4304" spans="50:52">
      <c r="AX4304" s="46">
        <f t="shared" si="202"/>
        <v>0</v>
      </c>
      <c r="AY4304" s="46">
        <f t="shared" si="203"/>
        <v>0</v>
      </c>
      <c r="AZ4304" s="46">
        <f t="shared" si="204"/>
        <v>0</v>
      </c>
    </row>
    <row r="4305" spans="50:52">
      <c r="AX4305" s="46">
        <f t="shared" si="202"/>
        <v>0</v>
      </c>
      <c r="AY4305" s="46">
        <f t="shared" si="203"/>
        <v>0</v>
      </c>
      <c r="AZ4305" s="46">
        <f t="shared" si="204"/>
        <v>0</v>
      </c>
    </row>
    <row r="4306" spans="50:52">
      <c r="AX4306" s="46">
        <f t="shared" si="202"/>
        <v>0</v>
      </c>
      <c r="AY4306" s="46">
        <f t="shared" si="203"/>
        <v>0</v>
      </c>
      <c r="AZ4306" s="46">
        <f t="shared" si="204"/>
        <v>0</v>
      </c>
    </row>
    <row r="4307" spans="50:52">
      <c r="AX4307" s="46">
        <f t="shared" si="202"/>
        <v>0</v>
      </c>
      <c r="AY4307" s="46">
        <f t="shared" si="203"/>
        <v>0</v>
      </c>
      <c r="AZ4307" s="46">
        <f t="shared" si="204"/>
        <v>0</v>
      </c>
    </row>
    <row r="4308" spans="50:52">
      <c r="AX4308" s="46">
        <f t="shared" si="202"/>
        <v>0</v>
      </c>
      <c r="AY4308" s="46">
        <f t="shared" si="203"/>
        <v>0</v>
      </c>
      <c r="AZ4308" s="46">
        <f t="shared" si="204"/>
        <v>0</v>
      </c>
    </row>
    <row r="4309" spans="50:52">
      <c r="AX4309" s="46">
        <f t="shared" si="202"/>
        <v>0</v>
      </c>
      <c r="AY4309" s="46">
        <f t="shared" si="203"/>
        <v>0</v>
      </c>
      <c r="AZ4309" s="46">
        <f t="shared" si="204"/>
        <v>0</v>
      </c>
    </row>
    <row r="4310" spans="50:52">
      <c r="AX4310" s="46">
        <f t="shared" si="202"/>
        <v>0</v>
      </c>
      <c r="AY4310" s="46">
        <f t="shared" si="203"/>
        <v>0</v>
      </c>
      <c r="AZ4310" s="46">
        <f t="shared" si="204"/>
        <v>0</v>
      </c>
    </row>
    <row r="4311" spans="50:52">
      <c r="AX4311" s="46">
        <f t="shared" si="202"/>
        <v>0</v>
      </c>
      <c r="AY4311" s="46">
        <f t="shared" si="203"/>
        <v>0</v>
      </c>
      <c r="AZ4311" s="46">
        <f t="shared" si="204"/>
        <v>0</v>
      </c>
    </row>
    <row r="4312" spans="50:52">
      <c r="AX4312" s="46">
        <f t="shared" si="202"/>
        <v>0</v>
      </c>
      <c r="AY4312" s="46">
        <f t="shared" si="203"/>
        <v>0</v>
      </c>
      <c r="AZ4312" s="46">
        <f t="shared" si="204"/>
        <v>0</v>
      </c>
    </row>
    <row r="4313" spans="50:52">
      <c r="AX4313" s="46">
        <f t="shared" si="202"/>
        <v>0</v>
      </c>
      <c r="AY4313" s="46">
        <f t="shared" si="203"/>
        <v>0</v>
      </c>
      <c r="AZ4313" s="46">
        <f t="shared" si="204"/>
        <v>0</v>
      </c>
    </row>
    <row r="4314" spans="50:52">
      <c r="AX4314" s="46">
        <f t="shared" si="202"/>
        <v>0</v>
      </c>
      <c r="AY4314" s="46">
        <f t="shared" si="203"/>
        <v>0</v>
      </c>
      <c r="AZ4314" s="46">
        <f t="shared" si="204"/>
        <v>0</v>
      </c>
    </row>
    <row r="4315" spans="50:52">
      <c r="AX4315" s="46">
        <f t="shared" si="202"/>
        <v>0</v>
      </c>
      <c r="AY4315" s="46">
        <f t="shared" si="203"/>
        <v>0</v>
      </c>
      <c r="AZ4315" s="46">
        <f t="shared" si="204"/>
        <v>0</v>
      </c>
    </row>
    <row r="4316" spans="50:52">
      <c r="AX4316" s="46">
        <f t="shared" si="202"/>
        <v>0</v>
      </c>
      <c r="AY4316" s="46">
        <f t="shared" si="203"/>
        <v>0</v>
      </c>
      <c r="AZ4316" s="46">
        <f t="shared" si="204"/>
        <v>0</v>
      </c>
    </row>
    <row r="4317" spans="50:52">
      <c r="AX4317" s="46">
        <f t="shared" si="202"/>
        <v>0</v>
      </c>
      <c r="AY4317" s="46">
        <f t="shared" si="203"/>
        <v>0</v>
      </c>
      <c r="AZ4317" s="46">
        <f t="shared" si="204"/>
        <v>0</v>
      </c>
    </row>
    <row r="4318" spans="50:52">
      <c r="AX4318" s="46">
        <f t="shared" si="202"/>
        <v>0</v>
      </c>
      <c r="AY4318" s="46">
        <f t="shared" si="203"/>
        <v>0</v>
      </c>
      <c r="AZ4318" s="46">
        <f t="shared" si="204"/>
        <v>0</v>
      </c>
    </row>
    <row r="4319" spans="50:52">
      <c r="AX4319" s="46">
        <f t="shared" si="202"/>
        <v>0</v>
      </c>
      <c r="AY4319" s="46">
        <f t="shared" si="203"/>
        <v>0</v>
      </c>
      <c r="AZ4319" s="46">
        <f t="shared" si="204"/>
        <v>0</v>
      </c>
    </row>
    <row r="4320" spans="50:52">
      <c r="AX4320" s="46">
        <f t="shared" si="202"/>
        <v>0</v>
      </c>
      <c r="AY4320" s="46">
        <f t="shared" si="203"/>
        <v>0</v>
      </c>
      <c r="AZ4320" s="46">
        <f t="shared" si="204"/>
        <v>0</v>
      </c>
    </row>
    <row r="4321" spans="50:52">
      <c r="AX4321" s="46">
        <f t="shared" si="202"/>
        <v>0</v>
      </c>
      <c r="AY4321" s="46">
        <f t="shared" si="203"/>
        <v>0</v>
      </c>
      <c r="AZ4321" s="46">
        <f t="shared" si="204"/>
        <v>0</v>
      </c>
    </row>
    <row r="4322" spans="50:52">
      <c r="AX4322" s="46">
        <f t="shared" si="202"/>
        <v>0</v>
      </c>
      <c r="AY4322" s="46">
        <f t="shared" si="203"/>
        <v>0</v>
      </c>
      <c r="AZ4322" s="46">
        <f t="shared" si="204"/>
        <v>0</v>
      </c>
    </row>
    <row r="4323" spans="50:52">
      <c r="AX4323" s="46">
        <f t="shared" si="202"/>
        <v>0</v>
      </c>
      <c r="AY4323" s="46">
        <f t="shared" si="203"/>
        <v>0</v>
      </c>
      <c r="AZ4323" s="46">
        <f t="shared" si="204"/>
        <v>0</v>
      </c>
    </row>
    <row r="4324" spans="50:52">
      <c r="AX4324" s="46">
        <f t="shared" si="202"/>
        <v>0</v>
      </c>
      <c r="AY4324" s="46">
        <f t="shared" si="203"/>
        <v>0</v>
      </c>
      <c r="AZ4324" s="46">
        <f t="shared" si="204"/>
        <v>0</v>
      </c>
    </row>
    <row r="4325" spans="50:52">
      <c r="AX4325" s="46">
        <f t="shared" si="202"/>
        <v>0</v>
      </c>
      <c r="AY4325" s="46">
        <f t="shared" si="203"/>
        <v>0</v>
      </c>
      <c r="AZ4325" s="46">
        <f t="shared" si="204"/>
        <v>0</v>
      </c>
    </row>
    <row r="4326" spans="50:52">
      <c r="AX4326" s="46">
        <f t="shared" si="202"/>
        <v>0</v>
      </c>
      <c r="AY4326" s="46">
        <f t="shared" si="203"/>
        <v>0</v>
      </c>
      <c r="AZ4326" s="46">
        <f t="shared" si="204"/>
        <v>0</v>
      </c>
    </row>
    <row r="4327" spans="50:52">
      <c r="AX4327" s="46">
        <f t="shared" si="202"/>
        <v>0</v>
      </c>
      <c r="AY4327" s="46">
        <f t="shared" si="203"/>
        <v>0</v>
      </c>
      <c r="AZ4327" s="46">
        <f t="shared" si="204"/>
        <v>0</v>
      </c>
    </row>
    <row r="4328" spans="50:52">
      <c r="AX4328" s="46">
        <f t="shared" si="202"/>
        <v>0</v>
      </c>
      <c r="AY4328" s="46">
        <f t="shared" si="203"/>
        <v>0</v>
      </c>
      <c r="AZ4328" s="46">
        <f t="shared" si="204"/>
        <v>0</v>
      </c>
    </row>
    <row r="4329" spans="50:52">
      <c r="AX4329" s="46">
        <f t="shared" si="202"/>
        <v>0</v>
      </c>
      <c r="AY4329" s="46">
        <f t="shared" si="203"/>
        <v>0</v>
      </c>
      <c r="AZ4329" s="46">
        <f t="shared" si="204"/>
        <v>0</v>
      </c>
    </row>
    <row r="4330" spans="50:52">
      <c r="AX4330" s="46">
        <f t="shared" si="202"/>
        <v>0</v>
      </c>
      <c r="AY4330" s="46">
        <f t="shared" si="203"/>
        <v>0</v>
      </c>
      <c r="AZ4330" s="46">
        <f t="shared" si="204"/>
        <v>0</v>
      </c>
    </row>
    <row r="4331" spans="50:52">
      <c r="AX4331" s="46">
        <f t="shared" si="202"/>
        <v>0</v>
      </c>
      <c r="AY4331" s="46">
        <f t="shared" si="203"/>
        <v>0</v>
      </c>
      <c r="AZ4331" s="46">
        <f t="shared" si="204"/>
        <v>0</v>
      </c>
    </row>
    <row r="4332" spans="50:52">
      <c r="AX4332" s="46">
        <f t="shared" si="202"/>
        <v>0</v>
      </c>
      <c r="AY4332" s="46">
        <f t="shared" si="203"/>
        <v>0</v>
      </c>
      <c r="AZ4332" s="46">
        <f t="shared" si="204"/>
        <v>0</v>
      </c>
    </row>
    <row r="4333" spans="50:52">
      <c r="AX4333" s="46">
        <f t="shared" si="202"/>
        <v>0</v>
      </c>
      <c r="AY4333" s="46">
        <f t="shared" si="203"/>
        <v>0</v>
      </c>
      <c r="AZ4333" s="46">
        <f t="shared" si="204"/>
        <v>0</v>
      </c>
    </row>
    <row r="4334" spans="50:52">
      <c r="AX4334" s="46">
        <f t="shared" si="202"/>
        <v>0</v>
      </c>
      <c r="AY4334" s="46">
        <f t="shared" si="203"/>
        <v>0</v>
      </c>
      <c r="AZ4334" s="46">
        <f t="shared" si="204"/>
        <v>0</v>
      </c>
    </row>
    <row r="4335" spans="50:52">
      <c r="AX4335" s="46">
        <f t="shared" si="202"/>
        <v>0</v>
      </c>
      <c r="AY4335" s="46">
        <f t="shared" si="203"/>
        <v>0</v>
      </c>
      <c r="AZ4335" s="46">
        <f t="shared" si="204"/>
        <v>0</v>
      </c>
    </row>
    <row r="4336" spans="50:52">
      <c r="AX4336" s="46">
        <f t="shared" si="202"/>
        <v>0</v>
      </c>
      <c r="AY4336" s="46">
        <f t="shared" si="203"/>
        <v>0</v>
      </c>
      <c r="AZ4336" s="46">
        <f t="shared" si="204"/>
        <v>0</v>
      </c>
    </row>
    <row r="4337" spans="50:52">
      <c r="AX4337" s="46">
        <f t="shared" si="202"/>
        <v>0</v>
      </c>
      <c r="AY4337" s="46">
        <f t="shared" si="203"/>
        <v>0</v>
      </c>
      <c r="AZ4337" s="46">
        <f t="shared" si="204"/>
        <v>0</v>
      </c>
    </row>
    <row r="4338" spans="50:52">
      <c r="AX4338" s="46">
        <f t="shared" si="202"/>
        <v>0</v>
      </c>
      <c r="AY4338" s="46">
        <f t="shared" si="203"/>
        <v>0</v>
      </c>
      <c r="AZ4338" s="46">
        <f t="shared" si="204"/>
        <v>0</v>
      </c>
    </row>
    <row r="4339" spans="50:52">
      <c r="AX4339" s="46">
        <f t="shared" si="202"/>
        <v>0</v>
      </c>
      <c r="AY4339" s="46">
        <f t="shared" si="203"/>
        <v>0</v>
      </c>
      <c r="AZ4339" s="46">
        <f t="shared" si="204"/>
        <v>0</v>
      </c>
    </row>
    <row r="4340" spans="50:52">
      <c r="AX4340" s="46">
        <f t="shared" si="202"/>
        <v>0</v>
      </c>
      <c r="AY4340" s="46">
        <f t="shared" si="203"/>
        <v>0</v>
      </c>
      <c r="AZ4340" s="46">
        <f t="shared" si="204"/>
        <v>0</v>
      </c>
    </row>
    <row r="4341" spans="50:52">
      <c r="AX4341" s="46">
        <f t="shared" si="202"/>
        <v>0</v>
      </c>
      <c r="AY4341" s="46">
        <f t="shared" si="203"/>
        <v>0</v>
      </c>
      <c r="AZ4341" s="46">
        <f t="shared" si="204"/>
        <v>0</v>
      </c>
    </row>
    <row r="4342" spans="50:52">
      <c r="AX4342" s="46">
        <f t="shared" si="202"/>
        <v>0</v>
      </c>
      <c r="AY4342" s="46">
        <f t="shared" si="203"/>
        <v>0</v>
      </c>
      <c r="AZ4342" s="46">
        <f t="shared" si="204"/>
        <v>0</v>
      </c>
    </row>
    <row r="4343" spans="50:52">
      <c r="AX4343" s="46">
        <f t="shared" si="202"/>
        <v>0</v>
      </c>
      <c r="AY4343" s="46">
        <f t="shared" si="203"/>
        <v>0</v>
      </c>
      <c r="AZ4343" s="46">
        <f t="shared" si="204"/>
        <v>0</v>
      </c>
    </row>
    <row r="4344" spans="50:52">
      <c r="AX4344" s="46">
        <f t="shared" si="202"/>
        <v>0</v>
      </c>
      <c r="AY4344" s="46">
        <f t="shared" si="203"/>
        <v>0</v>
      </c>
      <c r="AZ4344" s="46">
        <f t="shared" si="204"/>
        <v>0</v>
      </c>
    </row>
    <row r="4345" spans="50:52">
      <c r="AX4345" s="46">
        <f t="shared" si="202"/>
        <v>0</v>
      </c>
      <c r="AY4345" s="46">
        <f t="shared" si="203"/>
        <v>0</v>
      </c>
      <c r="AZ4345" s="46">
        <f t="shared" si="204"/>
        <v>0</v>
      </c>
    </row>
    <row r="4346" spans="50:52">
      <c r="AX4346" s="46">
        <f t="shared" si="202"/>
        <v>0</v>
      </c>
      <c r="AY4346" s="46">
        <f t="shared" si="203"/>
        <v>0</v>
      </c>
      <c r="AZ4346" s="46">
        <f t="shared" si="204"/>
        <v>0</v>
      </c>
    </row>
    <row r="4347" spans="50:52">
      <c r="AX4347" s="46">
        <f t="shared" si="202"/>
        <v>0</v>
      </c>
      <c r="AY4347" s="46">
        <f t="shared" si="203"/>
        <v>0</v>
      </c>
      <c r="AZ4347" s="46">
        <f t="shared" si="204"/>
        <v>0</v>
      </c>
    </row>
    <row r="4348" spans="50:52">
      <c r="AX4348" s="46">
        <f t="shared" si="202"/>
        <v>0</v>
      </c>
      <c r="AY4348" s="46">
        <f t="shared" si="203"/>
        <v>0</v>
      </c>
      <c r="AZ4348" s="46">
        <f t="shared" si="204"/>
        <v>0</v>
      </c>
    </row>
    <row r="4349" spans="50:52">
      <c r="AX4349" s="46">
        <f t="shared" si="202"/>
        <v>0</v>
      </c>
      <c r="AY4349" s="46">
        <f t="shared" si="203"/>
        <v>0</v>
      </c>
      <c r="AZ4349" s="46">
        <f t="shared" si="204"/>
        <v>0</v>
      </c>
    </row>
    <row r="4350" spans="50:52">
      <c r="AX4350" s="46">
        <f t="shared" si="202"/>
        <v>0</v>
      </c>
      <c r="AY4350" s="46">
        <f t="shared" si="203"/>
        <v>0</v>
      </c>
      <c r="AZ4350" s="46">
        <f t="shared" si="204"/>
        <v>0</v>
      </c>
    </row>
    <row r="4351" spans="50:52">
      <c r="AX4351" s="46">
        <f t="shared" si="202"/>
        <v>0</v>
      </c>
      <c r="AY4351" s="46">
        <f t="shared" si="203"/>
        <v>0</v>
      </c>
      <c r="AZ4351" s="46">
        <f t="shared" si="204"/>
        <v>0</v>
      </c>
    </row>
    <row r="4352" spans="50:52">
      <c r="AX4352" s="46">
        <f t="shared" si="202"/>
        <v>0</v>
      </c>
      <c r="AY4352" s="46">
        <f t="shared" si="203"/>
        <v>0</v>
      </c>
      <c r="AZ4352" s="46">
        <f t="shared" si="204"/>
        <v>0</v>
      </c>
    </row>
    <row r="4353" spans="50:52">
      <c r="AX4353" s="46">
        <f t="shared" si="202"/>
        <v>0</v>
      </c>
      <c r="AY4353" s="46">
        <f t="shared" si="203"/>
        <v>0</v>
      </c>
      <c r="AZ4353" s="46">
        <f t="shared" si="204"/>
        <v>0</v>
      </c>
    </row>
    <row r="4354" spans="50:52">
      <c r="AX4354" s="46">
        <f t="shared" si="202"/>
        <v>0</v>
      </c>
      <c r="AY4354" s="46">
        <f t="shared" si="203"/>
        <v>0</v>
      </c>
      <c r="AZ4354" s="46">
        <f t="shared" si="204"/>
        <v>0</v>
      </c>
    </row>
    <row r="4355" spans="50:52">
      <c r="AX4355" s="46">
        <f t="shared" si="202"/>
        <v>0</v>
      </c>
      <c r="AY4355" s="46">
        <f t="shared" si="203"/>
        <v>0</v>
      </c>
      <c r="AZ4355" s="46">
        <f t="shared" si="204"/>
        <v>0</v>
      </c>
    </row>
    <row r="4356" spans="50:52">
      <c r="AX4356" s="46">
        <f t="shared" si="202"/>
        <v>0</v>
      </c>
      <c r="AY4356" s="46">
        <f t="shared" si="203"/>
        <v>0</v>
      </c>
      <c r="AZ4356" s="46">
        <f t="shared" si="204"/>
        <v>0</v>
      </c>
    </row>
    <row r="4357" spans="50:52">
      <c r="AX4357" s="46">
        <f t="shared" si="202"/>
        <v>0</v>
      </c>
      <c r="AY4357" s="46">
        <f t="shared" si="203"/>
        <v>0</v>
      </c>
      <c r="AZ4357" s="46">
        <f t="shared" si="204"/>
        <v>0</v>
      </c>
    </row>
    <row r="4358" spans="50:52">
      <c r="AX4358" s="46">
        <f t="shared" si="202"/>
        <v>0</v>
      </c>
      <c r="AY4358" s="46">
        <f t="shared" si="203"/>
        <v>0</v>
      </c>
      <c r="AZ4358" s="46">
        <f t="shared" si="204"/>
        <v>0</v>
      </c>
    </row>
    <row r="4359" spans="50:52">
      <c r="AX4359" s="46">
        <f t="shared" si="202"/>
        <v>0</v>
      </c>
      <c r="AY4359" s="46">
        <f t="shared" si="203"/>
        <v>0</v>
      </c>
      <c r="AZ4359" s="46">
        <f t="shared" si="204"/>
        <v>0</v>
      </c>
    </row>
    <row r="4360" spans="50:52">
      <c r="AX4360" s="46">
        <f t="shared" si="202"/>
        <v>0</v>
      </c>
      <c r="AY4360" s="46">
        <f t="shared" si="203"/>
        <v>0</v>
      </c>
      <c r="AZ4360" s="46">
        <f t="shared" si="204"/>
        <v>0</v>
      </c>
    </row>
    <row r="4361" spans="50:52">
      <c r="AX4361" s="46">
        <f t="shared" si="202"/>
        <v>0</v>
      </c>
      <c r="AY4361" s="46">
        <f t="shared" si="203"/>
        <v>0</v>
      </c>
      <c r="AZ4361" s="46">
        <f t="shared" si="204"/>
        <v>0</v>
      </c>
    </row>
    <row r="4362" spans="50:52">
      <c r="AX4362" s="46">
        <f t="shared" si="202"/>
        <v>0</v>
      </c>
      <c r="AY4362" s="46">
        <f t="shared" si="203"/>
        <v>0</v>
      </c>
      <c r="AZ4362" s="46">
        <f t="shared" si="204"/>
        <v>0</v>
      </c>
    </row>
    <row r="4363" spans="50:52">
      <c r="AX4363" s="46">
        <f t="shared" ref="AX4363:AX4426" si="205">IFERROR(SUM(Q4363:AS4363)-SUM(AT4363:AU4363)+AV4363,"-")</f>
        <v>0</v>
      </c>
      <c r="AY4363" s="46">
        <f t="shared" ref="AY4363:AY4426" si="206">IFERROR(SUM(Q4363:AS4363)-SUM(AT4363:AT4363),"-")</f>
        <v>0</v>
      </c>
      <c r="AZ4363" s="46">
        <f t="shared" ref="AZ4363:AZ4426" si="207">SUM(Q4363:AS4363)</f>
        <v>0</v>
      </c>
    </row>
    <row r="4364" spans="50:52">
      <c r="AX4364" s="46">
        <f t="shared" si="205"/>
        <v>0</v>
      </c>
      <c r="AY4364" s="46">
        <f t="shared" si="206"/>
        <v>0</v>
      </c>
      <c r="AZ4364" s="46">
        <f t="shared" si="207"/>
        <v>0</v>
      </c>
    </row>
    <row r="4365" spans="50:52">
      <c r="AX4365" s="46">
        <f t="shared" si="205"/>
        <v>0</v>
      </c>
      <c r="AY4365" s="46">
        <f t="shared" si="206"/>
        <v>0</v>
      </c>
      <c r="AZ4365" s="46">
        <f t="shared" si="207"/>
        <v>0</v>
      </c>
    </row>
    <row r="4366" spans="50:52">
      <c r="AX4366" s="46">
        <f t="shared" si="205"/>
        <v>0</v>
      </c>
      <c r="AY4366" s="46">
        <f t="shared" si="206"/>
        <v>0</v>
      </c>
      <c r="AZ4366" s="46">
        <f t="shared" si="207"/>
        <v>0</v>
      </c>
    </row>
    <row r="4367" spans="50:52">
      <c r="AX4367" s="46">
        <f t="shared" si="205"/>
        <v>0</v>
      </c>
      <c r="AY4367" s="46">
        <f t="shared" si="206"/>
        <v>0</v>
      </c>
      <c r="AZ4367" s="46">
        <f t="shared" si="207"/>
        <v>0</v>
      </c>
    </row>
    <row r="4368" spans="50:52">
      <c r="AX4368" s="46">
        <f t="shared" si="205"/>
        <v>0</v>
      </c>
      <c r="AY4368" s="46">
        <f t="shared" si="206"/>
        <v>0</v>
      </c>
      <c r="AZ4368" s="46">
        <f t="shared" si="207"/>
        <v>0</v>
      </c>
    </row>
    <row r="4369" spans="50:52">
      <c r="AX4369" s="46">
        <f t="shared" si="205"/>
        <v>0</v>
      </c>
      <c r="AY4369" s="46">
        <f t="shared" si="206"/>
        <v>0</v>
      </c>
      <c r="AZ4369" s="46">
        <f t="shared" si="207"/>
        <v>0</v>
      </c>
    </row>
    <row r="4370" spans="50:52">
      <c r="AX4370" s="46">
        <f t="shared" si="205"/>
        <v>0</v>
      </c>
      <c r="AY4370" s="46">
        <f t="shared" si="206"/>
        <v>0</v>
      </c>
      <c r="AZ4370" s="46">
        <f t="shared" si="207"/>
        <v>0</v>
      </c>
    </row>
    <row r="4371" spans="50:52">
      <c r="AX4371" s="46">
        <f t="shared" si="205"/>
        <v>0</v>
      </c>
      <c r="AY4371" s="46">
        <f t="shared" si="206"/>
        <v>0</v>
      </c>
      <c r="AZ4371" s="46">
        <f t="shared" si="207"/>
        <v>0</v>
      </c>
    </row>
    <row r="4372" spans="50:52">
      <c r="AX4372" s="46">
        <f t="shared" si="205"/>
        <v>0</v>
      </c>
      <c r="AY4372" s="46">
        <f t="shared" si="206"/>
        <v>0</v>
      </c>
      <c r="AZ4372" s="46">
        <f t="shared" si="207"/>
        <v>0</v>
      </c>
    </row>
    <row r="4373" spans="50:52">
      <c r="AX4373" s="46">
        <f t="shared" si="205"/>
        <v>0</v>
      </c>
      <c r="AY4373" s="46">
        <f t="shared" si="206"/>
        <v>0</v>
      </c>
      <c r="AZ4373" s="46">
        <f t="shared" si="207"/>
        <v>0</v>
      </c>
    </row>
    <row r="4374" spans="50:52">
      <c r="AX4374" s="46">
        <f t="shared" si="205"/>
        <v>0</v>
      </c>
      <c r="AY4374" s="46">
        <f t="shared" si="206"/>
        <v>0</v>
      </c>
      <c r="AZ4374" s="46">
        <f t="shared" si="207"/>
        <v>0</v>
      </c>
    </row>
    <row r="4375" spans="50:52">
      <c r="AX4375" s="46">
        <f t="shared" si="205"/>
        <v>0</v>
      </c>
      <c r="AY4375" s="46">
        <f t="shared" si="206"/>
        <v>0</v>
      </c>
      <c r="AZ4375" s="46">
        <f t="shared" si="207"/>
        <v>0</v>
      </c>
    </row>
    <row r="4376" spans="50:52">
      <c r="AX4376" s="46">
        <f t="shared" si="205"/>
        <v>0</v>
      </c>
      <c r="AY4376" s="46">
        <f t="shared" si="206"/>
        <v>0</v>
      </c>
      <c r="AZ4376" s="46">
        <f t="shared" si="207"/>
        <v>0</v>
      </c>
    </row>
    <row r="4377" spans="50:52">
      <c r="AX4377" s="46">
        <f t="shared" si="205"/>
        <v>0</v>
      </c>
      <c r="AY4377" s="46">
        <f t="shared" si="206"/>
        <v>0</v>
      </c>
      <c r="AZ4377" s="46">
        <f t="shared" si="207"/>
        <v>0</v>
      </c>
    </row>
    <row r="4378" spans="50:52">
      <c r="AX4378" s="46">
        <f t="shared" si="205"/>
        <v>0</v>
      </c>
      <c r="AY4378" s="46">
        <f t="shared" si="206"/>
        <v>0</v>
      </c>
      <c r="AZ4378" s="46">
        <f t="shared" si="207"/>
        <v>0</v>
      </c>
    </row>
    <row r="4379" spans="50:52">
      <c r="AX4379" s="46">
        <f t="shared" si="205"/>
        <v>0</v>
      </c>
      <c r="AY4379" s="46">
        <f t="shared" si="206"/>
        <v>0</v>
      </c>
      <c r="AZ4379" s="46">
        <f t="shared" si="207"/>
        <v>0</v>
      </c>
    </row>
    <row r="4380" spans="50:52">
      <c r="AX4380" s="46">
        <f t="shared" si="205"/>
        <v>0</v>
      </c>
      <c r="AY4380" s="46">
        <f t="shared" si="206"/>
        <v>0</v>
      </c>
      <c r="AZ4380" s="46">
        <f t="shared" si="207"/>
        <v>0</v>
      </c>
    </row>
    <row r="4381" spans="50:52">
      <c r="AX4381" s="46">
        <f t="shared" si="205"/>
        <v>0</v>
      </c>
      <c r="AY4381" s="46">
        <f t="shared" si="206"/>
        <v>0</v>
      </c>
      <c r="AZ4381" s="46">
        <f t="shared" si="207"/>
        <v>0</v>
      </c>
    </row>
    <row r="4382" spans="50:52">
      <c r="AX4382" s="46">
        <f t="shared" si="205"/>
        <v>0</v>
      </c>
      <c r="AY4382" s="46">
        <f t="shared" si="206"/>
        <v>0</v>
      </c>
      <c r="AZ4382" s="46">
        <f t="shared" si="207"/>
        <v>0</v>
      </c>
    </row>
    <row r="4383" spans="50:52">
      <c r="AX4383" s="46">
        <f t="shared" si="205"/>
        <v>0</v>
      </c>
      <c r="AY4383" s="46">
        <f t="shared" si="206"/>
        <v>0</v>
      </c>
      <c r="AZ4383" s="46">
        <f t="shared" si="207"/>
        <v>0</v>
      </c>
    </row>
    <row r="4384" spans="50:52">
      <c r="AX4384" s="46">
        <f t="shared" si="205"/>
        <v>0</v>
      </c>
      <c r="AY4384" s="46">
        <f t="shared" si="206"/>
        <v>0</v>
      </c>
      <c r="AZ4384" s="46">
        <f t="shared" si="207"/>
        <v>0</v>
      </c>
    </row>
    <row r="4385" spans="50:52">
      <c r="AX4385" s="46">
        <f t="shared" si="205"/>
        <v>0</v>
      </c>
      <c r="AY4385" s="46">
        <f t="shared" si="206"/>
        <v>0</v>
      </c>
      <c r="AZ4385" s="46">
        <f t="shared" si="207"/>
        <v>0</v>
      </c>
    </row>
    <row r="4386" spans="50:52">
      <c r="AX4386" s="46">
        <f t="shared" si="205"/>
        <v>0</v>
      </c>
      <c r="AY4386" s="46">
        <f t="shared" si="206"/>
        <v>0</v>
      </c>
      <c r="AZ4386" s="46">
        <f t="shared" si="207"/>
        <v>0</v>
      </c>
    </row>
    <row r="4387" spans="50:52">
      <c r="AX4387" s="46">
        <f t="shared" si="205"/>
        <v>0</v>
      </c>
      <c r="AY4387" s="46">
        <f t="shared" si="206"/>
        <v>0</v>
      </c>
      <c r="AZ4387" s="46">
        <f t="shared" si="207"/>
        <v>0</v>
      </c>
    </row>
    <row r="4388" spans="50:52">
      <c r="AX4388" s="46">
        <f t="shared" si="205"/>
        <v>0</v>
      </c>
      <c r="AY4388" s="46">
        <f t="shared" si="206"/>
        <v>0</v>
      </c>
      <c r="AZ4388" s="46">
        <f t="shared" si="207"/>
        <v>0</v>
      </c>
    </row>
    <row r="4389" spans="50:52">
      <c r="AX4389" s="46">
        <f t="shared" si="205"/>
        <v>0</v>
      </c>
      <c r="AY4389" s="46">
        <f t="shared" si="206"/>
        <v>0</v>
      </c>
      <c r="AZ4389" s="46">
        <f t="shared" si="207"/>
        <v>0</v>
      </c>
    </row>
    <row r="4390" spans="50:52">
      <c r="AX4390" s="46">
        <f t="shared" si="205"/>
        <v>0</v>
      </c>
      <c r="AY4390" s="46">
        <f t="shared" si="206"/>
        <v>0</v>
      </c>
      <c r="AZ4390" s="46">
        <f t="shared" si="207"/>
        <v>0</v>
      </c>
    </row>
    <row r="4391" spans="50:52">
      <c r="AX4391" s="46">
        <f t="shared" si="205"/>
        <v>0</v>
      </c>
      <c r="AY4391" s="46">
        <f t="shared" si="206"/>
        <v>0</v>
      </c>
      <c r="AZ4391" s="46">
        <f t="shared" si="207"/>
        <v>0</v>
      </c>
    </row>
    <row r="4392" spans="50:52">
      <c r="AX4392" s="46">
        <f t="shared" si="205"/>
        <v>0</v>
      </c>
      <c r="AY4392" s="46">
        <f t="shared" si="206"/>
        <v>0</v>
      </c>
      <c r="AZ4392" s="46">
        <f t="shared" si="207"/>
        <v>0</v>
      </c>
    </row>
    <row r="4393" spans="50:52">
      <c r="AX4393" s="46">
        <f t="shared" si="205"/>
        <v>0</v>
      </c>
      <c r="AY4393" s="46">
        <f t="shared" si="206"/>
        <v>0</v>
      </c>
      <c r="AZ4393" s="46">
        <f t="shared" si="207"/>
        <v>0</v>
      </c>
    </row>
    <row r="4394" spans="50:52">
      <c r="AX4394" s="46">
        <f t="shared" si="205"/>
        <v>0</v>
      </c>
      <c r="AY4394" s="46">
        <f t="shared" si="206"/>
        <v>0</v>
      </c>
      <c r="AZ4394" s="46">
        <f t="shared" si="207"/>
        <v>0</v>
      </c>
    </row>
    <row r="4395" spans="50:52">
      <c r="AX4395" s="46">
        <f t="shared" si="205"/>
        <v>0</v>
      </c>
      <c r="AY4395" s="46">
        <f t="shared" si="206"/>
        <v>0</v>
      </c>
      <c r="AZ4395" s="46">
        <f t="shared" si="207"/>
        <v>0</v>
      </c>
    </row>
    <row r="4396" spans="50:52">
      <c r="AX4396" s="46">
        <f t="shared" si="205"/>
        <v>0</v>
      </c>
      <c r="AY4396" s="46">
        <f t="shared" si="206"/>
        <v>0</v>
      </c>
      <c r="AZ4396" s="46">
        <f t="shared" si="207"/>
        <v>0</v>
      </c>
    </row>
    <row r="4397" spans="50:52">
      <c r="AX4397" s="46">
        <f t="shared" si="205"/>
        <v>0</v>
      </c>
      <c r="AY4397" s="46">
        <f t="shared" si="206"/>
        <v>0</v>
      </c>
      <c r="AZ4397" s="46">
        <f t="shared" si="207"/>
        <v>0</v>
      </c>
    </row>
    <row r="4398" spans="50:52">
      <c r="AX4398" s="46">
        <f t="shared" si="205"/>
        <v>0</v>
      </c>
      <c r="AY4398" s="46">
        <f t="shared" si="206"/>
        <v>0</v>
      </c>
      <c r="AZ4398" s="46">
        <f t="shared" si="207"/>
        <v>0</v>
      </c>
    </row>
    <row r="4399" spans="50:52">
      <c r="AX4399" s="46">
        <f t="shared" si="205"/>
        <v>0</v>
      </c>
      <c r="AY4399" s="46">
        <f t="shared" si="206"/>
        <v>0</v>
      </c>
      <c r="AZ4399" s="46">
        <f t="shared" si="207"/>
        <v>0</v>
      </c>
    </row>
    <row r="4400" spans="50:52">
      <c r="AX4400" s="46">
        <f t="shared" si="205"/>
        <v>0</v>
      </c>
      <c r="AY4400" s="46">
        <f t="shared" si="206"/>
        <v>0</v>
      </c>
      <c r="AZ4400" s="46">
        <f t="shared" si="207"/>
        <v>0</v>
      </c>
    </row>
    <row r="4401" spans="50:52">
      <c r="AX4401" s="46">
        <f t="shared" si="205"/>
        <v>0</v>
      </c>
      <c r="AY4401" s="46">
        <f t="shared" si="206"/>
        <v>0</v>
      </c>
      <c r="AZ4401" s="46">
        <f t="shared" si="207"/>
        <v>0</v>
      </c>
    </row>
    <row r="4402" spans="50:52">
      <c r="AX4402" s="46">
        <f t="shared" si="205"/>
        <v>0</v>
      </c>
      <c r="AY4402" s="46">
        <f t="shared" si="206"/>
        <v>0</v>
      </c>
      <c r="AZ4402" s="46">
        <f t="shared" si="207"/>
        <v>0</v>
      </c>
    </row>
    <row r="4403" spans="50:52">
      <c r="AX4403" s="46">
        <f t="shared" si="205"/>
        <v>0</v>
      </c>
      <c r="AY4403" s="46">
        <f t="shared" si="206"/>
        <v>0</v>
      </c>
      <c r="AZ4403" s="46">
        <f t="shared" si="207"/>
        <v>0</v>
      </c>
    </row>
    <row r="4404" spans="50:52">
      <c r="AX4404" s="46">
        <f t="shared" si="205"/>
        <v>0</v>
      </c>
      <c r="AY4404" s="46">
        <f t="shared" si="206"/>
        <v>0</v>
      </c>
      <c r="AZ4404" s="46">
        <f t="shared" si="207"/>
        <v>0</v>
      </c>
    </row>
    <row r="4405" spans="50:52">
      <c r="AX4405" s="46">
        <f t="shared" si="205"/>
        <v>0</v>
      </c>
      <c r="AY4405" s="46">
        <f t="shared" si="206"/>
        <v>0</v>
      </c>
      <c r="AZ4405" s="46">
        <f t="shared" si="207"/>
        <v>0</v>
      </c>
    </row>
    <row r="4406" spans="50:52">
      <c r="AX4406" s="46">
        <f t="shared" si="205"/>
        <v>0</v>
      </c>
      <c r="AY4406" s="46">
        <f t="shared" si="206"/>
        <v>0</v>
      </c>
      <c r="AZ4406" s="46">
        <f t="shared" si="207"/>
        <v>0</v>
      </c>
    </row>
    <row r="4407" spans="50:52">
      <c r="AX4407" s="46">
        <f t="shared" si="205"/>
        <v>0</v>
      </c>
      <c r="AY4407" s="46">
        <f t="shared" si="206"/>
        <v>0</v>
      </c>
      <c r="AZ4407" s="46">
        <f t="shared" si="207"/>
        <v>0</v>
      </c>
    </row>
    <row r="4408" spans="50:52">
      <c r="AX4408" s="46">
        <f t="shared" si="205"/>
        <v>0</v>
      </c>
      <c r="AY4408" s="46">
        <f t="shared" si="206"/>
        <v>0</v>
      </c>
      <c r="AZ4408" s="46">
        <f t="shared" si="207"/>
        <v>0</v>
      </c>
    </row>
    <row r="4409" spans="50:52">
      <c r="AX4409" s="46">
        <f t="shared" si="205"/>
        <v>0</v>
      </c>
      <c r="AY4409" s="46">
        <f t="shared" si="206"/>
        <v>0</v>
      </c>
      <c r="AZ4409" s="46">
        <f t="shared" si="207"/>
        <v>0</v>
      </c>
    </row>
    <row r="4410" spans="50:52">
      <c r="AX4410" s="46">
        <f t="shared" si="205"/>
        <v>0</v>
      </c>
      <c r="AY4410" s="46">
        <f t="shared" si="206"/>
        <v>0</v>
      </c>
      <c r="AZ4410" s="46">
        <f t="shared" si="207"/>
        <v>0</v>
      </c>
    </row>
    <row r="4411" spans="50:52">
      <c r="AX4411" s="46">
        <f t="shared" si="205"/>
        <v>0</v>
      </c>
      <c r="AY4411" s="46">
        <f t="shared" si="206"/>
        <v>0</v>
      </c>
      <c r="AZ4411" s="46">
        <f t="shared" si="207"/>
        <v>0</v>
      </c>
    </row>
    <row r="4412" spans="50:52">
      <c r="AX4412" s="46">
        <f t="shared" si="205"/>
        <v>0</v>
      </c>
      <c r="AY4412" s="46">
        <f t="shared" si="206"/>
        <v>0</v>
      </c>
      <c r="AZ4412" s="46">
        <f t="shared" si="207"/>
        <v>0</v>
      </c>
    </row>
    <row r="4413" spans="50:52">
      <c r="AX4413" s="46">
        <f t="shared" si="205"/>
        <v>0</v>
      </c>
      <c r="AY4413" s="46">
        <f t="shared" si="206"/>
        <v>0</v>
      </c>
      <c r="AZ4413" s="46">
        <f t="shared" si="207"/>
        <v>0</v>
      </c>
    </row>
    <row r="4414" spans="50:52">
      <c r="AX4414" s="46">
        <f t="shared" si="205"/>
        <v>0</v>
      </c>
      <c r="AY4414" s="46">
        <f t="shared" si="206"/>
        <v>0</v>
      </c>
      <c r="AZ4414" s="46">
        <f t="shared" si="207"/>
        <v>0</v>
      </c>
    </row>
    <row r="4415" spans="50:52">
      <c r="AX4415" s="46">
        <f t="shared" si="205"/>
        <v>0</v>
      </c>
      <c r="AY4415" s="46">
        <f t="shared" si="206"/>
        <v>0</v>
      </c>
      <c r="AZ4415" s="46">
        <f t="shared" si="207"/>
        <v>0</v>
      </c>
    </row>
    <row r="4416" spans="50:52">
      <c r="AX4416" s="46">
        <f t="shared" si="205"/>
        <v>0</v>
      </c>
      <c r="AY4416" s="46">
        <f t="shared" si="206"/>
        <v>0</v>
      </c>
      <c r="AZ4416" s="46">
        <f t="shared" si="207"/>
        <v>0</v>
      </c>
    </row>
    <row r="4417" spans="50:52">
      <c r="AX4417" s="46">
        <f t="shared" si="205"/>
        <v>0</v>
      </c>
      <c r="AY4417" s="46">
        <f t="shared" si="206"/>
        <v>0</v>
      </c>
      <c r="AZ4417" s="46">
        <f t="shared" si="207"/>
        <v>0</v>
      </c>
    </row>
    <row r="4418" spans="50:52">
      <c r="AX4418" s="46">
        <f t="shared" si="205"/>
        <v>0</v>
      </c>
      <c r="AY4418" s="46">
        <f t="shared" si="206"/>
        <v>0</v>
      </c>
      <c r="AZ4418" s="46">
        <f t="shared" si="207"/>
        <v>0</v>
      </c>
    </row>
    <row r="4419" spans="50:52">
      <c r="AX4419" s="46">
        <f t="shared" si="205"/>
        <v>0</v>
      </c>
      <c r="AY4419" s="46">
        <f t="shared" si="206"/>
        <v>0</v>
      </c>
      <c r="AZ4419" s="46">
        <f t="shared" si="207"/>
        <v>0</v>
      </c>
    </row>
    <row r="4420" spans="50:52">
      <c r="AX4420" s="46">
        <f t="shared" si="205"/>
        <v>0</v>
      </c>
      <c r="AY4420" s="46">
        <f t="shared" si="206"/>
        <v>0</v>
      </c>
      <c r="AZ4420" s="46">
        <f t="shared" si="207"/>
        <v>0</v>
      </c>
    </row>
    <row r="4421" spans="50:52">
      <c r="AX4421" s="46">
        <f t="shared" si="205"/>
        <v>0</v>
      </c>
      <c r="AY4421" s="46">
        <f t="shared" si="206"/>
        <v>0</v>
      </c>
      <c r="AZ4421" s="46">
        <f t="shared" si="207"/>
        <v>0</v>
      </c>
    </row>
    <row r="4422" spans="50:52">
      <c r="AX4422" s="46">
        <f t="shared" si="205"/>
        <v>0</v>
      </c>
      <c r="AY4422" s="46">
        <f t="shared" si="206"/>
        <v>0</v>
      </c>
      <c r="AZ4422" s="46">
        <f t="shared" si="207"/>
        <v>0</v>
      </c>
    </row>
    <row r="4423" spans="50:52">
      <c r="AX4423" s="46">
        <f t="shared" si="205"/>
        <v>0</v>
      </c>
      <c r="AY4423" s="46">
        <f t="shared" si="206"/>
        <v>0</v>
      </c>
      <c r="AZ4423" s="46">
        <f t="shared" si="207"/>
        <v>0</v>
      </c>
    </row>
    <row r="4424" spans="50:52">
      <c r="AX4424" s="46">
        <f t="shared" si="205"/>
        <v>0</v>
      </c>
      <c r="AY4424" s="46">
        <f t="shared" si="206"/>
        <v>0</v>
      </c>
      <c r="AZ4424" s="46">
        <f t="shared" si="207"/>
        <v>0</v>
      </c>
    </row>
    <row r="4425" spans="50:52">
      <c r="AX4425" s="46">
        <f t="shared" si="205"/>
        <v>0</v>
      </c>
      <c r="AY4425" s="46">
        <f t="shared" si="206"/>
        <v>0</v>
      </c>
      <c r="AZ4425" s="46">
        <f t="shared" si="207"/>
        <v>0</v>
      </c>
    </row>
    <row r="4426" spans="50:52">
      <c r="AX4426" s="46">
        <f t="shared" si="205"/>
        <v>0</v>
      </c>
      <c r="AY4426" s="46">
        <f t="shared" si="206"/>
        <v>0</v>
      </c>
      <c r="AZ4426" s="46">
        <f t="shared" si="207"/>
        <v>0</v>
      </c>
    </row>
    <row r="4427" spans="50:52">
      <c r="AX4427" s="46">
        <f t="shared" ref="AX4427:AX4490" si="208">IFERROR(SUM(Q4427:AS4427)-SUM(AT4427:AU4427)+AV4427,"-")</f>
        <v>0</v>
      </c>
      <c r="AY4427" s="46">
        <f t="shared" ref="AY4427:AY4490" si="209">IFERROR(SUM(Q4427:AS4427)-SUM(AT4427:AT4427),"-")</f>
        <v>0</v>
      </c>
      <c r="AZ4427" s="46">
        <f t="shared" ref="AZ4427:AZ4490" si="210">SUM(Q4427:AS4427)</f>
        <v>0</v>
      </c>
    </row>
    <row r="4428" spans="50:52">
      <c r="AX4428" s="46">
        <f t="shared" si="208"/>
        <v>0</v>
      </c>
      <c r="AY4428" s="46">
        <f t="shared" si="209"/>
        <v>0</v>
      </c>
      <c r="AZ4428" s="46">
        <f t="shared" si="210"/>
        <v>0</v>
      </c>
    </row>
    <row r="4429" spans="50:52">
      <c r="AX4429" s="46">
        <f t="shared" si="208"/>
        <v>0</v>
      </c>
      <c r="AY4429" s="46">
        <f t="shared" si="209"/>
        <v>0</v>
      </c>
      <c r="AZ4429" s="46">
        <f t="shared" si="210"/>
        <v>0</v>
      </c>
    </row>
    <row r="4430" spans="50:52">
      <c r="AX4430" s="46">
        <f t="shared" si="208"/>
        <v>0</v>
      </c>
      <c r="AY4430" s="46">
        <f t="shared" si="209"/>
        <v>0</v>
      </c>
      <c r="AZ4430" s="46">
        <f t="shared" si="210"/>
        <v>0</v>
      </c>
    </row>
    <row r="4431" spans="50:52">
      <c r="AX4431" s="46">
        <f t="shared" si="208"/>
        <v>0</v>
      </c>
      <c r="AY4431" s="46">
        <f t="shared" si="209"/>
        <v>0</v>
      </c>
      <c r="AZ4431" s="46">
        <f t="shared" si="210"/>
        <v>0</v>
      </c>
    </row>
    <row r="4432" spans="50:52">
      <c r="AX4432" s="46">
        <f t="shared" si="208"/>
        <v>0</v>
      </c>
      <c r="AY4432" s="46">
        <f t="shared" si="209"/>
        <v>0</v>
      </c>
      <c r="AZ4432" s="46">
        <f t="shared" si="210"/>
        <v>0</v>
      </c>
    </row>
    <row r="4433" spans="50:52">
      <c r="AX4433" s="46">
        <f t="shared" si="208"/>
        <v>0</v>
      </c>
      <c r="AY4433" s="46">
        <f t="shared" si="209"/>
        <v>0</v>
      </c>
      <c r="AZ4433" s="46">
        <f t="shared" si="210"/>
        <v>0</v>
      </c>
    </row>
    <row r="4434" spans="50:52">
      <c r="AX4434" s="46">
        <f t="shared" si="208"/>
        <v>0</v>
      </c>
      <c r="AY4434" s="46">
        <f t="shared" si="209"/>
        <v>0</v>
      </c>
      <c r="AZ4434" s="46">
        <f t="shared" si="210"/>
        <v>0</v>
      </c>
    </row>
    <row r="4435" spans="50:52">
      <c r="AX4435" s="46">
        <f t="shared" si="208"/>
        <v>0</v>
      </c>
      <c r="AY4435" s="46">
        <f t="shared" si="209"/>
        <v>0</v>
      </c>
      <c r="AZ4435" s="46">
        <f t="shared" si="210"/>
        <v>0</v>
      </c>
    </row>
    <row r="4436" spans="50:52">
      <c r="AX4436" s="46">
        <f t="shared" si="208"/>
        <v>0</v>
      </c>
      <c r="AY4436" s="46">
        <f t="shared" si="209"/>
        <v>0</v>
      </c>
      <c r="AZ4436" s="46">
        <f t="shared" si="210"/>
        <v>0</v>
      </c>
    </row>
    <row r="4437" spans="50:52">
      <c r="AX4437" s="46">
        <f t="shared" si="208"/>
        <v>0</v>
      </c>
      <c r="AY4437" s="46">
        <f t="shared" si="209"/>
        <v>0</v>
      </c>
      <c r="AZ4437" s="46">
        <f t="shared" si="210"/>
        <v>0</v>
      </c>
    </row>
    <row r="4438" spans="50:52">
      <c r="AX4438" s="46">
        <f t="shared" si="208"/>
        <v>0</v>
      </c>
      <c r="AY4438" s="46">
        <f t="shared" si="209"/>
        <v>0</v>
      </c>
      <c r="AZ4438" s="46">
        <f t="shared" si="210"/>
        <v>0</v>
      </c>
    </row>
    <row r="4439" spans="50:52">
      <c r="AX4439" s="46">
        <f t="shared" si="208"/>
        <v>0</v>
      </c>
      <c r="AY4439" s="46">
        <f t="shared" si="209"/>
        <v>0</v>
      </c>
      <c r="AZ4439" s="46">
        <f t="shared" si="210"/>
        <v>0</v>
      </c>
    </row>
    <row r="4440" spans="50:52">
      <c r="AX4440" s="46">
        <f t="shared" si="208"/>
        <v>0</v>
      </c>
      <c r="AY4440" s="46">
        <f t="shared" si="209"/>
        <v>0</v>
      </c>
      <c r="AZ4440" s="46">
        <f t="shared" si="210"/>
        <v>0</v>
      </c>
    </row>
    <row r="4441" spans="50:52">
      <c r="AX4441" s="46">
        <f t="shared" si="208"/>
        <v>0</v>
      </c>
      <c r="AY4441" s="46">
        <f t="shared" si="209"/>
        <v>0</v>
      </c>
      <c r="AZ4441" s="46">
        <f t="shared" si="210"/>
        <v>0</v>
      </c>
    </row>
    <row r="4442" spans="50:52">
      <c r="AX4442" s="46">
        <f t="shared" si="208"/>
        <v>0</v>
      </c>
      <c r="AY4442" s="46">
        <f t="shared" si="209"/>
        <v>0</v>
      </c>
      <c r="AZ4442" s="46">
        <f t="shared" si="210"/>
        <v>0</v>
      </c>
    </row>
    <row r="4443" spans="50:52">
      <c r="AX4443" s="46">
        <f t="shared" si="208"/>
        <v>0</v>
      </c>
      <c r="AY4443" s="46">
        <f t="shared" si="209"/>
        <v>0</v>
      </c>
      <c r="AZ4443" s="46">
        <f t="shared" si="210"/>
        <v>0</v>
      </c>
    </row>
    <row r="4444" spans="50:52">
      <c r="AX4444" s="46">
        <f t="shared" si="208"/>
        <v>0</v>
      </c>
      <c r="AY4444" s="46">
        <f t="shared" si="209"/>
        <v>0</v>
      </c>
      <c r="AZ4444" s="46">
        <f t="shared" si="210"/>
        <v>0</v>
      </c>
    </row>
    <row r="4445" spans="50:52">
      <c r="AX4445" s="46">
        <f t="shared" si="208"/>
        <v>0</v>
      </c>
      <c r="AY4445" s="46">
        <f t="shared" si="209"/>
        <v>0</v>
      </c>
      <c r="AZ4445" s="46">
        <f t="shared" si="210"/>
        <v>0</v>
      </c>
    </row>
    <row r="4446" spans="50:52">
      <c r="AX4446" s="46">
        <f t="shared" si="208"/>
        <v>0</v>
      </c>
      <c r="AY4446" s="46">
        <f t="shared" si="209"/>
        <v>0</v>
      </c>
      <c r="AZ4446" s="46">
        <f t="shared" si="210"/>
        <v>0</v>
      </c>
    </row>
    <row r="4447" spans="50:52">
      <c r="AX4447" s="46">
        <f t="shared" si="208"/>
        <v>0</v>
      </c>
      <c r="AY4447" s="46">
        <f t="shared" si="209"/>
        <v>0</v>
      </c>
      <c r="AZ4447" s="46">
        <f t="shared" si="210"/>
        <v>0</v>
      </c>
    </row>
    <row r="4448" spans="50:52">
      <c r="AX4448" s="46">
        <f t="shared" si="208"/>
        <v>0</v>
      </c>
      <c r="AY4448" s="46">
        <f t="shared" si="209"/>
        <v>0</v>
      </c>
      <c r="AZ4448" s="46">
        <f t="shared" si="210"/>
        <v>0</v>
      </c>
    </row>
    <row r="4449" spans="50:52">
      <c r="AX4449" s="46">
        <f t="shared" si="208"/>
        <v>0</v>
      </c>
      <c r="AY4449" s="46">
        <f t="shared" si="209"/>
        <v>0</v>
      </c>
      <c r="AZ4449" s="46">
        <f t="shared" si="210"/>
        <v>0</v>
      </c>
    </row>
    <row r="4450" spans="50:52">
      <c r="AX4450" s="46">
        <f t="shared" si="208"/>
        <v>0</v>
      </c>
      <c r="AY4450" s="46">
        <f t="shared" si="209"/>
        <v>0</v>
      </c>
      <c r="AZ4450" s="46">
        <f t="shared" si="210"/>
        <v>0</v>
      </c>
    </row>
    <row r="4451" spans="50:52">
      <c r="AX4451" s="46">
        <f t="shared" si="208"/>
        <v>0</v>
      </c>
      <c r="AY4451" s="46">
        <f t="shared" si="209"/>
        <v>0</v>
      </c>
      <c r="AZ4451" s="46">
        <f t="shared" si="210"/>
        <v>0</v>
      </c>
    </row>
    <row r="4452" spans="50:52">
      <c r="AX4452" s="46">
        <f t="shared" si="208"/>
        <v>0</v>
      </c>
      <c r="AY4452" s="46">
        <f t="shared" si="209"/>
        <v>0</v>
      </c>
      <c r="AZ4452" s="46">
        <f t="shared" si="210"/>
        <v>0</v>
      </c>
    </row>
    <row r="4453" spans="50:52">
      <c r="AX4453" s="46">
        <f t="shared" si="208"/>
        <v>0</v>
      </c>
      <c r="AY4453" s="46">
        <f t="shared" si="209"/>
        <v>0</v>
      </c>
      <c r="AZ4453" s="46">
        <f t="shared" si="210"/>
        <v>0</v>
      </c>
    </row>
    <row r="4454" spans="50:52">
      <c r="AX4454" s="46">
        <f t="shared" si="208"/>
        <v>0</v>
      </c>
      <c r="AY4454" s="46">
        <f t="shared" si="209"/>
        <v>0</v>
      </c>
      <c r="AZ4454" s="46">
        <f t="shared" si="210"/>
        <v>0</v>
      </c>
    </row>
    <row r="4455" spans="50:52">
      <c r="AX4455" s="46">
        <f t="shared" si="208"/>
        <v>0</v>
      </c>
      <c r="AY4455" s="46">
        <f t="shared" si="209"/>
        <v>0</v>
      </c>
      <c r="AZ4455" s="46">
        <f t="shared" si="210"/>
        <v>0</v>
      </c>
    </row>
    <row r="4456" spans="50:52">
      <c r="AX4456" s="46">
        <f t="shared" si="208"/>
        <v>0</v>
      </c>
      <c r="AY4456" s="46">
        <f t="shared" si="209"/>
        <v>0</v>
      </c>
      <c r="AZ4456" s="46">
        <f t="shared" si="210"/>
        <v>0</v>
      </c>
    </row>
    <row r="4457" spans="50:52">
      <c r="AX4457" s="46">
        <f t="shared" si="208"/>
        <v>0</v>
      </c>
      <c r="AY4457" s="46">
        <f t="shared" si="209"/>
        <v>0</v>
      </c>
      <c r="AZ4457" s="46">
        <f t="shared" si="210"/>
        <v>0</v>
      </c>
    </row>
    <row r="4458" spans="50:52">
      <c r="AX4458" s="46">
        <f t="shared" si="208"/>
        <v>0</v>
      </c>
      <c r="AY4458" s="46">
        <f t="shared" si="209"/>
        <v>0</v>
      </c>
      <c r="AZ4458" s="46">
        <f t="shared" si="210"/>
        <v>0</v>
      </c>
    </row>
    <row r="4459" spans="50:52">
      <c r="AX4459" s="46">
        <f t="shared" si="208"/>
        <v>0</v>
      </c>
      <c r="AY4459" s="46">
        <f t="shared" si="209"/>
        <v>0</v>
      </c>
      <c r="AZ4459" s="46">
        <f t="shared" si="210"/>
        <v>0</v>
      </c>
    </row>
    <row r="4460" spans="50:52">
      <c r="AX4460" s="46">
        <f t="shared" si="208"/>
        <v>0</v>
      </c>
      <c r="AY4460" s="46">
        <f t="shared" si="209"/>
        <v>0</v>
      </c>
      <c r="AZ4460" s="46">
        <f t="shared" si="210"/>
        <v>0</v>
      </c>
    </row>
    <row r="4461" spans="50:52">
      <c r="AX4461" s="46">
        <f t="shared" si="208"/>
        <v>0</v>
      </c>
      <c r="AY4461" s="46">
        <f t="shared" si="209"/>
        <v>0</v>
      </c>
      <c r="AZ4461" s="46">
        <f t="shared" si="210"/>
        <v>0</v>
      </c>
    </row>
    <row r="4462" spans="50:52">
      <c r="AX4462" s="46">
        <f t="shared" si="208"/>
        <v>0</v>
      </c>
      <c r="AY4462" s="46">
        <f t="shared" si="209"/>
        <v>0</v>
      </c>
      <c r="AZ4462" s="46">
        <f t="shared" si="210"/>
        <v>0</v>
      </c>
    </row>
    <row r="4463" spans="50:52">
      <c r="AX4463" s="46">
        <f t="shared" si="208"/>
        <v>0</v>
      </c>
      <c r="AY4463" s="46">
        <f t="shared" si="209"/>
        <v>0</v>
      </c>
      <c r="AZ4463" s="46">
        <f t="shared" si="210"/>
        <v>0</v>
      </c>
    </row>
    <row r="4464" spans="50:52">
      <c r="AX4464" s="46">
        <f t="shared" si="208"/>
        <v>0</v>
      </c>
      <c r="AY4464" s="46">
        <f t="shared" si="209"/>
        <v>0</v>
      </c>
      <c r="AZ4464" s="46">
        <f t="shared" si="210"/>
        <v>0</v>
      </c>
    </row>
    <row r="4465" spans="50:52">
      <c r="AX4465" s="46">
        <f t="shared" si="208"/>
        <v>0</v>
      </c>
      <c r="AY4465" s="46">
        <f t="shared" si="209"/>
        <v>0</v>
      </c>
      <c r="AZ4465" s="46">
        <f t="shared" si="210"/>
        <v>0</v>
      </c>
    </row>
    <row r="4466" spans="50:52">
      <c r="AX4466" s="46">
        <f t="shared" si="208"/>
        <v>0</v>
      </c>
      <c r="AY4466" s="46">
        <f t="shared" si="209"/>
        <v>0</v>
      </c>
      <c r="AZ4466" s="46">
        <f t="shared" si="210"/>
        <v>0</v>
      </c>
    </row>
    <row r="4467" spans="50:52">
      <c r="AX4467" s="46">
        <f t="shared" si="208"/>
        <v>0</v>
      </c>
      <c r="AY4467" s="46">
        <f t="shared" si="209"/>
        <v>0</v>
      </c>
      <c r="AZ4467" s="46">
        <f t="shared" si="210"/>
        <v>0</v>
      </c>
    </row>
    <row r="4468" spans="50:52">
      <c r="AX4468" s="46">
        <f t="shared" si="208"/>
        <v>0</v>
      </c>
      <c r="AY4468" s="46">
        <f t="shared" si="209"/>
        <v>0</v>
      </c>
      <c r="AZ4468" s="46">
        <f t="shared" si="210"/>
        <v>0</v>
      </c>
    </row>
    <row r="4469" spans="50:52">
      <c r="AX4469" s="46">
        <f t="shared" si="208"/>
        <v>0</v>
      </c>
      <c r="AY4469" s="46">
        <f t="shared" si="209"/>
        <v>0</v>
      </c>
      <c r="AZ4469" s="46">
        <f t="shared" si="210"/>
        <v>0</v>
      </c>
    </row>
    <row r="4470" spans="50:52">
      <c r="AX4470" s="46">
        <f t="shared" si="208"/>
        <v>0</v>
      </c>
      <c r="AY4470" s="46">
        <f t="shared" si="209"/>
        <v>0</v>
      </c>
      <c r="AZ4470" s="46">
        <f t="shared" si="210"/>
        <v>0</v>
      </c>
    </row>
    <row r="4471" spans="50:52">
      <c r="AX4471" s="46">
        <f t="shared" si="208"/>
        <v>0</v>
      </c>
      <c r="AY4471" s="46">
        <f t="shared" si="209"/>
        <v>0</v>
      </c>
      <c r="AZ4471" s="46">
        <f t="shared" si="210"/>
        <v>0</v>
      </c>
    </row>
    <row r="4472" spans="50:52">
      <c r="AX4472" s="46">
        <f t="shared" si="208"/>
        <v>0</v>
      </c>
      <c r="AY4472" s="46">
        <f t="shared" si="209"/>
        <v>0</v>
      </c>
      <c r="AZ4472" s="46">
        <f t="shared" si="210"/>
        <v>0</v>
      </c>
    </row>
    <row r="4473" spans="50:52">
      <c r="AX4473" s="46">
        <f t="shared" si="208"/>
        <v>0</v>
      </c>
      <c r="AY4473" s="46">
        <f t="shared" si="209"/>
        <v>0</v>
      </c>
      <c r="AZ4473" s="46">
        <f t="shared" si="210"/>
        <v>0</v>
      </c>
    </row>
    <row r="4474" spans="50:52">
      <c r="AX4474" s="46">
        <f t="shared" si="208"/>
        <v>0</v>
      </c>
      <c r="AY4474" s="46">
        <f t="shared" si="209"/>
        <v>0</v>
      </c>
      <c r="AZ4474" s="46">
        <f t="shared" si="210"/>
        <v>0</v>
      </c>
    </row>
    <row r="4475" spans="50:52">
      <c r="AX4475" s="46">
        <f t="shared" si="208"/>
        <v>0</v>
      </c>
      <c r="AY4475" s="46">
        <f t="shared" si="209"/>
        <v>0</v>
      </c>
      <c r="AZ4475" s="46">
        <f t="shared" si="210"/>
        <v>0</v>
      </c>
    </row>
    <row r="4476" spans="50:52">
      <c r="AX4476" s="46">
        <f t="shared" si="208"/>
        <v>0</v>
      </c>
      <c r="AY4476" s="46">
        <f t="shared" si="209"/>
        <v>0</v>
      </c>
      <c r="AZ4476" s="46">
        <f t="shared" si="210"/>
        <v>0</v>
      </c>
    </row>
    <row r="4477" spans="50:52">
      <c r="AX4477" s="46">
        <f t="shared" si="208"/>
        <v>0</v>
      </c>
      <c r="AY4477" s="46">
        <f t="shared" si="209"/>
        <v>0</v>
      </c>
      <c r="AZ4477" s="46">
        <f t="shared" si="210"/>
        <v>0</v>
      </c>
    </row>
    <row r="4478" spans="50:52">
      <c r="AX4478" s="46">
        <f t="shared" si="208"/>
        <v>0</v>
      </c>
      <c r="AY4478" s="46">
        <f t="shared" si="209"/>
        <v>0</v>
      </c>
      <c r="AZ4478" s="46">
        <f t="shared" si="210"/>
        <v>0</v>
      </c>
    </row>
    <row r="4479" spans="50:52">
      <c r="AX4479" s="46">
        <f t="shared" si="208"/>
        <v>0</v>
      </c>
      <c r="AY4479" s="46">
        <f t="shared" si="209"/>
        <v>0</v>
      </c>
      <c r="AZ4479" s="46">
        <f t="shared" si="210"/>
        <v>0</v>
      </c>
    </row>
    <row r="4480" spans="50:52">
      <c r="AX4480" s="46">
        <f t="shared" si="208"/>
        <v>0</v>
      </c>
      <c r="AY4480" s="46">
        <f t="shared" si="209"/>
        <v>0</v>
      </c>
      <c r="AZ4480" s="46">
        <f t="shared" si="210"/>
        <v>0</v>
      </c>
    </row>
    <row r="4481" spans="50:52">
      <c r="AX4481" s="46">
        <f t="shared" si="208"/>
        <v>0</v>
      </c>
      <c r="AY4481" s="46">
        <f t="shared" si="209"/>
        <v>0</v>
      </c>
      <c r="AZ4481" s="46">
        <f t="shared" si="210"/>
        <v>0</v>
      </c>
    </row>
    <row r="4482" spans="50:52">
      <c r="AX4482" s="46">
        <f t="shared" si="208"/>
        <v>0</v>
      </c>
      <c r="AY4482" s="46">
        <f t="shared" si="209"/>
        <v>0</v>
      </c>
      <c r="AZ4482" s="46">
        <f t="shared" si="210"/>
        <v>0</v>
      </c>
    </row>
    <row r="4483" spans="50:52">
      <c r="AX4483" s="46">
        <f t="shared" si="208"/>
        <v>0</v>
      </c>
      <c r="AY4483" s="46">
        <f t="shared" si="209"/>
        <v>0</v>
      </c>
      <c r="AZ4483" s="46">
        <f t="shared" si="210"/>
        <v>0</v>
      </c>
    </row>
    <row r="4484" spans="50:52">
      <c r="AX4484" s="46">
        <f t="shared" si="208"/>
        <v>0</v>
      </c>
      <c r="AY4484" s="46">
        <f t="shared" si="209"/>
        <v>0</v>
      </c>
      <c r="AZ4484" s="46">
        <f t="shared" si="210"/>
        <v>0</v>
      </c>
    </row>
    <row r="4485" spans="50:52">
      <c r="AX4485" s="46">
        <f t="shared" si="208"/>
        <v>0</v>
      </c>
      <c r="AY4485" s="46">
        <f t="shared" si="209"/>
        <v>0</v>
      </c>
      <c r="AZ4485" s="46">
        <f t="shared" si="210"/>
        <v>0</v>
      </c>
    </row>
    <row r="4486" spans="50:52">
      <c r="AX4486" s="46">
        <f t="shared" si="208"/>
        <v>0</v>
      </c>
      <c r="AY4486" s="46">
        <f t="shared" si="209"/>
        <v>0</v>
      </c>
      <c r="AZ4486" s="46">
        <f t="shared" si="210"/>
        <v>0</v>
      </c>
    </row>
    <row r="4487" spans="50:52">
      <c r="AX4487" s="46">
        <f t="shared" si="208"/>
        <v>0</v>
      </c>
      <c r="AY4487" s="46">
        <f t="shared" si="209"/>
        <v>0</v>
      </c>
      <c r="AZ4487" s="46">
        <f t="shared" si="210"/>
        <v>0</v>
      </c>
    </row>
    <row r="4488" spans="50:52">
      <c r="AX4488" s="46">
        <f t="shared" si="208"/>
        <v>0</v>
      </c>
      <c r="AY4488" s="46">
        <f t="shared" si="209"/>
        <v>0</v>
      </c>
      <c r="AZ4488" s="46">
        <f t="shared" si="210"/>
        <v>0</v>
      </c>
    </row>
    <row r="4489" spans="50:52">
      <c r="AX4489" s="46">
        <f t="shared" si="208"/>
        <v>0</v>
      </c>
      <c r="AY4489" s="46">
        <f t="shared" si="209"/>
        <v>0</v>
      </c>
      <c r="AZ4489" s="46">
        <f t="shared" si="210"/>
        <v>0</v>
      </c>
    </row>
    <row r="4490" spans="50:52">
      <c r="AX4490" s="46">
        <f t="shared" si="208"/>
        <v>0</v>
      </c>
      <c r="AY4490" s="46">
        <f t="shared" si="209"/>
        <v>0</v>
      </c>
      <c r="AZ4490" s="46">
        <f t="shared" si="210"/>
        <v>0</v>
      </c>
    </row>
    <row r="4491" spans="50:52">
      <c r="AX4491" s="46">
        <f t="shared" ref="AX4491:AX4554" si="211">IFERROR(SUM(Q4491:AS4491)-SUM(AT4491:AU4491)+AV4491,"-")</f>
        <v>0</v>
      </c>
      <c r="AY4491" s="46">
        <f t="shared" ref="AY4491:AY4554" si="212">IFERROR(SUM(Q4491:AS4491)-SUM(AT4491:AT4491),"-")</f>
        <v>0</v>
      </c>
      <c r="AZ4491" s="46">
        <f t="shared" ref="AZ4491:AZ4554" si="213">SUM(Q4491:AS4491)</f>
        <v>0</v>
      </c>
    </row>
    <row r="4492" spans="50:52">
      <c r="AX4492" s="46">
        <f t="shared" si="211"/>
        <v>0</v>
      </c>
      <c r="AY4492" s="46">
        <f t="shared" si="212"/>
        <v>0</v>
      </c>
      <c r="AZ4492" s="46">
        <f t="shared" si="213"/>
        <v>0</v>
      </c>
    </row>
    <row r="4493" spans="50:52">
      <c r="AX4493" s="46">
        <f t="shared" si="211"/>
        <v>0</v>
      </c>
      <c r="AY4493" s="46">
        <f t="shared" si="212"/>
        <v>0</v>
      </c>
      <c r="AZ4493" s="46">
        <f t="shared" si="213"/>
        <v>0</v>
      </c>
    </row>
    <row r="4494" spans="50:52">
      <c r="AX4494" s="46">
        <f t="shared" si="211"/>
        <v>0</v>
      </c>
      <c r="AY4494" s="46">
        <f t="shared" si="212"/>
        <v>0</v>
      </c>
      <c r="AZ4494" s="46">
        <f t="shared" si="213"/>
        <v>0</v>
      </c>
    </row>
    <row r="4495" spans="50:52">
      <c r="AX4495" s="46">
        <f t="shared" si="211"/>
        <v>0</v>
      </c>
      <c r="AY4495" s="46">
        <f t="shared" si="212"/>
        <v>0</v>
      </c>
      <c r="AZ4495" s="46">
        <f t="shared" si="213"/>
        <v>0</v>
      </c>
    </row>
    <row r="4496" spans="50:52">
      <c r="AX4496" s="46">
        <f t="shared" si="211"/>
        <v>0</v>
      </c>
      <c r="AY4496" s="46">
        <f t="shared" si="212"/>
        <v>0</v>
      </c>
      <c r="AZ4496" s="46">
        <f t="shared" si="213"/>
        <v>0</v>
      </c>
    </row>
    <row r="4497" spans="50:52">
      <c r="AX4497" s="46">
        <f t="shared" si="211"/>
        <v>0</v>
      </c>
      <c r="AY4497" s="46">
        <f t="shared" si="212"/>
        <v>0</v>
      </c>
      <c r="AZ4497" s="46">
        <f t="shared" si="213"/>
        <v>0</v>
      </c>
    </row>
    <row r="4498" spans="50:52">
      <c r="AX4498" s="46">
        <f t="shared" si="211"/>
        <v>0</v>
      </c>
      <c r="AY4498" s="46">
        <f t="shared" si="212"/>
        <v>0</v>
      </c>
      <c r="AZ4498" s="46">
        <f t="shared" si="213"/>
        <v>0</v>
      </c>
    </row>
    <row r="4499" spans="50:52">
      <c r="AX4499" s="46">
        <f t="shared" si="211"/>
        <v>0</v>
      </c>
      <c r="AY4499" s="46">
        <f t="shared" si="212"/>
        <v>0</v>
      </c>
      <c r="AZ4499" s="46">
        <f t="shared" si="213"/>
        <v>0</v>
      </c>
    </row>
    <row r="4500" spans="50:52">
      <c r="AX4500" s="46">
        <f t="shared" si="211"/>
        <v>0</v>
      </c>
      <c r="AY4500" s="46">
        <f t="shared" si="212"/>
        <v>0</v>
      </c>
      <c r="AZ4500" s="46">
        <f t="shared" si="213"/>
        <v>0</v>
      </c>
    </row>
    <row r="4501" spans="50:52">
      <c r="AX4501" s="46">
        <f t="shared" si="211"/>
        <v>0</v>
      </c>
      <c r="AY4501" s="46">
        <f t="shared" si="212"/>
        <v>0</v>
      </c>
      <c r="AZ4501" s="46">
        <f t="shared" si="213"/>
        <v>0</v>
      </c>
    </row>
    <row r="4502" spans="50:52">
      <c r="AX4502" s="46">
        <f t="shared" si="211"/>
        <v>0</v>
      </c>
      <c r="AY4502" s="46">
        <f t="shared" si="212"/>
        <v>0</v>
      </c>
      <c r="AZ4502" s="46">
        <f t="shared" si="213"/>
        <v>0</v>
      </c>
    </row>
    <row r="4503" spans="50:52">
      <c r="AX4503" s="46">
        <f t="shared" si="211"/>
        <v>0</v>
      </c>
      <c r="AY4503" s="46">
        <f t="shared" si="212"/>
        <v>0</v>
      </c>
      <c r="AZ4503" s="46">
        <f t="shared" si="213"/>
        <v>0</v>
      </c>
    </row>
    <row r="4504" spans="50:52">
      <c r="AX4504" s="46">
        <f t="shared" si="211"/>
        <v>0</v>
      </c>
      <c r="AY4504" s="46">
        <f t="shared" si="212"/>
        <v>0</v>
      </c>
      <c r="AZ4504" s="46">
        <f t="shared" si="213"/>
        <v>0</v>
      </c>
    </row>
    <row r="4505" spans="50:52">
      <c r="AX4505" s="46">
        <f t="shared" si="211"/>
        <v>0</v>
      </c>
      <c r="AY4505" s="46">
        <f t="shared" si="212"/>
        <v>0</v>
      </c>
      <c r="AZ4505" s="46">
        <f t="shared" si="213"/>
        <v>0</v>
      </c>
    </row>
    <row r="4506" spans="50:52">
      <c r="AX4506" s="46">
        <f t="shared" si="211"/>
        <v>0</v>
      </c>
      <c r="AY4506" s="46">
        <f t="shared" si="212"/>
        <v>0</v>
      </c>
      <c r="AZ4506" s="46">
        <f t="shared" si="213"/>
        <v>0</v>
      </c>
    </row>
    <row r="4507" spans="50:52">
      <c r="AX4507" s="46">
        <f t="shared" si="211"/>
        <v>0</v>
      </c>
      <c r="AY4507" s="46">
        <f t="shared" si="212"/>
        <v>0</v>
      </c>
      <c r="AZ4507" s="46">
        <f t="shared" si="213"/>
        <v>0</v>
      </c>
    </row>
    <row r="4508" spans="50:52">
      <c r="AX4508" s="46">
        <f t="shared" si="211"/>
        <v>0</v>
      </c>
      <c r="AY4508" s="46">
        <f t="shared" si="212"/>
        <v>0</v>
      </c>
      <c r="AZ4508" s="46">
        <f t="shared" si="213"/>
        <v>0</v>
      </c>
    </row>
    <row r="4509" spans="50:52">
      <c r="AX4509" s="46">
        <f t="shared" si="211"/>
        <v>0</v>
      </c>
      <c r="AY4509" s="46">
        <f t="shared" si="212"/>
        <v>0</v>
      </c>
      <c r="AZ4509" s="46">
        <f t="shared" si="213"/>
        <v>0</v>
      </c>
    </row>
    <row r="4510" spans="50:52">
      <c r="AX4510" s="46">
        <f t="shared" si="211"/>
        <v>0</v>
      </c>
      <c r="AY4510" s="46">
        <f t="shared" si="212"/>
        <v>0</v>
      </c>
      <c r="AZ4510" s="46">
        <f t="shared" si="213"/>
        <v>0</v>
      </c>
    </row>
    <row r="4511" spans="50:52">
      <c r="AX4511" s="46">
        <f t="shared" si="211"/>
        <v>0</v>
      </c>
      <c r="AY4511" s="46">
        <f t="shared" si="212"/>
        <v>0</v>
      </c>
      <c r="AZ4511" s="46">
        <f t="shared" si="213"/>
        <v>0</v>
      </c>
    </row>
    <row r="4512" spans="50:52">
      <c r="AX4512" s="46">
        <f t="shared" si="211"/>
        <v>0</v>
      </c>
      <c r="AY4512" s="46">
        <f t="shared" si="212"/>
        <v>0</v>
      </c>
      <c r="AZ4512" s="46">
        <f t="shared" si="213"/>
        <v>0</v>
      </c>
    </row>
    <row r="4513" spans="50:52">
      <c r="AX4513" s="46">
        <f t="shared" si="211"/>
        <v>0</v>
      </c>
      <c r="AY4513" s="46">
        <f t="shared" si="212"/>
        <v>0</v>
      </c>
      <c r="AZ4513" s="46">
        <f t="shared" si="213"/>
        <v>0</v>
      </c>
    </row>
    <row r="4514" spans="50:52">
      <c r="AX4514" s="46">
        <f t="shared" si="211"/>
        <v>0</v>
      </c>
      <c r="AY4514" s="46">
        <f t="shared" si="212"/>
        <v>0</v>
      </c>
      <c r="AZ4514" s="46">
        <f t="shared" si="213"/>
        <v>0</v>
      </c>
    </row>
    <row r="4515" spans="50:52">
      <c r="AX4515" s="46">
        <f t="shared" si="211"/>
        <v>0</v>
      </c>
      <c r="AY4515" s="46">
        <f t="shared" si="212"/>
        <v>0</v>
      </c>
      <c r="AZ4515" s="46">
        <f t="shared" si="213"/>
        <v>0</v>
      </c>
    </row>
    <row r="4516" spans="50:52">
      <c r="AX4516" s="46">
        <f t="shared" si="211"/>
        <v>0</v>
      </c>
      <c r="AY4516" s="46">
        <f t="shared" si="212"/>
        <v>0</v>
      </c>
      <c r="AZ4516" s="46">
        <f t="shared" si="213"/>
        <v>0</v>
      </c>
    </row>
    <row r="4517" spans="50:52">
      <c r="AX4517" s="46">
        <f t="shared" si="211"/>
        <v>0</v>
      </c>
      <c r="AY4517" s="46">
        <f t="shared" si="212"/>
        <v>0</v>
      </c>
      <c r="AZ4517" s="46">
        <f t="shared" si="213"/>
        <v>0</v>
      </c>
    </row>
    <row r="4518" spans="50:52">
      <c r="AX4518" s="46">
        <f t="shared" si="211"/>
        <v>0</v>
      </c>
      <c r="AY4518" s="46">
        <f t="shared" si="212"/>
        <v>0</v>
      </c>
      <c r="AZ4518" s="46">
        <f t="shared" si="213"/>
        <v>0</v>
      </c>
    </row>
    <row r="4519" spans="50:52">
      <c r="AX4519" s="46">
        <f t="shared" si="211"/>
        <v>0</v>
      </c>
      <c r="AY4519" s="46">
        <f t="shared" si="212"/>
        <v>0</v>
      </c>
      <c r="AZ4519" s="46">
        <f t="shared" si="213"/>
        <v>0</v>
      </c>
    </row>
    <row r="4520" spans="50:52">
      <c r="AX4520" s="46">
        <f t="shared" si="211"/>
        <v>0</v>
      </c>
      <c r="AY4520" s="46">
        <f t="shared" si="212"/>
        <v>0</v>
      </c>
      <c r="AZ4520" s="46">
        <f t="shared" si="213"/>
        <v>0</v>
      </c>
    </row>
    <row r="4521" spans="50:52">
      <c r="AX4521" s="46">
        <f t="shared" si="211"/>
        <v>0</v>
      </c>
      <c r="AY4521" s="46">
        <f t="shared" si="212"/>
        <v>0</v>
      </c>
      <c r="AZ4521" s="46">
        <f t="shared" si="213"/>
        <v>0</v>
      </c>
    </row>
    <row r="4522" spans="50:52">
      <c r="AX4522" s="46">
        <f t="shared" si="211"/>
        <v>0</v>
      </c>
      <c r="AY4522" s="46">
        <f t="shared" si="212"/>
        <v>0</v>
      </c>
      <c r="AZ4522" s="46">
        <f t="shared" si="213"/>
        <v>0</v>
      </c>
    </row>
    <row r="4523" spans="50:52">
      <c r="AX4523" s="46">
        <f t="shared" si="211"/>
        <v>0</v>
      </c>
      <c r="AY4523" s="46">
        <f t="shared" si="212"/>
        <v>0</v>
      </c>
      <c r="AZ4523" s="46">
        <f t="shared" si="213"/>
        <v>0</v>
      </c>
    </row>
    <row r="4524" spans="50:52">
      <c r="AX4524" s="46">
        <f t="shared" si="211"/>
        <v>0</v>
      </c>
      <c r="AY4524" s="46">
        <f t="shared" si="212"/>
        <v>0</v>
      </c>
      <c r="AZ4524" s="46">
        <f t="shared" si="213"/>
        <v>0</v>
      </c>
    </row>
    <row r="4525" spans="50:52">
      <c r="AX4525" s="46">
        <f t="shared" si="211"/>
        <v>0</v>
      </c>
      <c r="AY4525" s="46">
        <f t="shared" si="212"/>
        <v>0</v>
      </c>
      <c r="AZ4525" s="46">
        <f t="shared" si="213"/>
        <v>0</v>
      </c>
    </row>
    <row r="4526" spans="50:52">
      <c r="AX4526" s="46">
        <f t="shared" si="211"/>
        <v>0</v>
      </c>
      <c r="AY4526" s="46">
        <f t="shared" si="212"/>
        <v>0</v>
      </c>
      <c r="AZ4526" s="46">
        <f t="shared" si="213"/>
        <v>0</v>
      </c>
    </row>
    <row r="4527" spans="50:52">
      <c r="AX4527" s="46">
        <f t="shared" si="211"/>
        <v>0</v>
      </c>
      <c r="AY4527" s="46">
        <f t="shared" si="212"/>
        <v>0</v>
      </c>
      <c r="AZ4527" s="46">
        <f t="shared" si="213"/>
        <v>0</v>
      </c>
    </row>
    <row r="4528" spans="50:52">
      <c r="AX4528" s="46">
        <f t="shared" si="211"/>
        <v>0</v>
      </c>
      <c r="AY4528" s="46">
        <f t="shared" si="212"/>
        <v>0</v>
      </c>
      <c r="AZ4528" s="46">
        <f t="shared" si="213"/>
        <v>0</v>
      </c>
    </row>
    <row r="4529" spans="50:52">
      <c r="AX4529" s="46">
        <f t="shared" si="211"/>
        <v>0</v>
      </c>
      <c r="AY4529" s="46">
        <f t="shared" si="212"/>
        <v>0</v>
      </c>
      <c r="AZ4529" s="46">
        <f t="shared" si="213"/>
        <v>0</v>
      </c>
    </row>
    <row r="4530" spans="50:52">
      <c r="AX4530" s="46">
        <f t="shared" si="211"/>
        <v>0</v>
      </c>
      <c r="AY4530" s="46">
        <f t="shared" si="212"/>
        <v>0</v>
      </c>
      <c r="AZ4530" s="46">
        <f t="shared" si="213"/>
        <v>0</v>
      </c>
    </row>
    <row r="4531" spans="50:52">
      <c r="AX4531" s="46">
        <f t="shared" si="211"/>
        <v>0</v>
      </c>
      <c r="AY4531" s="46">
        <f t="shared" si="212"/>
        <v>0</v>
      </c>
      <c r="AZ4531" s="46">
        <f t="shared" si="213"/>
        <v>0</v>
      </c>
    </row>
    <row r="4532" spans="50:52">
      <c r="AX4532" s="46">
        <f t="shared" si="211"/>
        <v>0</v>
      </c>
      <c r="AY4532" s="46">
        <f t="shared" si="212"/>
        <v>0</v>
      </c>
      <c r="AZ4532" s="46">
        <f t="shared" si="213"/>
        <v>0</v>
      </c>
    </row>
    <row r="4533" spans="50:52">
      <c r="AX4533" s="46">
        <f t="shared" si="211"/>
        <v>0</v>
      </c>
      <c r="AY4533" s="46">
        <f t="shared" si="212"/>
        <v>0</v>
      </c>
      <c r="AZ4533" s="46">
        <f t="shared" si="213"/>
        <v>0</v>
      </c>
    </row>
    <row r="4534" spans="50:52">
      <c r="AX4534" s="46">
        <f t="shared" si="211"/>
        <v>0</v>
      </c>
      <c r="AY4534" s="46">
        <f t="shared" si="212"/>
        <v>0</v>
      </c>
      <c r="AZ4534" s="46">
        <f t="shared" si="213"/>
        <v>0</v>
      </c>
    </row>
    <row r="4535" spans="50:52">
      <c r="AX4535" s="46">
        <f t="shared" si="211"/>
        <v>0</v>
      </c>
      <c r="AY4535" s="46">
        <f t="shared" si="212"/>
        <v>0</v>
      </c>
      <c r="AZ4535" s="46">
        <f t="shared" si="213"/>
        <v>0</v>
      </c>
    </row>
    <row r="4536" spans="50:52">
      <c r="AX4536" s="46">
        <f t="shared" si="211"/>
        <v>0</v>
      </c>
      <c r="AY4536" s="46">
        <f t="shared" si="212"/>
        <v>0</v>
      </c>
      <c r="AZ4536" s="46">
        <f t="shared" si="213"/>
        <v>0</v>
      </c>
    </row>
    <row r="4537" spans="50:52">
      <c r="AX4537" s="46">
        <f t="shared" si="211"/>
        <v>0</v>
      </c>
      <c r="AY4537" s="46">
        <f t="shared" si="212"/>
        <v>0</v>
      </c>
      <c r="AZ4537" s="46">
        <f t="shared" si="213"/>
        <v>0</v>
      </c>
    </row>
    <row r="4538" spans="50:52">
      <c r="AX4538" s="46">
        <f t="shared" si="211"/>
        <v>0</v>
      </c>
      <c r="AY4538" s="46">
        <f t="shared" si="212"/>
        <v>0</v>
      </c>
      <c r="AZ4538" s="46">
        <f t="shared" si="213"/>
        <v>0</v>
      </c>
    </row>
    <row r="4539" spans="50:52">
      <c r="AX4539" s="46">
        <f t="shared" si="211"/>
        <v>0</v>
      </c>
      <c r="AY4539" s="46">
        <f t="shared" si="212"/>
        <v>0</v>
      </c>
      <c r="AZ4539" s="46">
        <f t="shared" si="213"/>
        <v>0</v>
      </c>
    </row>
    <row r="4540" spans="50:52">
      <c r="AX4540" s="46">
        <f t="shared" si="211"/>
        <v>0</v>
      </c>
      <c r="AY4540" s="46">
        <f t="shared" si="212"/>
        <v>0</v>
      </c>
      <c r="AZ4540" s="46">
        <f t="shared" si="213"/>
        <v>0</v>
      </c>
    </row>
    <row r="4541" spans="50:52">
      <c r="AX4541" s="46">
        <f t="shared" si="211"/>
        <v>0</v>
      </c>
      <c r="AY4541" s="46">
        <f t="shared" si="212"/>
        <v>0</v>
      </c>
      <c r="AZ4541" s="46">
        <f t="shared" si="213"/>
        <v>0</v>
      </c>
    </row>
    <row r="4542" spans="50:52">
      <c r="AX4542" s="46">
        <f t="shared" si="211"/>
        <v>0</v>
      </c>
      <c r="AY4542" s="46">
        <f t="shared" si="212"/>
        <v>0</v>
      </c>
      <c r="AZ4542" s="46">
        <f t="shared" si="213"/>
        <v>0</v>
      </c>
    </row>
    <row r="4543" spans="50:52">
      <c r="AX4543" s="46">
        <f t="shared" si="211"/>
        <v>0</v>
      </c>
      <c r="AY4543" s="46">
        <f t="shared" si="212"/>
        <v>0</v>
      </c>
      <c r="AZ4543" s="46">
        <f t="shared" si="213"/>
        <v>0</v>
      </c>
    </row>
    <row r="4544" spans="50:52">
      <c r="AX4544" s="46">
        <f t="shared" si="211"/>
        <v>0</v>
      </c>
      <c r="AY4544" s="46">
        <f t="shared" si="212"/>
        <v>0</v>
      </c>
      <c r="AZ4544" s="46">
        <f t="shared" si="213"/>
        <v>0</v>
      </c>
    </row>
    <row r="4545" spans="50:52">
      <c r="AX4545" s="46">
        <f t="shared" si="211"/>
        <v>0</v>
      </c>
      <c r="AY4545" s="46">
        <f t="shared" si="212"/>
        <v>0</v>
      </c>
      <c r="AZ4545" s="46">
        <f t="shared" si="213"/>
        <v>0</v>
      </c>
    </row>
    <row r="4546" spans="50:52">
      <c r="AX4546" s="46">
        <f t="shared" si="211"/>
        <v>0</v>
      </c>
      <c r="AY4546" s="46">
        <f t="shared" si="212"/>
        <v>0</v>
      </c>
      <c r="AZ4546" s="46">
        <f t="shared" si="213"/>
        <v>0</v>
      </c>
    </row>
    <row r="4547" spans="50:52">
      <c r="AX4547" s="46">
        <f t="shared" si="211"/>
        <v>0</v>
      </c>
      <c r="AY4547" s="46">
        <f t="shared" si="212"/>
        <v>0</v>
      </c>
      <c r="AZ4547" s="46">
        <f t="shared" si="213"/>
        <v>0</v>
      </c>
    </row>
    <row r="4548" spans="50:52">
      <c r="AX4548" s="46">
        <f t="shared" si="211"/>
        <v>0</v>
      </c>
      <c r="AY4548" s="46">
        <f t="shared" si="212"/>
        <v>0</v>
      </c>
      <c r="AZ4548" s="46">
        <f t="shared" si="213"/>
        <v>0</v>
      </c>
    </row>
    <row r="4549" spans="50:52">
      <c r="AX4549" s="46">
        <f t="shared" si="211"/>
        <v>0</v>
      </c>
      <c r="AY4549" s="46">
        <f t="shared" si="212"/>
        <v>0</v>
      </c>
      <c r="AZ4549" s="46">
        <f t="shared" si="213"/>
        <v>0</v>
      </c>
    </row>
    <row r="4550" spans="50:52">
      <c r="AX4550" s="46">
        <f t="shared" si="211"/>
        <v>0</v>
      </c>
      <c r="AY4550" s="46">
        <f t="shared" si="212"/>
        <v>0</v>
      </c>
      <c r="AZ4550" s="46">
        <f t="shared" si="213"/>
        <v>0</v>
      </c>
    </row>
    <row r="4551" spans="50:52">
      <c r="AX4551" s="46">
        <f t="shared" si="211"/>
        <v>0</v>
      </c>
      <c r="AY4551" s="46">
        <f t="shared" si="212"/>
        <v>0</v>
      </c>
      <c r="AZ4551" s="46">
        <f t="shared" si="213"/>
        <v>0</v>
      </c>
    </row>
    <row r="4552" spans="50:52">
      <c r="AX4552" s="46">
        <f t="shared" si="211"/>
        <v>0</v>
      </c>
      <c r="AY4552" s="46">
        <f t="shared" si="212"/>
        <v>0</v>
      </c>
      <c r="AZ4552" s="46">
        <f t="shared" si="213"/>
        <v>0</v>
      </c>
    </row>
    <row r="4553" spans="50:52">
      <c r="AX4553" s="46">
        <f t="shared" si="211"/>
        <v>0</v>
      </c>
      <c r="AY4553" s="46">
        <f t="shared" si="212"/>
        <v>0</v>
      </c>
      <c r="AZ4553" s="46">
        <f t="shared" si="213"/>
        <v>0</v>
      </c>
    </row>
    <row r="4554" spans="50:52">
      <c r="AX4554" s="46">
        <f t="shared" si="211"/>
        <v>0</v>
      </c>
      <c r="AY4554" s="46">
        <f t="shared" si="212"/>
        <v>0</v>
      </c>
      <c r="AZ4554" s="46">
        <f t="shared" si="213"/>
        <v>0</v>
      </c>
    </row>
    <row r="4555" spans="50:52">
      <c r="AX4555" s="46">
        <f t="shared" ref="AX4555:AX4618" si="214">IFERROR(SUM(Q4555:AS4555)-SUM(AT4555:AU4555)+AV4555,"-")</f>
        <v>0</v>
      </c>
      <c r="AY4555" s="46">
        <f t="shared" ref="AY4555:AY4618" si="215">IFERROR(SUM(Q4555:AS4555)-SUM(AT4555:AT4555),"-")</f>
        <v>0</v>
      </c>
      <c r="AZ4555" s="46">
        <f t="shared" ref="AZ4555:AZ4618" si="216">SUM(Q4555:AS4555)</f>
        <v>0</v>
      </c>
    </row>
    <row r="4556" spans="50:52">
      <c r="AX4556" s="46">
        <f t="shared" si="214"/>
        <v>0</v>
      </c>
      <c r="AY4556" s="46">
        <f t="shared" si="215"/>
        <v>0</v>
      </c>
      <c r="AZ4556" s="46">
        <f t="shared" si="216"/>
        <v>0</v>
      </c>
    </row>
    <row r="4557" spans="50:52">
      <c r="AX4557" s="46">
        <f t="shared" si="214"/>
        <v>0</v>
      </c>
      <c r="AY4557" s="46">
        <f t="shared" si="215"/>
        <v>0</v>
      </c>
      <c r="AZ4557" s="46">
        <f t="shared" si="216"/>
        <v>0</v>
      </c>
    </row>
    <row r="4558" spans="50:52">
      <c r="AX4558" s="46">
        <f t="shared" si="214"/>
        <v>0</v>
      </c>
      <c r="AY4558" s="46">
        <f t="shared" si="215"/>
        <v>0</v>
      </c>
      <c r="AZ4558" s="46">
        <f t="shared" si="216"/>
        <v>0</v>
      </c>
    </row>
    <row r="4559" spans="50:52">
      <c r="AX4559" s="46">
        <f t="shared" si="214"/>
        <v>0</v>
      </c>
      <c r="AY4559" s="46">
        <f t="shared" si="215"/>
        <v>0</v>
      </c>
      <c r="AZ4559" s="46">
        <f t="shared" si="216"/>
        <v>0</v>
      </c>
    </row>
    <row r="4560" spans="50:52">
      <c r="AX4560" s="46">
        <f t="shared" si="214"/>
        <v>0</v>
      </c>
      <c r="AY4560" s="46">
        <f t="shared" si="215"/>
        <v>0</v>
      </c>
      <c r="AZ4560" s="46">
        <f t="shared" si="216"/>
        <v>0</v>
      </c>
    </row>
    <row r="4561" spans="50:52">
      <c r="AX4561" s="46">
        <f t="shared" si="214"/>
        <v>0</v>
      </c>
      <c r="AY4561" s="46">
        <f t="shared" si="215"/>
        <v>0</v>
      </c>
      <c r="AZ4561" s="46">
        <f t="shared" si="216"/>
        <v>0</v>
      </c>
    </row>
    <row r="4562" spans="50:52">
      <c r="AX4562" s="46">
        <f t="shared" si="214"/>
        <v>0</v>
      </c>
      <c r="AY4562" s="46">
        <f t="shared" si="215"/>
        <v>0</v>
      </c>
      <c r="AZ4562" s="46">
        <f t="shared" si="216"/>
        <v>0</v>
      </c>
    </row>
    <row r="4563" spans="50:52">
      <c r="AX4563" s="46">
        <f t="shared" si="214"/>
        <v>0</v>
      </c>
      <c r="AY4563" s="46">
        <f t="shared" si="215"/>
        <v>0</v>
      </c>
      <c r="AZ4563" s="46">
        <f t="shared" si="216"/>
        <v>0</v>
      </c>
    </row>
    <row r="4564" spans="50:52">
      <c r="AX4564" s="46">
        <f t="shared" si="214"/>
        <v>0</v>
      </c>
      <c r="AY4564" s="46">
        <f t="shared" si="215"/>
        <v>0</v>
      </c>
      <c r="AZ4564" s="46">
        <f t="shared" si="216"/>
        <v>0</v>
      </c>
    </row>
    <row r="4565" spans="50:52">
      <c r="AX4565" s="46">
        <f t="shared" si="214"/>
        <v>0</v>
      </c>
      <c r="AY4565" s="46">
        <f t="shared" si="215"/>
        <v>0</v>
      </c>
      <c r="AZ4565" s="46">
        <f t="shared" si="216"/>
        <v>0</v>
      </c>
    </row>
    <row r="4566" spans="50:52">
      <c r="AX4566" s="46">
        <f t="shared" si="214"/>
        <v>0</v>
      </c>
      <c r="AY4566" s="46">
        <f t="shared" si="215"/>
        <v>0</v>
      </c>
      <c r="AZ4566" s="46">
        <f t="shared" si="216"/>
        <v>0</v>
      </c>
    </row>
    <row r="4567" spans="50:52">
      <c r="AX4567" s="46">
        <f t="shared" si="214"/>
        <v>0</v>
      </c>
      <c r="AY4567" s="46">
        <f t="shared" si="215"/>
        <v>0</v>
      </c>
      <c r="AZ4567" s="46">
        <f t="shared" si="216"/>
        <v>0</v>
      </c>
    </row>
    <row r="4568" spans="50:52">
      <c r="AX4568" s="46">
        <f t="shared" si="214"/>
        <v>0</v>
      </c>
      <c r="AY4568" s="46">
        <f t="shared" si="215"/>
        <v>0</v>
      </c>
      <c r="AZ4568" s="46">
        <f t="shared" si="216"/>
        <v>0</v>
      </c>
    </row>
    <row r="4569" spans="50:52">
      <c r="AX4569" s="46">
        <f t="shared" si="214"/>
        <v>0</v>
      </c>
      <c r="AY4569" s="46">
        <f t="shared" si="215"/>
        <v>0</v>
      </c>
      <c r="AZ4569" s="46">
        <f t="shared" si="216"/>
        <v>0</v>
      </c>
    </row>
    <row r="4570" spans="50:52">
      <c r="AX4570" s="46">
        <f t="shared" si="214"/>
        <v>0</v>
      </c>
      <c r="AY4570" s="46">
        <f t="shared" si="215"/>
        <v>0</v>
      </c>
      <c r="AZ4570" s="46">
        <f t="shared" si="216"/>
        <v>0</v>
      </c>
    </row>
    <row r="4571" spans="50:52">
      <c r="AX4571" s="46">
        <f t="shared" si="214"/>
        <v>0</v>
      </c>
      <c r="AY4571" s="46">
        <f t="shared" si="215"/>
        <v>0</v>
      </c>
      <c r="AZ4571" s="46">
        <f t="shared" si="216"/>
        <v>0</v>
      </c>
    </row>
    <row r="4572" spans="50:52">
      <c r="AX4572" s="46">
        <f t="shared" si="214"/>
        <v>0</v>
      </c>
      <c r="AY4572" s="46">
        <f t="shared" si="215"/>
        <v>0</v>
      </c>
      <c r="AZ4572" s="46">
        <f t="shared" si="216"/>
        <v>0</v>
      </c>
    </row>
    <row r="4573" spans="50:52">
      <c r="AX4573" s="46">
        <f t="shared" si="214"/>
        <v>0</v>
      </c>
      <c r="AY4573" s="46">
        <f t="shared" si="215"/>
        <v>0</v>
      </c>
      <c r="AZ4573" s="46">
        <f t="shared" si="216"/>
        <v>0</v>
      </c>
    </row>
    <row r="4574" spans="50:52">
      <c r="AX4574" s="46">
        <f t="shared" si="214"/>
        <v>0</v>
      </c>
      <c r="AY4574" s="46">
        <f t="shared" si="215"/>
        <v>0</v>
      </c>
      <c r="AZ4574" s="46">
        <f t="shared" si="216"/>
        <v>0</v>
      </c>
    </row>
    <row r="4575" spans="50:52">
      <c r="AX4575" s="46">
        <f t="shared" si="214"/>
        <v>0</v>
      </c>
      <c r="AY4575" s="46">
        <f t="shared" si="215"/>
        <v>0</v>
      </c>
      <c r="AZ4575" s="46">
        <f t="shared" si="216"/>
        <v>0</v>
      </c>
    </row>
    <row r="4576" spans="50:52">
      <c r="AX4576" s="46">
        <f t="shared" si="214"/>
        <v>0</v>
      </c>
      <c r="AY4576" s="46">
        <f t="shared" si="215"/>
        <v>0</v>
      </c>
      <c r="AZ4576" s="46">
        <f t="shared" si="216"/>
        <v>0</v>
      </c>
    </row>
    <row r="4577" spans="50:52">
      <c r="AX4577" s="46">
        <f t="shared" si="214"/>
        <v>0</v>
      </c>
      <c r="AY4577" s="46">
        <f t="shared" si="215"/>
        <v>0</v>
      </c>
      <c r="AZ4577" s="46">
        <f t="shared" si="216"/>
        <v>0</v>
      </c>
    </row>
    <row r="4578" spans="50:52">
      <c r="AX4578" s="46">
        <f t="shared" si="214"/>
        <v>0</v>
      </c>
      <c r="AY4578" s="46">
        <f t="shared" si="215"/>
        <v>0</v>
      </c>
      <c r="AZ4578" s="46">
        <f t="shared" si="216"/>
        <v>0</v>
      </c>
    </row>
    <row r="4579" spans="50:52">
      <c r="AX4579" s="46">
        <f t="shared" si="214"/>
        <v>0</v>
      </c>
      <c r="AY4579" s="46">
        <f t="shared" si="215"/>
        <v>0</v>
      </c>
      <c r="AZ4579" s="46">
        <f t="shared" si="216"/>
        <v>0</v>
      </c>
    </row>
    <row r="4580" spans="50:52">
      <c r="AX4580" s="46">
        <f t="shared" si="214"/>
        <v>0</v>
      </c>
      <c r="AY4580" s="46">
        <f t="shared" si="215"/>
        <v>0</v>
      </c>
      <c r="AZ4580" s="46">
        <f t="shared" si="216"/>
        <v>0</v>
      </c>
    </row>
    <row r="4581" spans="50:52">
      <c r="AX4581" s="46">
        <f t="shared" si="214"/>
        <v>0</v>
      </c>
      <c r="AY4581" s="46">
        <f t="shared" si="215"/>
        <v>0</v>
      </c>
      <c r="AZ4581" s="46">
        <f t="shared" si="216"/>
        <v>0</v>
      </c>
    </row>
    <row r="4582" spans="50:52">
      <c r="AX4582" s="46">
        <f t="shared" si="214"/>
        <v>0</v>
      </c>
      <c r="AY4582" s="46">
        <f t="shared" si="215"/>
        <v>0</v>
      </c>
      <c r="AZ4582" s="46">
        <f t="shared" si="216"/>
        <v>0</v>
      </c>
    </row>
    <row r="4583" spans="50:52">
      <c r="AX4583" s="46">
        <f t="shared" si="214"/>
        <v>0</v>
      </c>
      <c r="AY4583" s="46">
        <f t="shared" si="215"/>
        <v>0</v>
      </c>
      <c r="AZ4583" s="46">
        <f t="shared" si="216"/>
        <v>0</v>
      </c>
    </row>
    <row r="4584" spans="50:52">
      <c r="AX4584" s="46">
        <f t="shared" si="214"/>
        <v>0</v>
      </c>
      <c r="AY4584" s="46">
        <f t="shared" si="215"/>
        <v>0</v>
      </c>
      <c r="AZ4584" s="46">
        <f t="shared" si="216"/>
        <v>0</v>
      </c>
    </row>
    <row r="4585" spans="50:52">
      <c r="AX4585" s="46">
        <f t="shared" si="214"/>
        <v>0</v>
      </c>
      <c r="AY4585" s="46">
        <f t="shared" si="215"/>
        <v>0</v>
      </c>
      <c r="AZ4585" s="46">
        <f t="shared" si="216"/>
        <v>0</v>
      </c>
    </row>
    <row r="4586" spans="50:52">
      <c r="AX4586" s="46">
        <f t="shared" si="214"/>
        <v>0</v>
      </c>
      <c r="AY4586" s="46">
        <f t="shared" si="215"/>
        <v>0</v>
      </c>
      <c r="AZ4586" s="46">
        <f t="shared" si="216"/>
        <v>0</v>
      </c>
    </row>
    <row r="4587" spans="50:52">
      <c r="AX4587" s="46">
        <f t="shared" si="214"/>
        <v>0</v>
      </c>
      <c r="AY4587" s="46">
        <f t="shared" si="215"/>
        <v>0</v>
      </c>
      <c r="AZ4587" s="46">
        <f t="shared" si="216"/>
        <v>0</v>
      </c>
    </row>
    <row r="4588" spans="50:52">
      <c r="AX4588" s="46">
        <f t="shared" si="214"/>
        <v>0</v>
      </c>
      <c r="AY4588" s="46">
        <f t="shared" si="215"/>
        <v>0</v>
      </c>
      <c r="AZ4588" s="46">
        <f t="shared" si="216"/>
        <v>0</v>
      </c>
    </row>
    <row r="4589" spans="50:52">
      <c r="AX4589" s="46">
        <f t="shared" si="214"/>
        <v>0</v>
      </c>
      <c r="AY4589" s="46">
        <f t="shared" si="215"/>
        <v>0</v>
      </c>
      <c r="AZ4589" s="46">
        <f t="shared" si="216"/>
        <v>0</v>
      </c>
    </row>
    <row r="4590" spans="50:52">
      <c r="AX4590" s="46">
        <f t="shared" si="214"/>
        <v>0</v>
      </c>
      <c r="AY4590" s="46">
        <f t="shared" si="215"/>
        <v>0</v>
      </c>
      <c r="AZ4590" s="46">
        <f t="shared" si="216"/>
        <v>0</v>
      </c>
    </row>
    <row r="4591" spans="50:52">
      <c r="AX4591" s="46">
        <f t="shared" si="214"/>
        <v>0</v>
      </c>
      <c r="AY4591" s="46">
        <f t="shared" si="215"/>
        <v>0</v>
      </c>
      <c r="AZ4591" s="46">
        <f t="shared" si="216"/>
        <v>0</v>
      </c>
    </row>
    <row r="4592" spans="50:52">
      <c r="AX4592" s="46">
        <f t="shared" si="214"/>
        <v>0</v>
      </c>
      <c r="AY4592" s="46">
        <f t="shared" si="215"/>
        <v>0</v>
      </c>
      <c r="AZ4592" s="46">
        <f t="shared" si="216"/>
        <v>0</v>
      </c>
    </row>
    <row r="4593" spans="50:52">
      <c r="AX4593" s="46">
        <f t="shared" si="214"/>
        <v>0</v>
      </c>
      <c r="AY4593" s="46">
        <f t="shared" si="215"/>
        <v>0</v>
      </c>
      <c r="AZ4593" s="46">
        <f t="shared" si="216"/>
        <v>0</v>
      </c>
    </row>
    <row r="4594" spans="50:52">
      <c r="AX4594" s="46">
        <f t="shared" si="214"/>
        <v>0</v>
      </c>
      <c r="AY4594" s="46">
        <f t="shared" si="215"/>
        <v>0</v>
      </c>
      <c r="AZ4594" s="46">
        <f t="shared" si="216"/>
        <v>0</v>
      </c>
    </row>
    <row r="4595" spans="50:52">
      <c r="AX4595" s="46">
        <f t="shared" si="214"/>
        <v>0</v>
      </c>
      <c r="AY4595" s="46">
        <f t="shared" si="215"/>
        <v>0</v>
      </c>
      <c r="AZ4595" s="46">
        <f t="shared" si="216"/>
        <v>0</v>
      </c>
    </row>
    <row r="4596" spans="50:52">
      <c r="AX4596" s="46">
        <f t="shared" si="214"/>
        <v>0</v>
      </c>
      <c r="AY4596" s="46">
        <f t="shared" si="215"/>
        <v>0</v>
      </c>
      <c r="AZ4596" s="46">
        <f t="shared" si="216"/>
        <v>0</v>
      </c>
    </row>
    <row r="4597" spans="50:52">
      <c r="AX4597" s="46">
        <f t="shared" si="214"/>
        <v>0</v>
      </c>
      <c r="AY4597" s="46">
        <f t="shared" si="215"/>
        <v>0</v>
      </c>
      <c r="AZ4597" s="46">
        <f t="shared" si="216"/>
        <v>0</v>
      </c>
    </row>
    <row r="4598" spans="50:52">
      <c r="AX4598" s="46">
        <f t="shared" si="214"/>
        <v>0</v>
      </c>
      <c r="AY4598" s="46">
        <f t="shared" si="215"/>
        <v>0</v>
      </c>
      <c r="AZ4598" s="46">
        <f t="shared" si="216"/>
        <v>0</v>
      </c>
    </row>
    <row r="4599" spans="50:52">
      <c r="AX4599" s="46">
        <f t="shared" si="214"/>
        <v>0</v>
      </c>
      <c r="AY4599" s="46">
        <f t="shared" si="215"/>
        <v>0</v>
      </c>
      <c r="AZ4599" s="46">
        <f t="shared" si="216"/>
        <v>0</v>
      </c>
    </row>
    <row r="4600" spans="50:52">
      <c r="AX4600" s="46">
        <f t="shared" si="214"/>
        <v>0</v>
      </c>
      <c r="AY4600" s="46">
        <f t="shared" si="215"/>
        <v>0</v>
      </c>
      <c r="AZ4600" s="46">
        <f t="shared" si="216"/>
        <v>0</v>
      </c>
    </row>
    <row r="4601" spans="50:52">
      <c r="AX4601" s="46">
        <f t="shared" si="214"/>
        <v>0</v>
      </c>
      <c r="AY4601" s="46">
        <f t="shared" si="215"/>
        <v>0</v>
      </c>
      <c r="AZ4601" s="46">
        <f t="shared" si="216"/>
        <v>0</v>
      </c>
    </row>
    <row r="4602" spans="50:52">
      <c r="AX4602" s="46">
        <f t="shared" si="214"/>
        <v>0</v>
      </c>
      <c r="AY4602" s="46">
        <f t="shared" si="215"/>
        <v>0</v>
      </c>
      <c r="AZ4602" s="46">
        <f t="shared" si="216"/>
        <v>0</v>
      </c>
    </row>
    <row r="4603" spans="50:52">
      <c r="AX4603" s="46">
        <f t="shared" si="214"/>
        <v>0</v>
      </c>
      <c r="AY4603" s="46">
        <f t="shared" si="215"/>
        <v>0</v>
      </c>
      <c r="AZ4603" s="46">
        <f t="shared" si="216"/>
        <v>0</v>
      </c>
    </row>
    <row r="4604" spans="50:52">
      <c r="AX4604" s="46">
        <f t="shared" si="214"/>
        <v>0</v>
      </c>
      <c r="AY4604" s="46">
        <f t="shared" si="215"/>
        <v>0</v>
      </c>
      <c r="AZ4604" s="46">
        <f t="shared" si="216"/>
        <v>0</v>
      </c>
    </row>
    <row r="4605" spans="50:52">
      <c r="AX4605" s="46">
        <f t="shared" si="214"/>
        <v>0</v>
      </c>
      <c r="AY4605" s="46">
        <f t="shared" si="215"/>
        <v>0</v>
      </c>
      <c r="AZ4605" s="46">
        <f t="shared" si="216"/>
        <v>0</v>
      </c>
    </row>
    <row r="4606" spans="50:52">
      <c r="AX4606" s="46">
        <f t="shared" si="214"/>
        <v>0</v>
      </c>
      <c r="AY4606" s="46">
        <f t="shared" si="215"/>
        <v>0</v>
      </c>
      <c r="AZ4606" s="46">
        <f t="shared" si="216"/>
        <v>0</v>
      </c>
    </row>
    <row r="4607" spans="50:52">
      <c r="AX4607" s="46">
        <f t="shared" si="214"/>
        <v>0</v>
      </c>
      <c r="AY4607" s="46">
        <f t="shared" si="215"/>
        <v>0</v>
      </c>
      <c r="AZ4607" s="46">
        <f t="shared" si="216"/>
        <v>0</v>
      </c>
    </row>
    <row r="4608" spans="50:52">
      <c r="AX4608" s="46">
        <f t="shared" si="214"/>
        <v>0</v>
      </c>
      <c r="AY4608" s="46">
        <f t="shared" si="215"/>
        <v>0</v>
      </c>
      <c r="AZ4608" s="46">
        <f t="shared" si="216"/>
        <v>0</v>
      </c>
    </row>
    <row r="4609" spans="50:52">
      <c r="AX4609" s="46">
        <f t="shared" si="214"/>
        <v>0</v>
      </c>
      <c r="AY4609" s="46">
        <f t="shared" si="215"/>
        <v>0</v>
      </c>
      <c r="AZ4609" s="46">
        <f t="shared" si="216"/>
        <v>0</v>
      </c>
    </row>
    <row r="4610" spans="50:52">
      <c r="AX4610" s="46">
        <f t="shared" si="214"/>
        <v>0</v>
      </c>
      <c r="AY4610" s="46">
        <f t="shared" si="215"/>
        <v>0</v>
      </c>
      <c r="AZ4610" s="46">
        <f t="shared" si="216"/>
        <v>0</v>
      </c>
    </row>
    <row r="4611" spans="50:52">
      <c r="AX4611" s="46">
        <f t="shared" si="214"/>
        <v>0</v>
      </c>
      <c r="AY4611" s="46">
        <f t="shared" si="215"/>
        <v>0</v>
      </c>
      <c r="AZ4611" s="46">
        <f t="shared" si="216"/>
        <v>0</v>
      </c>
    </row>
    <row r="4612" spans="50:52">
      <c r="AX4612" s="46">
        <f t="shared" si="214"/>
        <v>0</v>
      </c>
      <c r="AY4612" s="46">
        <f t="shared" si="215"/>
        <v>0</v>
      </c>
      <c r="AZ4612" s="46">
        <f t="shared" si="216"/>
        <v>0</v>
      </c>
    </row>
    <row r="4613" spans="50:52">
      <c r="AX4613" s="46">
        <f t="shared" si="214"/>
        <v>0</v>
      </c>
      <c r="AY4613" s="46">
        <f t="shared" si="215"/>
        <v>0</v>
      </c>
      <c r="AZ4613" s="46">
        <f t="shared" si="216"/>
        <v>0</v>
      </c>
    </row>
    <row r="4614" spans="50:52">
      <c r="AX4614" s="46">
        <f t="shared" si="214"/>
        <v>0</v>
      </c>
      <c r="AY4614" s="46">
        <f t="shared" si="215"/>
        <v>0</v>
      </c>
      <c r="AZ4614" s="46">
        <f t="shared" si="216"/>
        <v>0</v>
      </c>
    </row>
    <row r="4615" spans="50:52">
      <c r="AX4615" s="46">
        <f t="shared" si="214"/>
        <v>0</v>
      </c>
      <c r="AY4615" s="46">
        <f t="shared" si="215"/>
        <v>0</v>
      </c>
      <c r="AZ4615" s="46">
        <f t="shared" si="216"/>
        <v>0</v>
      </c>
    </row>
    <row r="4616" spans="50:52">
      <c r="AX4616" s="46">
        <f t="shared" si="214"/>
        <v>0</v>
      </c>
      <c r="AY4616" s="46">
        <f t="shared" si="215"/>
        <v>0</v>
      </c>
      <c r="AZ4616" s="46">
        <f t="shared" si="216"/>
        <v>0</v>
      </c>
    </row>
    <row r="4617" spans="50:52">
      <c r="AX4617" s="46">
        <f t="shared" si="214"/>
        <v>0</v>
      </c>
      <c r="AY4617" s="46">
        <f t="shared" si="215"/>
        <v>0</v>
      </c>
      <c r="AZ4617" s="46">
        <f t="shared" si="216"/>
        <v>0</v>
      </c>
    </row>
    <row r="4618" spans="50:52">
      <c r="AX4618" s="46">
        <f t="shared" si="214"/>
        <v>0</v>
      </c>
      <c r="AY4618" s="46">
        <f t="shared" si="215"/>
        <v>0</v>
      </c>
      <c r="AZ4618" s="46">
        <f t="shared" si="216"/>
        <v>0</v>
      </c>
    </row>
    <row r="4619" spans="50:52">
      <c r="AX4619" s="46">
        <f t="shared" ref="AX4619:AX4682" si="217">IFERROR(SUM(Q4619:AS4619)-SUM(AT4619:AU4619)+AV4619,"-")</f>
        <v>0</v>
      </c>
      <c r="AY4619" s="46">
        <f t="shared" ref="AY4619:AY4682" si="218">IFERROR(SUM(Q4619:AS4619)-SUM(AT4619:AT4619),"-")</f>
        <v>0</v>
      </c>
      <c r="AZ4619" s="46">
        <f t="shared" ref="AZ4619:AZ4682" si="219">SUM(Q4619:AS4619)</f>
        <v>0</v>
      </c>
    </row>
    <row r="4620" spans="50:52">
      <c r="AX4620" s="46">
        <f t="shared" si="217"/>
        <v>0</v>
      </c>
      <c r="AY4620" s="46">
        <f t="shared" si="218"/>
        <v>0</v>
      </c>
      <c r="AZ4620" s="46">
        <f t="shared" si="219"/>
        <v>0</v>
      </c>
    </row>
    <row r="4621" spans="50:52">
      <c r="AX4621" s="46">
        <f t="shared" si="217"/>
        <v>0</v>
      </c>
      <c r="AY4621" s="46">
        <f t="shared" si="218"/>
        <v>0</v>
      </c>
      <c r="AZ4621" s="46">
        <f t="shared" si="219"/>
        <v>0</v>
      </c>
    </row>
    <row r="4622" spans="50:52">
      <c r="AX4622" s="46">
        <f t="shared" si="217"/>
        <v>0</v>
      </c>
      <c r="AY4622" s="46">
        <f t="shared" si="218"/>
        <v>0</v>
      </c>
      <c r="AZ4622" s="46">
        <f t="shared" si="219"/>
        <v>0</v>
      </c>
    </row>
    <row r="4623" spans="50:52">
      <c r="AX4623" s="46">
        <f t="shared" si="217"/>
        <v>0</v>
      </c>
      <c r="AY4623" s="46">
        <f t="shared" si="218"/>
        <v>0</v>
      </c>
      <c r="AZ4623" s="46">
        <f t="shared" si="219"/>
        <v>0</v>
      </c>
    </row>
    <row r="4624" spans="50:52">
      <c r="AX4624" s="46">
        <f t="shared" si="217"/>
        <v>0</v>
      </c>
      <c r="AY4624" s="46">
        <f t="shared" si="218"/>
        <v>0</v>
      </c>
      <c r="AZ4624" s="46">
        <f t="shared" si="219"/>
        <v>0</v>
      </c>
    </row>
    <row r="4625" spans="50:52">
      <c r="AX4625" s="46">
        <f t="shared" si="217"/>
        <v>0</v>
      </c>
      <c r="AY4625" s="46">
        <f t="shared" si="218"/>
        <v>0</v>
      </c>
      <c r="AZ4625" s="46">
        <f t="shared" si="219"/>
        <v>0</v>
      </c>
    </row>
    <row r="4626" spans="50:52">
      <c r="AX4626" s="46">
        <f t="shared" si="217"/>
        <v>0</v>
      </c>
      <c r="AY4626" s="46">
        <f t="shared" si="218"/>
        <v>0</v>
      </c>
      <c r="AZ4626" s="46">
        <f t="shared" si="219"/>
        <v>0</v>
      </c>
    </row>
    <row r="4627" spans="50:52">
      <c r="AX4627" s="46">
        <f t="shared" si="217"/>
        <v>0</v>
      </c>
      <c r="AY4627" s="46">
        <f t="shared" si="218"/>
        <v>0</v>
      </c>
      <c r="AZ4627" s="46">
        <f t="shared" si="219"/>
        <v>0</v>
      </c>
    </row>
    <row r="4628" spans="50:52">
      <c r="AX4628" s="46">
        <f t="shared" si="217"/>
        <v>0</v>
      </c>
      <c r="AY4628" s="46">
        <f t="shared" si="218"/>
        <v>0</v>
      </c>
      <c r="AZ4628" s="46">
        <f t="shared" si="219"/>
        <v>0</v>
      </c>
    </row>
    <row r="4629" spans="50:52">
      <c r="AX4629" s="46">
        <f t="shared" si="217"/>
        <v>0</v>
      </c>
      <c r="AY4629" s="46">
        <f t="shared" si="218"/>
        <v>0</v>
      </c>
      <c r="AZ4629" s="46">
        <f t="shared" si="219"/>
        <v>0</v>
      </c>
    </row>
    <row r="4630" spans="50:52">
      <c r="AX4630" s="46">
        <f t="shared" si="217"/>
        <v>0</v>
      </c>
      <c r="AY4630" s="46">
        <f t="shared" si="218"/>
        <v>0</v>
      </c>
      <c r="AZ4630" s="46">
        <f t="shared" si="219"/>
        <v>0</v>
      </c>
    </row>
    <row r="4631" spans="50:52">
      <c r="AX4631" s="46">
        <f t="shared" si="217"/>
        <v>0</v>
      </c>
      <c r="AY4631" s="46">
        <f t="shared" si="218"/>
        <v>0</v>
      </c>
      <c r="AZ4631" s="46">
        <f t="shared" si="219"/>
        <v>0</v>
      </c>
    </row>
    <row r="4632" spans="50:52">
      <c r="AX4632" s="46">
        <f t="shared" si="217"/>
        <v>0</v>
      </c>
      <c r="AY4632" s="46">
        <f t="shared" si="218"/>
        <v>0</v>
      </c>
      <c r="AZ4632" s="46">
        <f t="shared" si="219"/>
        <v>0</v>
      </c>
    </row>
    <row r="4633" spans="50:52">
      <c r="AX4633" s="46">
        <f t="shared" si="217"/>
        <v>0</v>
      </c>
      <c r="AY4633" s="46">
        <f t="shared" si="218"/>
        <v>0</v>
      </c>
      <c r="AZ4633" s="46">
        <f t="shared" si="219"/>
        <v>0</v>
      </c>
    </row>
    <row r="4634" spans="50:52">
      <c r="AX4634" s="46">
        <f t="shared" si="217"/>
        <v>0</v>
      </c>
      <c r="AY4634" s="46">
        <f t="shared" si="218"/>
        <v>0</v>
      </c>
      <c r="AZ4634" s="46">
        <f t="shared" si="219"/>
        <v>0</v>
      </c>
    </row>
    <row r="4635" spans="50:52">
      <c r="AX4635" s="46">
        <f t="shared" si="217"/>
        <v>0</v>
      </c>
      <c r="AY4635" s="46">
        <f t="shared" si="218"/>
        <v>0</v>
      </c>
      <c r="AZ4635" s="46">
        <f t="shared" si="219"/>
        <v>0</v>
      </c>
    </row>
    <row r="4636" spans="50:52">
      <c r="AX4636" s="46">
        <f t="shared" si="217"/>
        <v>0</v>
      </c>
      <c r="AY4636" s="46">
        <f t="shared" si="218"/>
        <v>0</v>
      </c>
      <c r="AZ4636" s="46">
        <f t="shared" si="219"/>
        <v>0</v>
      </c>
    </row>
    <row r="4637" spans="50:52">
      <c r="AX4637" s="46">
        <f t="shared" si="217"/>
        <v>0</v>
      </c>
      <c r="AY4637" s="46">
        <f t="shared" si="218"/>
        <v>0</v>
      </c>
      <c r="AZ4637" s="46">
        <f t="shared" si="219"/>
        <v>0</v>
      </c>
    </row>
    <row r="4638" spans="50:52">
      <c r="AX4638" s="46">
        <f t="shared" si="217"/>
        <v>0</v>
      </c>
      <c r="AY4638" s="46">
        <f t="shared" si="218"/>
        <v>0</v>
      </c>
      <c r="AZ4638" s="46">
        <f t="shared" si="219"/>
        <v>0</v>
      </c>
    </row>
    <row r="4639" spans="50:52">
      <c r="AX4639" s="46">
        <f t="shared" si="217"/>
        <v>0</v>
      </c>
      <c r="AY4639" s="46">
        <f t="shared" si="218"/>
        <v>0</v>
      </c>
      <c r="AZ4639" s="46">
        <f t="shared" si="219"/>
        <v>0</v>
      </c>
    </row>
    <row r="4640" spans="50:52">
      <c r="AX4640" s="46">
        <f t="shared" si="217"/>
        <v>0</v>
      </c>
      <c r="AY4640" s="46">
        <f t="shared" si="218"/>
        <v>0</v>
      </c>
      <c r="AZ4640" s="46">
        <f t="shared" si="219"/>
        <v>0</v>
      </c>
    </row>
    <row r="4641" spans="50:52">
      <c r="AX4641" s="46">
        <f t="shared" si="217"/>
        <v>0</v>
      </c>
      <c r="AY4641" s="46">
        <f t="shared" si="218"/>
        <v>0</v>
      </c>
      <c r="AZ4641" s="46">
        <f t="shared" si="219"/>
        <v>0</v>
      </c>
    </row>
    <row r="4642" spans="50:52">
      <c r="AX4642" s="46">
        <f t="shared" si="217"/>
        <v>0</v>
      </c>
      <c r="AY4642" s="46">
        <f t="shared" si="218"/>
        <v>0</v>
      </c>
      <c r="AZ4642" s="46">
        <f t="shared" si="219"/>
        <v>0</v>
      </c>
    </row>
    <row r="4643" spans="50:52">
      <c r="AX4643" s="46">
        <f t="shared" si="217"/>
        <v>0</v>
      </c>
      <c r="AY4643" s="46">
        <f t="shared" si="218"/>
        <v>0</v>
      </c>
      <c r="AZ4643" s="46">
        <f t="shared" si="219"/>
        <v>0</v>
      </c>
    </row>
    <row r="4644" spans="50:52">
      <c r="AX4644" s="46">
        <f t="shared" si="217"/>
        <v>0</v>
      </c>
      <c r="AY4644" s="46">
        <f t="shared" si="218"/>
        <v>0</v>
      </c>
      <c r="AZ4644" s="46">
        <f t="shared" si="219"/>
        <v>0</v>
      </c>
    </row>
    <row r="4645" spans="50:52">
      <c r="AX4645" s="46">
        <f t="shared" si="217"/>
        <v>0</v>
      </c>
      <c r="AY4645" s="46">
        <f t="shared" si="218"/>
        <v>0</v>
      </c>
      <c r="AZ4645" s="46">
        <f t="shared" si="219"/>
        <v>0</v>
      </c>
    </row>
    <row r="4646" spans="50:52">
      <c r="AX4646" s="46">
        <f t="shared" si="217"/>
        <v>0</v>
      </c>
      <c r="AY4646" s="46">
        <f t="shared" si="218"/>
        <v>0</v>
      </c>
      <c r="AZ4646" s="46">
        <f t="shared" si="219"/>
        <v>0</v>
      </c>
    </row>
    <row r="4647" spans="50:52">
      <c r="AX4647" s="46">
        <f t="shared" si="217"/>
        <v>0</v>
      </c>
      <c r="AY4647" s="46">
        <f t="shared" si="218"/>
        <v>0</v>
      </c>
      <c r="AZ4647" s="46">
        <f t="shared" si="219"/>
        <v>0</v>
      </c>
    </row>
    <row r="4648" spans="50:52">
      <c r="AX4648" s="46">
        <f t="shared" si="217"/>
        <v>0</v>
      </c>
      <c r="AY4648" s="46">
        <f t="shared" si="218"/>
        <v>0</v>
      </c>
      <c r="AZ4648" s="46">
        <f t="shared" si="219"/>
        <v>0</v>
      </c>
    </row>
    <row r="4649" spans="50:52">
      <c r="AX4649" s="46">
        <f t="shared" si="217"/>
        <v>0</v>
      </c>
      <c r="AY4649" s="46">
        <f t="shared" si="218"/>
        <v>0</v>
      </c>
      <c r="AZ4649" s="46">
        <f t="shared" si="219"/>
        <v>0</v>
      </c>
    </row>
    <row r="4650" spans="50:52">
      <c r="AX4650" s="46">
        <f t="shared" si="217"/>
        <v>0</v>
      </c>
      <c r="AY4650" s="46">
        <f t="shared" si="218"/>
        <v>0</v>
      </c>
      <c r="AZ4650" s="46">
        <f t="shared" si="219"/>
        <v>0</v>
      </c>
    </row>
    <row r="4651" spans="50:52">
      <c r="AX4651" s="46">
        <f t="shared" si="217"/>
        <v>0</v>
      </c>
      <c r="AY4651" s="46">
        <f t="shared" si="218"/>
        <v>0</v>
      </c>
      <c r="AZ4651" s="46">
        <f t="shared" si="219"/>
        <v>0</v>
      </c>
    </row>
    <row r="4652" spans="50:52">
      <c r="AX4652" s="46">
        <f t="shared" si="217"/>
        <v>0</v>
      </c>
      <c r="AY4652" s="46">
        <f t="shared" si="218"/>
        <v>0</v>
      </c>
      <c r="AZ4652" s="46">
        <f t="shared" si="219"/>
        <v>0</v>
      </c>
    </row>
    <row r="4653" spans="50:52">
      <c r="AX4653" s="46">
        <f t="shared" si="217"/>
        <v>0</v>
      </c>
      <c r="AY4653" s="46">
        <f t="shared" si="218"/>
        <v>0</v>
      </c>
      <c r="AZ4653" s="46">
        <f t="shared" si="219"/>
        <v>0</v>
      </c>
    </row>
    <row r="4654" spans="50:52">
      <c r="AX4654" s="46">
        <f t="shared" si="217"/>
        <v>0</v>
      </c>
      <c r="AY4654" s="46">
        <f t="shared" si="218"/>
        <v>0</v>
      </c>
      <c r="AZ4654" s="46">
        <f t="shared" si="219"/>
        <v>0</v>
      </c>
    </row>
    <row r="4655" spans="50:52">
      <c r="AX4655" s="46">
        <f t="shared" si="217"/>
        <v>0</v>
      </c>
      <c r="AY4655" s="46">
        <f t="shared" si="218"/>
        <v>0</v>
      </c>
      <c r="AZ4655" s="46">
        <f t="shared" si="219"/>
        <v>0</v>
      </c>
    </row>
    <row r="4656" spans="50:52">
      <c r="AX4656" s="46">
        <f t="shared" si="217"/>
        <v>0</v>
      </c>
      <c r="AY4656" s="46">
        <f t="shared" si="218"/>
        <v>0</v>
      </c>
      <c r="AZ4656" s="46">
        <f t="shared" si="219"/>
        <v>0</v>
      </c>
    </row>
    <row r="4657" spans="50:52">
      <c r="AX4657" s="46">
        <f t="shared" si="217"/>
        <v>0</v>
      </c>
      <c r="AY4657" s="46">
        <f t="shared" si="218"/>
        <v>0</v>
      </c>
      <c r="AZ4657" s="46">
        <f t="shared" si="219"/>
        <v>0</v>
      </c>
    </row>
    <row r="4658" spans="50:52">
      <c r="AX4658" s="46">
        <f t="shared" si="217"/>
        <v>0</v>
      </c>
      <c r="AY4658" s="46">
        <f t="shared" si="218"/>
        <v>0</v>
      </c>
      <c r="AZ4658" s="46">
        <f t="shared" si="219"/>
        <v>0</v>
      </c>
    </row>
    <row r="4659" spans="50:52">
      <c r="AX4659" s="46">
        <f t="shared" si="217"/>
        <v>0</v>
      </c>
      <c r="AY4659" s="46">
        <f t="shared" si="218"/>
        <v>0</v>
      </c>
      <c r="AZ4659" s="46">
        <f t="shared" si="219"/>
        <v>0</v>
      </c>
    </row>
    <row r="4660" spans="50:52">
      <c r="AX4660" s="46">
        <f t="shared" si="217"/>
        <v>0</v>
      </c>
      <c r="AY4660" s="46">
        <f t="shared" si="218"/>
        <v>0</v>
      </c>
      <c r="AZ4660" s="46">
        <f t="shared" si="219"/>
        <v>0</v>
      </c>
    </row>
    <row r="4661" spans="50:52">
      <c r="AX4661" s="46">
        <f t="shared" si="217"/>
        <v>0</v>
      </c>
      <c r="AY4661" s="46">
        <f t="shared" si="218"/>
        <v>0</v>
      </c>
      <c r="AZ4661" s="46">
        <f t="shared" si="219"/>
        <v>0</v>
      </c>
    </row>
    <row r="4662" spans="50:52">
      <c r="AX4662" s="46">
        <f t="shared" si="217"/>
        <v>0</v>
      </c>
      <c r="AY4662" s="46">
        <f t="shared" si="218"/>
        <v>0</v>
      </c>
      <c r="AZ4662" s="46">
        <f t="shared" si="219"/>
        <v>0</v>
      </c>
    </row>
    <row r="4663" spans="50:52">
      <c r="AX4663" s="46">
        <f t="shared" si="217"/>
        <v>0</v>
      </c>
      <c r="AY4663" s="46">
        <f t="shared" si="218"/>
        <v>0</v>
      </c>
      <c r="AZ4663" s="46">
        <f t="shared" si="219"/>
        <v>0</v>
      </c>
    </row>
    <row r="4664" spans="50:52">
      <c r="AX4664" s="46">
        <f t="shared" si="217"/>
        <v>0</v>
      </c>
      <c r="AY4664" s="46">
        <f t="shared" si="218"/>
        <v>0</v>
      </c>
      <c r="AZ4664" s="46">
        <f t="shared" si="219"/>
        <v>0</v>
      </c>
    </row>
    <row r="4665" spans="50:52">
      <c r="AX4665" s="46">
        <f t="shared" si="217"/>
        <v>0</v>
      </c>
      <c r="AY4665" s="46">
        <f t="shared" si="218"/>
        <v>0</v>
      </c>
      <c r="AZ4665" s="46">
        <f t="shared" si="219"/>
        <v>0</v>
      </c>
    </row>
    <row r="4666" spans="50:52">
      <c r="AX4666" s="46">
        <f t="shared" si="217"/>
        <v>0</v>
      </c>
      <c r="AY4666" s="46">
        <f t="shared" si="218"/>
        <v>0</v>
      </c>
      <c r="AZ4666" s="46">
        <f t="shared" si="219"/>
        <v>0</v>
      </c>
    </row>
    <row r="4667" spans="50:52">
      <c r="AX4667" s="46">
        <f t="shared" si="217"/>
        <v>0</v>
      </c>
      <c r="AY4667" s="46">
        <f t="shared" si="218"/>
        <v>0</v>
      </c>
      <c r="AZ4667" s="46">
        <f t="shared" si="219"/>
        <v>0</v>
      </c>
    </row>
    <row r="4668" spans="50:52">
      <c r="AX4668" s="46">
        <f t="shared" si="217"/>
        <v>0</v>
      </c>
      <c r="AY4668" s="46">
        <f t="shared" si="218"/>
        <v>0</v>
      </c>
      <c r="AZ4668" s="46">
        <f t="shared" si="219"/>
        <v>0</v>
      </c>
    </row>
    <row r="4669" spans="50:52">
      <c r="AX4669" s="46">
        <f t="shared" si="217"/>
        <v>0</v>
      </c>
      <c r="AY4669" s="46">
        <f t="shared" si="218"/>
        <v>0</v>
      </c>
      <c r="AZ4669" s="46">
        <f t="shared" si="219"/>
        <v>0</v>
      </c>
    </row>
    <row r="4670" spans="50:52">
      <c r="AX4670" s="46">
        <f t="shared" si="217"/>
        <v>0</v>
      </c>
      <c r="AY4670" s="46">
        <f t="shared" si="218"/>
        <v>0</v>
      </c>
      <c r="AZ4670" s="46">
        <f t="shared" si="219"/>
        <v>0</v>
      </c>
    </row>
    <row r="4671" spans="50:52">
      <c r="AX4671" s="46">
        <f t="shared" si="217"/>
        <v>0</v>
      </c>
      <c r="AY4671" s="46">
        <f t="shared" si="218"/>
        <v>0</v>
      </c>
      <c r="AZ4671" s="46">
        <f t="shared" si="219"/>
        <v>0</v>
      </c>
    </row>
    <row r="4672" spans="50:52">
      <c r="AX4672" s="46">
        <f t="shared" si="217"/>
        <v>0</v>
      </c>
      <c r="AY4672" s="46">
        <f t="shared" si="218"/>
        <v>0</v>
      </c>
      <c r="AZ4672" s="46">
        <f t="shared" si="219"/>
        <v>0</v>
      </c>
    </row>
    <row r="4673" spans="50:52">
      <c r="AX4673" s="46">
        <f t="shared" si="217"/>
        <v>0</v>
      </c>
      <c r="AY4673" s="46">
        <f t="shared" si="218"/>
        <v>0</v>
      </c>
      <c r="AZ4673" s="46">
        <f t="shared" si="219"/>
        <v>0</v>
      </c>
    </row>
    <row r="4674" spans="50:52">
      <c r="AX4674" s="46">
        <f t="shared" si="217"/>
        <v>0</v>
      </c>
      <c r="AY4674" s="46">
        <f t="shared" si="218"/>
        <v>0</v>
      </c>
      <c r="AZ4674" s="46">
        <f t="shared" si="219"/>
        <v>0</v>
      </c>
    </row>
    <row r="4675" spans="50:52">
      <c r="AX4675" s="46">
        <f t="shared" si="217"/>
        <v>0</v>
      </c>
      <c r="AY4675" s="46">
        <f t="shared" si="218"/>
        <v>0</v>
      </c>
      <c r="AZ4675" s="46">
        <f t="shared" si="219"/>
        <v>0</v>
      </c>
    </row>
    <row r="4676" spans="50:52">
      <c r="AX4676" s="46">
        <f t="shared" si="217"/>
        <v>0</v>
      </c>
      <c r="AY4676" s="46">
        <f t="shared" si="218"/>
        <v>0</v>
      </c>
      <c r="AZ4676" s="46">
        <f t="shared" si="219"/>
        <v>0</v>
      </c>
    </row>
    <row r="4677" spans="50:52">
      <c r="AX4677" s="46">
        <f t="shared" si="217"/>
        <v>0</v>
      </c>
      <c r="AY4677" s="46">
        <f t="shared" si="218"/>
        <v>0</v>
      </c>
      <c r="AZ4677" s="46">
        <f t="shared" si="219"/>
        <v>0</v>
      </c>
    </row>
    <row r="4678" spans="50:52">
      <c r="AX4678" s="46">
        <f t="shared" si="217"/>
        <v>0</v>
      </c>
      <c r="AY4678" s="46">
        <f t="shared" si="218"/>
        <v>0</v>
      </c>
      <c r="AZ4678" s="46">
        <f t="shared" si="219"/>
        <v>0</v>
      </c>
    </row>
    <row r="4679" spans="50:52">
      <c r="AX4679" s="46">
        <f t="shared" si="217"/>
        <v>0</v>
      </c>
      <c r="AY4679" s="46">
        <f t="shared" si="218"/>
        <v>0</v>
      </c>
      <c r="AZ4679" s="46">
        <f t="shared" si="219"/>
        <v>0</v>
      </c>
    </row>
    <row r="4680" spans="50:52">
      <c r="AX4680" s="46">
        <f t="shared" si="217"/>
        <v>0</v>
      </c>
      <c r="AY4680" s="46">
        <f t="shared" si="218"/>
        <v>0</v>
      </c>
      <c r="AZ4680" s="46">
        <f t="shared" si="219"/>
        <v>0</v>
      </c>
    </row>
    <row r="4681" spans="50:52">
      <c r="AX4681" s="46">
        <f t="shared" si="217"/>
        <v>0</v>
      </c>
      <c r="AY4681" s="46">
        <f t="shared" si="218"/>
        <v>0</v>
      </c>
      <c r="AZ4681" s="46">
        <f t="shared" si="219"/>
        <v>0</v>
      </c>
    </row>
    <row r="4682" spans="50:52">
      <c r="AX4682" s="46">
        <f t="shared" si="217"/>
        <v>0</v>
      </c>
      <c r="AY4682" s="46">
        <f t="shared" si="218"/>
        <v>0</v>
      </c>
      <c r="AZ4682" s="46">
        <f t="shared" si="219"/>
        <v>0</v>
      </c>
    </row>
    <row r="4683" spans="50:52">
      <c r="AX4683" s="46">
        <f t="shared" ref="AX4683:AX4746" si="220">IFERROR(SUM(Q4683:AS4683)-SUM(AT4683:AU4683)+AV4683,"-")</f>
        <v>0</v>
      </c>
      <c r="AY4683" s="46">
        <f t="shared" ref="AY4683:AY4746" si="221">IFERROR(SUM(Q4683:AS4683)-SUM(AT4683:AT4683),"-")</f>
        <v>0</v>
      </c>
      <c r="AZ4683" s="46">
        <f t="shared" ref="AZ4683:AZ4746" si="222">SUM(Q4683:AS4683)</f>
        <v>0</v>
      </c>
    </row>
    <row r="4684" spans="50:52">
      <c r="AX4684" s="46">
        <f t="shared" si="220"/>
        <v>0</v>
      </c>
      <c r="AY4684" s="46">
        <f t="shared" si="221"/>
        <v>0</v>
      </c>
      <c r="AZ4684" s="46">
        <f t="shared" si="222"/>
        <v>0</v>
      </c>
    </row>
    <row r="4685" spans="50:52">
      <c r="AX4685" s="46">
        <f t="shared" si="220"/>
        <v>0</v>
      </c>
      <c r="AY4685" s="46">
        <f t="shared" si="221"/>
        <v>0</v>
      </c>
      <c r="AZ4685" s="46">
        <f t="shared" si="222"/>
        <v>0</v>
      </c>
    </row>
    <row r="4686" spans="50:52">
      <c r="AX4686" s="46">
        <f t="shared" si="220"/>
        <v>0</v>
      </c>
      <c r="AY4686" s="46">
        <f t="shared" si="221"/>
        <v>0</v>
      </c>
      <c r="AZ4686" s="46">
        <f t="shared" si="222"/>
        <v>0</v>
      </c>
    </row>
    <row r="4687" spans="50:52">
      <c r="AX4687" s="46">
        <f t="shared" si="220"/>
        <v>0</v>
      </c>
      <c r="AY4687" s="46">
        <f t="shared" si="221"/>
        <v>0</v>
      </c>
      <c r="AZ4687" s="46">
        <f t="shared" si="222"/>
        <v>0</v>
      </c>
    </row>
    <row r="4688" spans="50:52">
      <c r="AX4688" s="46">
        <f t="shared" si="220"/>
        <v>0</v>
      </c>
      <c r="AY4688" s="46">
        <f t="shared" si="221"/>
        <v>0</v>
      </c>
      <c r="AZ4688" s="46">
        <f t="shared" si="222"/>
        <v>0</v>
      </c>
    </row>
    <row r="4689" spans="50:52">
      <c r="AX4689" s="46">
        <f t="shared" si="220"/>
        <v>0</v>
      </c>
      <c r="AY4689" s="46">
        <f t="shared" si="221"/>
        <v>0</v>
      </c>
      <c r="AZ4689" s="46">
        <f t="shared" si="222"/>
        <v>0</v>
      </c>
    </row>
    <row r="4690" spans="50:52">
      <c r="AX4690" s="46">
        <f t="shared" si="220"/>
        <v>0</v>
      </c>
      <c r="AY4690" s="46">
        <f t="shared" si="221"/>
        <v>0</v>
      </c>
      <c r="AZ4690" s="46">
        <f t="shared" si="222"/>
        <v>0</v>
      </c>
    </row>
    <row r="4691" spans="50:52">
      <c r="AX4691" s="46">
        <f t="shared" si="220"/>
        <v>0</v>
      </c>
      <c r="AY4691" s="46">
        <f t="shared" si="221"/>
        <v>0</v>
      </c>
      <c r="AZ4691" s="46">
        <f t="shared" si="222"/>
        <v>0</v>
      </c>
    </row>
    <row r="4692" spans="50:52">
      <c r="AX4692" s="46">
        <f t="shared" si="220"/>
        <v>0</v>
      </c>
      <c r="AY4692" s="46">
        <f t="shared" si="221"/>
        <v>0</v>
      </c>
      <c r="AZ4692" s="46">
        <f t="shared" si="222"/>
        <v>0</v>
      </c>
    </row>
    <row r="4693" spans="50:52">
      <c r="AX4693" s="46">
        <f t="shared" si="220"/>
        <v>0</v>
      </c>
      <c r="AY4693" s="46">
        <f t="shared" si="221"/>
        <v>0</v>
      </c>
      <c r="AZ4693" s="46">
        <f t="shared" si="222"/>
        <v>0</v>
      </c>
    </row>
    <row r="4694" spans="50:52">
      <c r="AX4694" s="46">
        <f t="shared" si="220"/>
        <v>0</v>
      </c>
      <c r="AY4694" s="46">
        <f t="shared" si="221"/>
        <v>0</v>
      </c>
      <c r="AZ4694" s="46">
        <f t="shared" si="222"/>
        <v>0</v>
      </c>
    </row>
    <row r="4695" spans="50:52">
      <c r="AX4695" s="46">
        <f t="shared" si="220"/>
        <v>0</v>
      </c>
      <c r="AY4695" s="46">
        <f t="shared" si="221"/>
        <v>0</v>
      </c>
      <c r="AZ4695" s="46">
        <f t="shared" si="222"/>
        <v>0</v>
      </c>
    </row>
    <row r="4696" spans="50:52">
      <c r="AX4696" s="46">
        <f t="shared" si="220"/>
        <v>0</v>
      </c>
      <c r="AY4696" s="46">
        <f t="shared" si="221"/>
        <v>0</v>
      </c>
      <c r="AZ4696" s="46">
        <f t="shared" si="222"/>
        <v>0</v>
      </c>
    </row>
    <row r="4697" spans="50:52">
      <c r="AX4697" s="46">
        <f t="shared" si="220"/>
        <v>0</v>
      </c>
      <c r="AY4697" s="46">
        <f t="shared" si="221"/>
        <v>0</v>
      </c>
      <c r="AZ4697" s="46">
        <f t="shared" si="222"/>
        <v>0</v>
      </c>
    </row>
    <row r="4698" spans="50:52">
      <c r="AX4698" s="46">
        <f t="shared" si="220"/>
        <v>0</v>
      </c>
      <c r="AY4698" s="46">
        <f t="shared" si="221"/>
        <v>0</v>
      </c>
      <c r="AZ4698" s="46">
        <f t="shared" si="222"/>
        <v>0</v>
      </c>
    </row>
    <row r="4699" spans="50:52">
      <c r="AX4699" s="46">
        <f t="shared" si="220"/>
        <v>0</v>
      </c>
      <c r="AY4699" s="46">
        <f t="shared" si="221"/>
        <v>0</v>
      </c>
      <c r="AZ4699" s="46">
        <f t="shared" si="222"/>
        <v>0</v>
      </c>
    </row>
    <row r="4700" spans="50:52">
      <c r="AX4700" s="46">
        <f t="shared" si="220"/>
        <v>0</v>
      </c>
      <c r="AY4700" s="46">
        <f t="shared" si="221"/>
        <v>0</v>
      </c>
      <c r="AZ4700" s="46">
        <f t="shared" si="222"/>
        <v>0</v>
      </c>
    </row>
    <row r="4701" spans="50:52">
      <c r="AX4701" s="46">
        <f t="shared" si="220"/>
        <v>0</v>
      </c>
      <c r="AY4701" s="46">
        <f t="shared" si="221"/>
        <v>0</v>
      </c>
      <c r="AZ4701" s="46">
        <f t="shared" si="222"/>
        <v>0</v>
      </c>
    </row>
    <row r="4702" spans="50:52">
      <c r="AX4702" s="46">
        <f t="shared" si="220"/>
        <v>0</v>
      </c>
      <c r="AY4702" s="46">
        <f t="shared" si="221"/>
        <v>0</v>
      </c>
      <c r="AZ4702" s="46">
        <f t="shared" si="222"/>
        <v>0</v>
      </c>
    </row>
    <row r="4703" spans="50:52">
      <c r="AX4703" s="46">
        <f t="shared" si="220"/>
        <v>0</v>
      </c>
      <c r="AY4703" s="46">
        <f t="shared" si="221"/>
        <v>0</v>
      </c>
      <c r="AZ4703" s="46">
        <f t="shared" si="222"/>
        <v>0</v>
      </c>
    </row>
    <row r="4704" spans="50:52">
      <c r="AX4704" s="46">
        <f t="shared" si="220"/>
        <v>0</v>
      </c>
      <c r="AY4704" s="46">
        <f t="shared" si="221"/>
        <v>0</v>
      </c>
      <c r="AZ4704" s="46">
        <f t="shared" si="222"/>
        <v>0</v>
      </c>
    </row>
    <row r="4705" spans="50:52">
      <c r="AX4705" s="46">
        <f t="shared" si="220"/>
        <v>0</v>
      </c>
      <c r="AY4705" s="46">
        <f t="shared" si="221"/>
        <v>0</v>
      </c>
      <c r="AZ4705" s="46">
        <f t="shared" si="222"/>
        <v>0</v>
      </c>
    </row>
    <row r="4706" spans="50:52">
      <c r="AX4706" s="46">
        <f t="shared" si="220"/>
        <v>0</v>
      </c>
      <c r="AY4706" s="46">
        <f t="shared" si="221"/>
        <v>0</v>
      </c>
      <c r="AZ4706" s="46">
        <f t="shared" si="222"/>
        <v>0</v>
      </c>
    </row>
    <row r="4707" spans="50:52">
      <c r="AX4707" s="46">
        <f t="shared" si="220"/>
        <v>0</v>
      </c>
      <c r="AY4707" s="46">
        <f t="shared" si="221"/>
        <v>0</v>
      </c>
      <c r="AZ4707" s="46">
        <f t="shared" si="222"/>
        <v>0</v>
      </c>
    </row>
    <row r="4708" spans="50:52">
      <c r="AX4708" s="46">
        <f t="shared" si="220"/>
        <v>0</v>
      </c>
      <c r="AY4708" s="46">
        <f t="shared" si="221"/>
        <v>0</v>
      </c>
      <c r="AZ4708" s="46">
        <f t="shared" si="222"/>
        <v>0</v>
      </c>
    </row>
    <row r="4709" spans="50:52">
      <c r="AX4709" s="46">
        <f t="shared" si="220"/>
        <v>0</v>
      </c>
      <c r="AY4709" s="46">
        <f t="shared" si="221"/>
        <v>0</v>
      </c>
      <c r="AZ4709" s="46">
        <f t="shared" si="222"/>
        <v>0</v>
      </c>
    </row>
    <row r="4710" spans="50:52">
      <c r="AX4710" s="46">
        <f t="shared" si="220"/>
        <v>0</v>
      </c>
      <c r="AY4710" s="46">
        <f t="shared" si="221"/>
        <v>0</v>
      </c>
      <c r="AZ4710" s="46">
        <f t="shared" si="222"/>
        <v>0</v>
      </c>
    </row>
    <row r="4711" spans="50:52">
      <c r="AX4711" s="46">
        <f t="shared" si="220"/>
        <v>0</v>
      </c>
      <c r="AY4711" s="46">
        <f t="shared" si="221"/>
        <v>0</v>
      </c>
      <c r="AZ4711" s="46">
        <f t="shared" si="222"/>
        <v>0</v>
      </c>
    </row>
    <row r="4712" spans="50:52">
      <c r="AX4712" s="46">
        <f t="shared" si="220"/>
        <v>0</v>
      </c>
      <c r="AY4712" s="46">
        <f t="shared" si="221"/>
        <v>0</v>
      </c>
      <c r="AZ4712" s="46">
        <f t="shared" si="222"/>
        <v>0</v>
      </c>
    </row>
    <row r="4713" spans="50:52">
      <c r="AX4713" s="46">
        <f t="shared" si="220"/>
        <v>0</v>
      </c>
      <c r="AY4713" s="46">
        <f t="shared" si="221"/>
        <v>0</v>
      </c>
      <c r="AZ4713" s="46">
        <f t="shared" si="222"/>
        <v>0</v>
      </c>
    </row>
    <row r="4714" spans="50:52">
      <c r="AX4714" s="46">
        <f t="shared" si="220"/>
        <v>0</v>
      </c>
      <c r="AY4714" s="46">
        <f t="shared" si="221"/>
        <v>0</v>
      </c>
      <c r="AZ4714" s="46">
        <f t="shared" si="222"/>
        <v>0</v>
      </c>
    </row>
    <row r="4715" spans="50:52">
      <c r="AX4715" s="46">
        <f t="shared" si="220"/>
        <v>0</v>
      </c>
      <c r="AY4715" s="46">
        <f t="shared" si="221"/>
        <v>0</v>
      </c>
      <c r="AZ4715" s="46">
        <f t="shared" si="222"/>
        <v>0</v>
      </c>
    </row>
    <row r="4716" spans="50:52">
      <c r="AX4716" s="46">
        <f t="shared" si="220"/>
        <v>0</v>
      </c>
      <c r="AY4716" s="46">
        <f t="shared" si="221"/>
        <v>0</v>
      </c>
      <c r="AZ4716" s="46">
        <f t="shared" si="222"/>
        <v>0</v>
      </c>
    </row>
    <row r="4717" spans="50:52">
      <c r="AX4717" s="46">
        <f t="shared" si="220"/>
        <v>0</v>
      </c>
      <c r="AY4717" s="46">
        <f t="shared" si="221"/>
        <v>0</v>
      </c>
      <c r="AZ4717" s="46">
        <f t="shared" si="222"/>
        <v>0</v>
      </c>
    </row>
    <row r="4718" spans="50:52">
      <c r="AX4718" s="46">
        <f t="shared" si="220"/>
        <v>0</v>
      </c>
      <c r="AY4718" s="46">
        <f t="shared" si="221"/>
        <v>0</v>
      </c>
      <c r="AZ4718" s="46">
        <f t="shared" si="222"/>
        <v>0</v>
      </c>
    </row>
    <row r="4719" spans="50:52">
      <c r="AX4719" s="46">
        <f t="shared" si="220"/>
        <v>0</v>
      </c>
      <c r="AY4719" s="46">
        <f t="shared" si="221"/>
        <v>0</v>
      </c>
      <c r="AZ4719" s="46">
        <f t="shared" si="222"/>
        <v>0</v>
      </c>
    </row>
    <row r="4720" spans="50:52">
      <c r="AX4720" s="46">
        <f t="shared" si="220"/>
        <v>0</v>
      </c>
      <c r="AY4720" s="46">
        <f t="shared" si="221"/>
        <v>0</v>
      </c>
      <c r="AZ4720" s="46">
        <f t="shared" si="222"/>
        <v>0</v>
      </c>
    </row>
    <row r="4721" spans="50:52">
      <c r="AX4721" s="46">
        <f t="shared" si="220"/>
        <v>0</v>
      </c>
      <c r="AY4721" s="46">
        <f t="shared" si="221"/>
        <v>0</v>
      </c>
      <c r="AZ4721" s="46">
        <f t="shared" si="222"/>
        <v>0</v>
      </c>
    </row>
    <row r="4722" spans="50:52">
      <c r="AX4722" s="46">
        <f t="shared" si="220"/>
        <v>0</v>
      </c>
      <c r="AY4722" s="46">
        <f t="shared" si="221"/>
        <v>0</v>
      </c>
      <c r="AZ4722" s="46">
        <f t="shared" si="222"/>
        <v>0</v>
      </c>
    </row>
    <row r="4723" spans="50:52">
      <c r="AX4723" s="46">
        <f t="shared" si="220"/>
        <v>0</v>
      </c>
      <c r="AY4723" s="46">
        <f t="shared" si="221"/>
        <v>0</v>
      </c>
      <c r="AZ4723" s="46">
        <f t="shared" si="222"/>
        <v>0</v>
      </c>
    </row>
    <row r="4724" spans="50:52">
      <c r="AX4724" s="46">
        <f t="shared" si="220"/>
        <v>0</v>
      </c>
      <c r="AY4724" s="46">
        <f t="shared" si="221"/>
        <v>0</v>
      </c>
      <c r="AZ4724" s="46">
        <f t="shared" si="222"/>
        <v>0</v>
      </c>
    </row>
    <row r="4725" spans="50:52">
      <c r="AX4725" s="46">
        <f t="shared" si="220"/>
        <v>0</v>
      </c>
      <c r="AY4725" s="46">
        <f t="shared" si="221"/>
        <v>0</v>
      </c>
      <c r="AZ4725" s="46">
        <f t="shared" si="222"/>
        <v>0</v>
      </c>
    </row>
    <row r="4726" spans="50:52">
      <c r="AX4726" s="46">
        <f t="shared" si="220"/>
        <v>0</v>
      </c>
      <c r="AY4726" s="46">
        <f t="shared" si="221"/>
        <v>0</v>
      </c>
      <c r="AZ4726" s="46">
        <f t="shared" si="222"/>
        <v>0</v>
      </c>
    </row>
    <row r="4727" spans="50:52">
      <c r="AX4727" s="46">
        <f t="shared" si="220"/>
        <v>0</v>
      </c>
      <c r="AY4727" s="46">
        <f t="shared" si="221"/>
        <v>0</v>
      </c>
      <c r="AZ4727" s="46">
        <f t="shared" si="222"/>
        <v>0</v>
      </c>
    </row>
    <row r="4728" spans="50:52">
      <c r="AX4728" s="46">
        <f t="shared" si="220"/>
        <v>0</v>
      </c>
      <c r="AY4728" s="46">
        <f t="shared" si="221"/>
        <v>0</v>
      </c>
      <c r="AZ4728" s="46">
        <f t="shared" si="222"/>
        <v>0</v>
      </c>
    </row>
    <row r="4729" spans="50:52">
      <c r="AX4729" s="46">
        <f t="shared" si="220"/>
        <v>0</v>
      </c>
      <c r="AY4729" s="46">
        <f t="shared" si="221"/>
        <v>0</v>
      </c>
      <c r="AZ4729" s="46">
        <f t="shared" si="222"/>
        <v>0</v>
      </c>
    </row>
    <row r="4730" spans="50:52">
      <c r="AX4730" s="46">
        <f t="shared" si="220"/>
        <v>0</v>
      </c>
      <c r="AY4730" s="46">
        <f t="shared" si="221"/>
        <v>0</v>
      </c>
      <c r="AZ4730" s="46">
        <f t="shared" si="222"/>
        <v>0</v>
      </c>
    </row>
    <row r="4731" spans="50:52">
      <c r="AX4731" s="46">
        <f t="shared" si="220"/>
        <v>0</v>
      </c>
      <c r="AY4731" s="46">
        <f t="shared" si="221"/>
        <v>0</v>
      </c>
      <c r="AZ4731" s="46">
        <f t="shared" si="222"/>
        <v>0</v>
      </c>
    </row>
    <row r="4732" spans="50:52">
      <c r="AX4732" s="46">
        <f t="shared" si="220"/>
        <v>0</v>
      </c>
      <c r="AY4732" s="46">
        <f t="shared" si="221"/>
        <v>0</v>
      </c>
      <c r="AZ4732" s="46">
        <f t="shared" si="222"/>
        <v>0</v>
      </c>
    </row>
    <row r="4733" spans="50:52">
      <c r="AX4733" s="46">
        <f t="shared" si="220"/>
        <v>0</v>
      </c>
      <c r="AY4733" s="46">
        <f t="shared" si="221"/>
        <v>0</v>
      </c>
      <c r="AZ4733" s="46">
        <f t="shared" si="222"/>
        <v>0</v>
      </c>
    </row>
    <row r="4734" spans="50:52">
      <c r="AX4734" s="46">
        <f t="shared" si="220"/>
        <v>0</v>
      </c>
      <c r="AY4734" s="46">
        <f t="shared" si="221"/>
        <v>0</v>
      </c>
      <c r="AZ4734" s="46">
        <f t="shared" si="222"/>
        <v>0</v>
      </c>
    </row>
    <row r="4735" spans="50:52">
      <c r="AX4735" s="46">
        <f t="shared" si="220"/>
        <v>0</v>
      </c>
      <c r="AY4735" s="46">
        <f t="shared" si="221"/>
        <v>0</v>
      </c>
      <c r="AZ4735" s="46">
        <f t="shared" si="222"/>
        <v>0</v>
      </c>
    </row>
    <row r="4736" spans="50:52">
      <c r="AX4736" s="46">
        <f t="shared" si="220"/>
        <v>0</v>
      </c>
      <c r="AY4736" s="46">
        <f t="shared" si="221"/>
        <v>0</v>
      </c>
      <c r="AZ4736" s="46">
        <f t="shared" si="222"/>
        <v>0</v>
      </c>
    </row>
    <row r="4737" spans="50:52">
      <c r="AX4737" s="46">
        <f t="shared" si="220"/>
        <v>0</v>
      </c>
      <c r="AY4737" s="46">
        <f t="shared" si="221"/>
        <v>0</v>
      </c>
      <c r="AZ4737" s="46">
        <f t="shared" si="222"/>
        <v>0</v>
      </c>
    </row>
    <row r="4738" spans="50:52">
      <c r="AX4738" s="46">
        <f t="shared" si="220"/>
        <v>0</v>
      </c>
      <c r="AY4738" s="46">
        <f t="shared" si="221"/>
        <v>0</v>
      </c>
      <c r="AZ4738" s="46">
        <f t="shared" si="222"/>
        <v>0</v>
      </c>
    </row>
    <row r="4739" spans="50:52">
      <c r="AX4739" s="46">
        <f t="shared" si="220"/>
        <v>0</v>
      </c>
      <c r="AY4739" s="46">
        <f t="shared" si="221"/>
        <v>0</v>
      </c>
      <c r="AZ4739" s="46">
        <f t="shared" si="222"/>
        <v>0</v>
      </c>
    </row>
    <row r="4740" spans="50:52">
      <c r="AX4740" s="46">
        <f t="shared" si="220"/>
        <v>0</v>
      </c>
      <c r="AY4740" s="46">
        <f t="shared" si="221"/>
        <v>0</v>
      </c>
      <c r="AZ4740" s="46">
        <f t="shared" si="222"/>
        <v>0</v>
      </c>
    </row>
    <row r="4741" spans="50:52">
      <c r="AX4741" s="46">
        <f t="shared" si="220"/>
        <v>0</v>
      </c>
      <c r="AY4741" s="46">
        <f t="shared" si="221"/>
        <v>0</v>
      </c>
      <c r="AZ4741" s="46">
        <f t="shared" si="222"/>
        <v>0</v>
      </c>
    </row>
    <row r="4742" spans="50:52">
      <c r="AX4742" s="46">
        <f t="shared" si="220"/>
        <v>0</v>
      </c>
      <c r="AY4742" s="46">
        <f t="shared" si="221"/>
        <v>0</v>
      </c>
      <c r="AZ4742" s="46">
        <f t="shared" si="222"/>
        <v>0</v>
      </c>
    </row>
    <row r="4743" spans="50:52">
      <c r="AX4743" s="46">
        <f t="shared" si="220"/>
        <v>0</v>
      </c>
      <c r="AY4743" s="46">
        <f t="shared" si="221"/>
        <v>0</v>
      </c>
      <c r="AZ4743" s="46">
        <f t="shared" si="222"/>
        <v>0</v>
      </c>
    </row>
    <row r="4744" spans="50:52">
      <c r="AX4744" s="46">
        <f t="shared" si="220"/>
        <v>0</v>
      </c>
      <c r="AY4744" s="46">
        <f t="shared" si="221"/>
        <v>0</v>
      </c>
      <c r="AZ4744" s="46">
        <f t="shared" si="222"/>
        <v>0</v>
      </c>
    </row>
    <row r="4745" spans="50:52">
      <c r="AX4745" s="46">
        <f t="shared" si="220"/>
        <v>0</v>
      </c>
      <c r="AY4745" s="46">
        <f t="shared" si="221"/>
        <v>0</v>
      </c>
      <c r="AZ4745" s="46">
        <f t="shared" si="222"/>
        <v>0</v>
      </c>
    </row>
    <row r="4746" spans="50:52">
      <c r="AX4746" s="46">
        <f t="shared" si="220"/>
        <v>0</v>
      </c>
      <c r="AY4746" s="46">
        <f t="shared" si="221"/>
        <v>0</v>
      </c>
      <c r="AZ4746" s="46">
        <f t="shared" si="222"/>
        <v>0</v>
      </c>
    </row>
    <row r="4747" spans="50:52">
      <c r="AX4747" s="46">
        <f t="shared" ref="AX4747:AX4810" si="223">IFERROR(SUM(Q4747:AS4747)-SUM(AT4747:AU4747)+AV4747,"-")</f>
        <v>0</v>
      </c>
      <c r="AY4747" s="46">
        <f t="shared" ref="AY4747:AY4810" si="224">IFERROR(SUM(Q4747:AS4747)-SUM(AT4747:AT4747),"-")</f>
        <v>0</v>
      </c>
      <c r="AZ4747" s="46">
        <f t="shared" ref="AZ4747:AZ4810" si="225">SUM(Q4747:AS4747)</f>
        <v>0</v>
      </c>
    </row>
    <row r="4748" spans="50:52">
      <c r="AX4748" s="46">
        <f t="shared" si="223"/>
        <v>0</v>
      </c>
      <c r="AY4748" s="46">
        <f t="shared" si="224"/>
        <v>0</v>
      </c>
      <c r="AZ4748" s="46">
        <f t="shared" si="225"/>
        <v>0</v>
      </c>
    </row>
    <row r="4749" spans="50:52">
      <c r="AX4749" s="46">
        <f t="shared" si="223"/>
        <v>0</v>
      </c>
      <c r="AY4749" s="46">
        <f t="shared" si="224"/>
        <v>0</v>
      </c>
      <c r="AZ4749" s="46">
        <f t="shared" si="225"/>
        <v>0</v>
      </c>
    </row>
    <row r="4750" spans="50:52">
      <c r="AX4750" s="46">
        <f t="shared" si="223"/>
        <v>0</v>
      </c>
      <c r="AY4750" s="46">
        <f t="shared" si="224"/>
        <v>0</v>
      </c>
      <c r="AZ4750" s="46">
        <f t="shared" si="225"/>
        <v>0</v>
      </c>
    </row>
    <row r="4751" spans="50:52">
      <c r="AX4751" s="46">
        <f t="shared" si="223"/>
        <v>0</v>
      </c>
      <c r="AY4751" s="46">
        <f t="shared" si="224"/>
        <v>0</v>
      </c>
      <c r="AZ4751" s="46">
        <f t="shared" si="225"/>
        <v>0</v>
      </c>
    </row>
    <row r="4752" spans="50:52">
      <c r="AX4752" s="46">
        <f t="shared" si="223"/>
        <v>0</v>
      </c>
      <c r="AY4752" s="46">
        <f t="shared" si="224"/>
        <v>0</v>
      </c>
      <c r="AZ4752" s="46">
        <f t="shared" si="225"/>
        <v>0</v>
      </c>
    </row>
    <row r="4753" spans="50:52">
      <c r="AX4753" s="46">
        <f t="shared" si="223"/>
        <v>0</v>
      </c>
      <c r="AY4753" s="46">
        <f t="shared" si="224"/>
        <v>0</v>
      </c>
      <c r="AZ4753" s="46">
        <f t="shared" si="225"/>
        <v>0</v>
      </c>
    </row>
    <row r="4754" spans="50:52">
      <c r="AX4754" s="46">
        <f t="shared" si="223"/>
        <v>0</v>
      </c>
      <c r="AY4754" s="46">
        <f t="shared" si="224"/>
        <v>0</v>
      </c>
      <c r="AZ4754" s="46">
        <f t="shared" si="225"/>
        <v>0</v>
      </c>
    </row>
    <row r="4755" spans="50:52">
      <c r="AX4755" s="46">
        <f t="shared" si="223"/>
        <v>0</v>
      </c>
      <c r="AY4755" s="46">
        <f t="shared" si="224"/>
        <v>0</v>
      </c>
      <c r="AZ4755" s="46">
        <f t="shared" si="225"/>
        <v>0</v>
      </c>
    </row>
    <row r="4756" spans="50:52">
      <c r="AX4756" s="46">
        <f t="shared" si="223"/>
        <v>0</v>
      </c>
      <c r="AY4756" s="46">
        <f t="shared" si="224"/>
        <v>0</v>
      </c>
      <c r="AZ4756" s="46">
        <f t="shared" si="225"/>
        <v>0</v>
      </c>
    </row>
    <row r="4757" spans="50:52">
      <c r="AX4757" s="46">
        <f t="shared" si="223"/>
        <v>0</v>
      </c>
      <c r="AY4757" s="46">
        <f t="shared" si="224"/>
        <v>0</v>
      </c>
      <c r="AZ4757" s="46">
        <f t="shared" si="225"/>
        <v>0</v>
      </c>
    </row>
    <row r="4758" spans="50:52">
      <c r="AX4758" s="46">
        <f t="shared" si="223"/>
        <v>0</v>
      </c>
      <c r="AY4758" s="46">
        <f t="shared" si="224"/>
        <v>0</v>
      </c>
      <c r="AZ4758" s="46">
        <f t="shared" si="225"/>
        <v>0</v>
      </c>
    </row>
    <row r="4759" spans="50:52">
      <c r="AX4759" s="46">
        <f t="shared" si="223"/>
        <v>0</v>
      </c>
      <c r="AY4759" s="46">
        <f t="shared" si="224"/>
        <v>0</v>
      </c>
      <c r="AZ4759" s="46">
        <f t="shared" si="225"/>
        <v>0</v>
      </c>
    </row>
    <row r="4760" spans="50:52">
      <c r="AX4760" s="46">
        <f t="shared" si="223"/>
        <v>0</v>
      </c>
      <c r="AY4760" s="46">
        <f t="shared" si="224"/>
        <v>0</v>
      </c>
      <c r="AZ4760" s="46">
        <f t="shared" si="225"/>
        <v>0</v>
      </c>
    </row>
    <row r="4761" spans="50:52">
      <c r="AX4761" s="46">
        <f t="shared" si="223"/>
        <v>0</v>
      </c>
      <c r="AY4761" s="46">
        <f t="shared" si="224"/>
        <v>0</v>
      </c>
      <c r="AZ4761" s="46">
        <f t="shared" si="225"/>
        <v>0</v>
      </c>
    </row>
    <row r="4762" spans="50:52">
      <c r="AX4762" s="46">
        <f t="shared" si="223"/>
        <v>0</v>
      </c>
      <c r="AY4762" s="46">
        <f t="shared" si="224"/>
        <v>0</v>
      </c>
      <c r="AZ4762" s="46">
        <f t="shared" si="225"/>
        <v>0</v>
      </c>
    </row>
    <row r="4763" spans="50:52">
      <c r="AX4763" s="46">
        <f t="shared" si="223"/>
        <v>0</v>
      </c>
      <c r="AY4763" s="46">
        <f t="shared" si="224"/>
        <v>0</v>
      </c>
      <c r="AZ4763" s="46">
        <f t="shared" si="225"/>
        <v>0</v>
      </c>
    </row>
    <row r="4764" spans="50:52">
      <c r="AX4764" s="46">
        <f t="shared" si="223"/>
        <v>0</v>
      </c>
      <c r="AY4764" s="46">
        <f t="shared" si="224"/>
        <v>0</v>
      </c>
      <c r="AZ4764" s="46">
        <f t="shared" si="225"/>
        <v>0</v>
      </c>
    </row>
    <row r="4765" spans="50:52">
      <c r="AX4765" s="46">
        <f t="shared" si="223"/>
        <v>0</v>
      </c>
      <c r="AY4765" s="46">
        <f t="shared" si="224"/>
        <v>0</v>
      </c>
      <c r="AZ4765" s="46">
        <f t="shared" si="225"/>
        <v>0</v>
      </c>
    </row>
    <row r="4766" spans="50:52">
      <c r="AX4766" s="46">
        <f t="shared" si="223"/>
        <v>0</v>
      </c>
      <c r="AY4766" s="46">
        <f t="shared" si="224"/>
        <v>0</v>
      </c>
      <c r="AZ4766" s="46">
        <f t="shared" si="225"/>
        <v>0</v>
      </c>
    </row>
    <row r="4767" spans="50:52">
      <c r="AX4767" s="46">
        <f t="shared" si="223"/>
        <v>0</v>
      </c>
      <c r="AY4767" s="46">
        <f t="shared" si="224"/>
        <v>0</v>
      </c>
      <c r="AZ4767" s="46">
        <f t="shared" si="225"/>
        <v>0</v>
      </c>
    </row>
    <row r="4768" spans="50:52">
      <c r="AX4768" s="46">
        <f t="shared" si="223"/>
        <v>0</v>
      </c>
      <c r="AY4768" s="46">
        <f t="shared" si="224"/>
        <v>0</v>
      </c>
      <c r="AZ4768" s="46">
        <f t="shared" si="225"/>
        <v>0</v>
      </c>
    </row>
    <row r="4769" spans="50:52">
      <c r="AX4769" s="46">
        <f t="shared" si="223"/>
        <v>0</v>
      </c>
      <c r="AY4769" s="46">
        <f t="shared" si="224"/>
        <v>0</v>
      </c>
      <c r="AZ4769" s="46">
        <f t="shared" si="225"/>
        <v>0</v>
      </c>
    </row>
    <row r="4770" spans="50:52">
      <c r="AX4770" s="46">
        <f t="shared" si="223"/>
        <v>0</v>
      </c>
      <c r="AY4770" s="46">
        <f t="shared" si="224"/>
        <v>0</v>
      </c>
      <c r="AZ4770" s="46">
        <f t="shared" si="225"/>
        <v>0</v>
      </c>
    </row>
    <row r="4771" spans="50:52">
      <c r="AX4771" s="46">
        <f t="shared" si="223"/>
        <v>0</v>
      </c>
      <c r="AY4771" s="46">
        <f t="shared" si="224"/>
        <v>0</v>
      </c>
      <c r="AZ4771" s="46">
        <f t="shared" si="225"/>
        <v>0</v>
      </c>
    </row>
    <row r="4772" spans="50:52">
      <c r="AX4772" s="46">
        <f t="shared" si="223"/>
        <v>0</v>
      </c>
      <c r="AY4772" s="46">
        <f t="shared" si="224"/>
        <v>0</v>
      </c>
      <c r="AZ4772" s="46">
        <f t="shared" si="225"/>
        <v>0</v>
      </c>
    </row>
    <row r="4773" spans="50:52">
      <c r="AX4773" s="46">
        <f t="shared" si="223"/>
        <v>0</v>
      </c>
      <c r="AY4773" s="46">
        <f t="shared" si="224"/>
        <v>0</v>
      </c>
      <c r="AZ4773" s="46">
        <f t="shared" si="225"/>
        <v>0</v>
      </c>
    </row>
    <row r="4774" spans="50:52">
      <c r="AX4774" s="46">
        <f t="shared" si="223"/>
        <v>0</v>
      </c>
      <c r="AY4774" s="46">
        <f t="shared" si="224"/>
        <v>0</v>
      </c>
      <c r="AZ4774" s="46">
        <f t="shared" si="225"/>
        <v>0</v>
      </c>
    </row>
    <row r="4775" spans="50:52">
      <c r="AX4775" s="46">
        <f t="shared" si="223"/>
        <v>0</v>
      </c>
      <c r="AY4775" s="46">
        <f t="shared" si="224"/>
        <v>0</v>
      </c>
      <c r="AZ4775" s="46">
        <f t="shared" si="225"/>
        <v>0</v>
      </c>
    </row>
    <row r="4776" spans="50:52">
      <c r="AX4776" s="46">
        <f t="shared" si="223"/>
        <v>0</v>
      </c>
      <c r="AY4776" s="46">
        <f t="shared" si="224"/>
        <v>0</v>
      </c>
      <c r="AZ4776" s="46">
        <f t="shared" si="225"/>
        <v>0</v>
      </c>
    </row>
    <row r="4777" spans="50:52">
      <c r="AX4777" s="46">
        <f t="shared" si="223"/>
        <v>0</v>
      </c>
      <c r="AY4777" s="46">
        <f t="shared" si="224"/>
        <v>0</v>
      </c>
      <c r="AZ4777" s="46">
        <f t="shared" si="225"/>
        <v>0</v>
      </c>
    </row>
    <row r="4778" spans="50:52">
      <c r="AX4778" s="46">
        <f t="shared" si="223"/>
        <v>0</v>
      </c>
      <c r="AY4778" s="46">
        <f t="shared" si="224"/>
        <v>0</v>
      </c>
      <c r="AZ4778" s="46">
        <f t="shared" si="225"/>
        <v>0</v>
      </c>
    </row>
    <row r="4779" spans="50:52">
      <c r="AX4779" s="46">
        <f t="shared" si="223"/>
        <v>0</v>
      </c>
      <c r="AY4779" s="46">
        <f t="shared" si="224"/>
        <v>0</v>
      </c>
      <c r="AZ4779" s="46">
        <f t="shared" si="225"/>
        <v>0</v>
      </c>
    </row>
    <row r="4780" spans="50:52">
      <c r="AX4780" s="46">
        <f t="shared" si="223"/>
        <v>0</v>
      </c>
      <c r="AY4780" s="46">
        <f t="shared" si="224"/>
        <v>0</v>
      </c>
      <c r="AZ4780" s="46">
        <f t="shared" si="225"/>
        <v>0</v>
      </c>
    </row>
    <row r="4781" spans="50:52">
      <c r="AX4781" s="46">
        <f t="shared" si="223"/>
        <v>0</v>
      </c>
      <c r="AY4781" s="46">
        <f t="shared" si="224"/>
        <v>0</v>
      </c>
      <c r="AZ4781" s="46">
        <f t="shared" si="225"/>
        <v>0</v>
      </c>
    </row>
    <row r="4782" spans="50:52">
      <c r="AX4782" s="46">
        <f t="shared" si="223"/>
        <v>0</v>
      </c>
      <c r="AY4782" s="46">
        <f t="shared" si="224"/>
        <v>0</v>
      </c>
      <c r="AZ4782" s="46">
        <f t="shared" si="225"/>
        <v>0</v>
      </c>
    </row>
    <row r="4783" spans="50:52">
      <c r="AX4783" s="46">
        <f t="shared" si="223"/>
        <v>0</v>
      </c>
      <c r="AY4783" s="46">
        <f t="shared" si="224"/>
        <v>0</v>
      </c>
      <c r="AZ4783" s="46">
        <f t="shared" si="225"/>
        <v>0</v>
      </c>
    </row>
    <row r="4784" spans="50:52">
      <c r="AX4784" s="46">
        <f t="shared" si="223"/>
        <v>0</v>
      </c>
      <c r="AY4784" s="46">
        <f t="shared" si="224"/>
        <v>0</v>
      </c>
      <c r="AZ4784" s="46">
        <f t="shared" si="225"/>
        <v>0</v>
      </c>
    </row>
    <row r="4785" spans="50:52">
      <c r="AX4785" s="46">
        <f t="shared" si="223"/>
        <v>0</v>
      </c>
      <c r="AY4785" s="46">
        <f t="shared" si="224"/>
        <v>0</v>
      </c>
      <c r="AZ4785" s="46">
        <f t="shared" si="225"/>
        <v>0</v>
      </c>
    </row>
    <row r="4786" spans="50:52">
      <c r="AX4786" s="46">
        <f t="shared" si="223"/>
        <v>0</v>
      </c>
      <c r="AY4786" s="46">
        <f t="shared" si="224"/>
        <v>0</v>
      </c>
      <c r="AZ4786" s="46">
        <f t="shared" si="225"/>
        <v>0</v>
      </c>
    </row>
    <row r="4787" spans="50:52">
      <c r="AX4787" s="46">
        <f t="shared" si="223"/>
        <v>0</v>
      </c>
      <c r="AY4787" s="46">
        <f t="shared" si="224"/>
        <v>0</v>
      </c>
      <c r="AZ4787" s="46">
        <f t="shared" si="225"/>
        <v>0</v>
      </c>
    </row>
    <row r="4788" spans="50:52">
      <c r="AX4788" s="46">
        <f t="shared" si="223"/>
        <v>0</v>
      </c>
      <c r="AY4788" s="46">
        <f t="shared" si="224"/>
        <v>0</v>
      </c>
      <c r="AZ4788" s="46">
        <f t="shared" si="225"/>
        <v>0</v>
      </c>
    </row>
    <row r="4789" spans="50:52">
      <c r="AX4789" s="46">
        <f t="shared" si="223"/>
        <v>0</v>
      </c>
      <c r="AY4789" s="46">
        <f t="shared" si="224"/>
        <v>0</v>
      </c>
      <c r="AZ4789" s="46">
        <f t="shared" si="225"/>
        <v>0</v>
      </c>
    </row>
    <row r="4790" spans="50:52">
      <c r="AX4790" s="46">
        <f t="shared" si="223"/>
        <v>0</v>
      </c>
      <c r="AY4790" s="46">
        <f t="shared" si="224"/>
        <v>0</v>
      </c>
      <c r="AZ4790" s="46">
        <f t="shared" si="225"/>
        <v>0</v>
      </c>
    </row>
    <row r="4791" spans="50:52">
      <c r="AX4791" s="46">
        <f t="shared" si="223"/>
        <v>0</v>
      </c>
      <c r="AY4791" s="46">
        <f t="shared" si="224"/>
        <v>0</v>
      </c>
      <c r="AZ4791" s="46">
        <f t="shared" si="225"/>
        <v>0</v>
      </c>
    </row>
    <row r="4792" spans="50:52">
      <c r="AX4792" s="46">
        <f t="shared" si="223"/>
        <v>0</v>
      </c>
      <c r="AY4792" s="46">
        <f t="shared" si="224"/>
        <v>0</v>
      </c>
      <c r="AZ4792" s="46">
        <f t="shared" si="225"/>
        <v>0</v>
      </c>
    </row>
    <row r="4793" spans="50:52">
      <c r="AX4793" s="46">
        <f t="shared" si="223"/>
        <v>0</v>
      </c>
      <c r="AY4793" s="46">
        <f t="shared" si="224"/>
        <v>0</v>
      </c>
      <c r="AZ4793" s="46">
        <f t="shared" si="225"/>
        <v>0</v>
      </c>
    </row>
    <row r="4794" spans="50:52">
      <c r="AX4794" s="46">
        <f t="shared" si="223"/>
        <v>0</v>
      </c>
      <c r="AY4794" s="46">
        <f t="shared" si="224"/>
        <v>0</v>
      </c>
      <c r="AZ4794" s="46">
        <f t="shared" si="225"/>
        <v>0</v>
      </c>
    </row>
    <row r="4795" spans="50:52">
      <c r="AX4795" s="46">
        <f t="shared" si="223"/>
        <v>0</v>
      </c>
      <c r="AY4795" s="46">
        <f t="shared" si="224"/>
        <v>0</v>
      </c>
      <c r="AZ4795" s="46">
        <f t="shared" si="225"/>
        <v>0</v>
      </c>
    </row>
    <row r="4796" spans="50:52">
      <c r="AX4796" s="46">
        <f t="shared" si="223"/>
        <v>0</v>
      </c>
      <c r="AY4796" s="46">
        <f t="shared" si="224"/>
        <v>0</v>
      </c>
      <c r="AZ4796" s="46">
        <f t="shared" si="225"/>
        <v>0</v>
      </c>
    </row>
    <row r="4797" spans="50:52">
      <c r="AX4797" s="46">
        <f t="shared" si="223"/>
        <v>0</v>
      </c>
      <c r="AY4797" s="46">
        <f t="shared" si="224"/>
        <v>0</v>
      </c>
      <c r="AZ4797" s="46">
        <f t="shared" si="225"/>
        <v>0</v>
      </c>
    </row>
    <row r="4798" spans="50:52">
      <c r="AX4798" s="46">
        <f t="shared" si="223"/>
        <v>0</v>
      </c>
      <c r="AY4798" s="46">
        <f t="shared" si="224"/>
        <v>0</v>
      </c>
      <c r="AZ4798" s="46">
        <f t="shared" si="225"/>
        <v>0</v>
      </c>
    </row>
    <row r="4799" spans="50:52">
      <c r="AX4799" s="46">
        <f t="shared" si="223"/>
        <v>0</v>
      </c>
      <c r="AY4799" s="46">
        <f t="shared" si="224"/>
        <v>0</v>
      </c>
      <c r="AZ4799" s="46">
        <f t="shared" si="225"/>
        <v>0</v>
      </c>
    </row>
    <row r="4800" spans="50:52">
      <c r="AX4800" s="46">
        <f t="shared" si="223"/>
        <v>0</v>
      </c>
      <c r="AY4800" s="46">
        <f t="shared" si="224"/>
        <v>0</v>
      </c>
      <c r="AZ4800" s="46">
        <f t="shared" si="225"/>
        <v>0</v>
      </c>
    </row>
    <row r="4801" spans="50:52">
      <c r="AX4801" s="46">
        <f t="shared" si="223"/>
        <v>0</v>
      </c>
      <c r="AY4801" s="46">
        <f t="shared" si="224"/>
        <v>0</v>
      </c>
      <c r="AZ4801" s="46">
        <f t="shared" si="225"/>
        <v>0</v>
      </c>
    </row>
    <row r="4802" spans="50:52">
      <c r="AX4802" s="46">
        <f t="shared" si="223"/>
        <v>0</v>
      </c>
      <c r="AY4802" s="46">
        <f t="shared" si="224"/>
        <v>0</v>
      </c>
      <c r="AZ4802" s="46">
        <f t="shared" si="225"/>
        <v>0</v>
      </c>
    </row>
    <row r="4803" spans="50:52">
      <c r="AX4803" s="46">
        <f t="shared" si="223"/>
        <v>0</v>
      </c>
      <c r="AY4803" s="46">
        <f t="shared" si="224"/>
        <v>0</v>
      </c>
      <c r="AZ4803" s="46">
        <f t="shared" si="225"/>
        <v>0</v>
      </c>
    </row>
    <row r="4804" spans="50:52">
      <c r="AX4804" s="46">
        <f t="shared" si="223"/>
        <v>0</v>
      </c>
      <c r="AY4804" s="46">
        <f t="shared" si="224"/>
        <v>0</v>
      </c>
      <c r="AZ4804" s="46">
        <f t="shared" si="225"/>
        <v>0</v>
      </c>
    </row>
    <row r="4805" spans="50:52">
      <c r="AX4805" s="46">
        <f t="shared" si="223"/>
        <v>0</v>
      </c>
      <c r="AY4805" s="46">
        <f t="shared" si="224"/>
        <v>0</v>
      </c>
      <c r="AZ4805" s="46">
        <f t="shared" si="225"/>
        <v>0</v>
      </c>
    </row>
    <row r="4806" spans="50:52">
      <c r="AX4806" s="46">
        <f t="shared" si="223"/>
        <v>0</v>
      </c>
      <c r="AY4806" s="46">
        <f t="shared" si="224"/>
        <v>0</v>
      </c>
      <c r="AZ4806" s="46">
        <f t="shared" si="225"/>
        <v>0</v>
      </c>
    </row>
    <row r="4807" spans="50:52">
      <c r="AX4807" s="46">
        <f t="shared" si="223"/>
        <v>0</v>
      </c>
      <c r="AY4807" s="46">
        <f t="shared" si="224"/>
        <v>0</v>
      </c>
      <c r="AZ4807" s="46">
        <f t="shared" si="225"/>
        <v>0</v>
      </c>
    </row>
    <row r="4808" spans="50:52">
      <c r="AX4808" s="46">
        <f t="shared" si="223"/>
        <v>0</v>
      </c>
      <c r="AY4808" s="46">
        <f t="shared" si="224"/>
        <v>0</v>
      </c>
      <c r="AZ4808" s="46">
        <f t="shared" si="225"/>
        <v>0</v>
      </c>
    </row>
    <row r="4809" spans="50:52">
      <c r="AX4809" s="46">
        <f t="shared" si="223"/>
        <v>0</v>
      </c>
      <c r="AY4809" s="46">
        <f t="shared" si="224"/>
        <v>0</v>
      </c>
      <c r="AZ4809" s="46">
        <f t="shared" si="225"/>
        <v>0</v>
      </c>
    </row>
    <row r="4810" spans="50:52">
      <c r="AX4810" s="46">
        <f t="shared" si="223"/>
        <v>0</v>
      </c>
      <c r="AY4810" s="46">
        <f t="shared" si="224"/>
        <v>0</v>
      </c>
      <c r="AZ4810" s="46">
        <f t="shared" si="225"/>
        <v>0</v>
      </c>
    </row>
    <row r="4811" spans="50:52">
      <c r="AX4811" s="46">
        <f t="shared" ref="AX4811:AX4874" si="226">IFERROR(SUM(Q4811:AS4811)-SUM(AT4811:AU4811)+AV4811,"-")</f>
        <v>0</v>
      </c>
      <c r="AY4811" s="46">
        <f t="shared" ref="AY4811:AY4874" si="227">IFERROR(SUM(Q4811:AS4811)-SUM(AT4811:AT4811),"-")</f>
        <v>0</v>
      </c>
      <c r="AZ4811" s="46">
        <f t="shared" ref="AZ4811:AZ4874" si="228">SUM(Q4811:AS4811)</f>
        <v>0</v>
      </c>
    </row>
    <row r="4812" spans="50:52">
      <c r="AX4812" s="46">
        <f t="shared" si="226"/>
        <v>0</v>
      </c>
      <c r="AY4812" s="46">
        <f t="shared" si="227"/>
        <v>0</v>
      </c>
      <c r="AZ4812" s="46">
        <f t="shared" si="228"/>
        <v>0</v>
      </c>
    </row>
    <row r="4813" spans="50:52">
      <c r="AX4813" s="46">
        <f t="shared" si="226"/>
        <v>0</v>
      </c>
      <c r="AY4813" s="46">
        <f t="shared" si="227"/>
        <v>0</v>
      </c>
      <c r="AZ4813" s="46">
        <f t="shared" si="228"/>
        <v>0</v>
      </c>
    </row>
    <row r="4814" spans="50:52">
      <c r="AX4814" s="46">
        <f t="shared" si="226"/>
        <v>0</v>
      </c>
      <c r="AY4814" s="46">
        <f t="shared" si="227"/>
        <v>0</v>
      </c>
      <c r="AZ4814" s="46">
        <f t="shared" si="228"/>
        <v>0</v>
      </c>
    </row>
    <row r="4815" spans="50:52">
      <c r="AX4815" s="46">
        <f t="shared" si="226"/>
        <v>0</v>
      </c>
      <c r="AY4815" s="46">
        <f t="shared" si="227"/>
        <v>0</v>
      </c>
      <c r="AZ4815" s="46">
        <f t="shared" si="228"/>
        <v>0</v>
      </c>
    </row>
    <row r="4816" spans="50:52">
      <c r="AX4816" s="46">
        <f t="shared" si="226"/>
        <v>0</v>
      </c>
      <c r="AY4816" s="46">
        <f t="shared" si="227"/>
        <v>0</v>
      </c>
      <c r="AZ4816" s="46">
        <f t="shared" si="228"/>
        <v>0</v>
      </c>
    </row>
    <row r="4817" spans="50:52">
      <c r="AX4817" s="46">
        <f t="shared" si="226"/>
        <v>0</v>
      </c>
      <c r="AY4817" s="46">
        <f t="shared" si="227"/>
        <v>0</v>
      </c>
      <c r="AZ4817" s="46">
        <f t="shared" si="228"/>
        <v>0</v>
      </c>
    </row>
    <row r="4818" spans="50:52">
      <c r="AX4818" s="46">
        <f t="shared" si="226"/>
        <v>0</v>
      </c>
      <c r="AY4818" s="46">
        <f t="shared" si="227"/>
        <v>0</v>
      </c>
      <c r="AZ4818" s="46">
        <f t="shared" si="228"/>
        <v>0</v>
      </c>
    </row>
    <row r="4819" spans="50:52">
      <c r="AX4819" s="46">
        <f t="shared" si="226"/>
        <v>0</v>
      </c>
      <c r="AY4819" s="46">
        <f t="shared" si="227"/>
        <v>0</v>
      </c>
      <c r="AZ4819" s="46">
        <f t="shared" si="228"/>
        <v>0</v>
      </c>
    </row>
    <row r="4820" spans="50:52">
      <c r="AX4820" s="46">
        <f t="shared" si="226"/>
        <v>0</v>
      </c>
      <c r="AY4820" s="46">
        <f t="shared" si="227"/>
        <v>0</v>
      </c>
      <c r="AZ4820" s="46">
        <f t="shared" si="228"/>
        <v>0</v>
      </c>
    </row>
    <row r="4821" spans="50:52">
      <c r="AX4821" s="46">
        <f t="shared" si="226"/>
        <v>0</v>
      </c>
      <c r="AY4821" s="46">
        <f t="shared" si="227"/>
        <v>0</v>
      </c>
      <c r="AZ4821" s="46">
        <f t="shared" si="228"/>
        <v>0</v>
      </c>
    </row>
    <row r="4822" spans="50:52">
      <c r="AX4822" s="46">
        <f t="shared" si="226"/>
        <v>0</v>
      </c>
      <c r="AY4822" s="46">
        <f t="shared" si="227"/>
        <v>0</v>
      </c>
      <c r="AZ4822" s="46">
        <f t="shared" si="228"/>
        <v>0</v>
      </c>
    </row>
    <row r="4823" spans="50:52">
      <c r="AX4823" s="46">
        <f t="shared" si="226"/>
        <v>0</v>
      </c>
      <c r="AY4823" s="46">
        <f t="shared" si="227"/>
        <v>0</v>
      </c>
      <c r="AZ4823" s="46">
        <f t="shared" si="228"/>
        <v>0</v>
      </c>
    </row>
    <row r="4824" spans="50:52">
      <c r="AX4824" s="46">
        <f t="shared" si="226"/>
        <v>0</v>
      </c>
      <c r="AY4824" s="46">
        <f t="shared" si="227"/>
        <v>0</v>
      </c>
      <c r="AZ4824" s="46">
        <f t="shared" si="228"/>
        <v>0</v>
      </c>
    </row>
    <row r="4825" spans="50:52">
      <c r="AX4825" s="46">
        <f t="shared" si="226"/>
        <v>0</v>
      </c>
      <c r="AY4825" s="46">
        <f t="shared" si="227"/>
        <v>0</v>
      </c>
      <c r="AZ4825" s="46">
        <f t="shared" si="228"/>
        <v>0</v>
      </c>
    </row>
    <row r="4826" spans="50:52">
      <c r="AX4826" s="46">
        <f t="shared" si="226"/>
        <v>0</v>
      </c>
      <c r="AY4826" s="46">
        <f t="shared" si="227"/>
        <v>0</v>
      </c>
      <c r="AZ4826" s="46">
        <f t="shared" si="228"/>
        <v>0</v>
      </c>
    </row>
    <row r="4827" spans="50:52">
      <c r="AX4827" s="46">
        <f t="shared" si="226"/>
        <v>0</v>
      </c>
      <c r="AY4827" s="46">
        <f t="shared" si="227"/>
        <v>0</v>
      </c>
      <c r="AZ4827" s="46">
        <f t="shared" si="228"/>
        <v>0</v>
      </c>
    </row>
    <row r="4828" spans="50:52">
      <c r="AX4828" s="46">
        <f t="shared" si="226"/>
        <v>0</v>
      </c>
      <c r="AY4828" s="46">
        <f t="shared" si="227"/>
        <v>0</v>
      </c>
      <c r="AZ4828" s="46">
        <f t="shared" si="228"/>
        <v>0</v>
      </c>
    </row>
    <row r="4829" spans="50:52">
      <c r="AX4829" s="46">
        <f t="shared" si="226"/>
        <v>0</v>
      </c>
      <c r="AY4829" s="46">
        <f t="shared" si="227"/>
        <v>0</v>
      </c>
      <c r="AZ4829" s="46">
        <f t="shared" si="228"/>
        <v>0</v>
      </c>
    </row>
    <row r="4830" spans="50:52">
      <c r="AX4830" s="46">
        <f t="shared" si="226"/>
        <v>0</v>
      </c>
      <c r="AY4830" s="46">
        <f t="shared" si="227"/>
        <v>0</v>
      </c>
      <c r="AZ4830" s="46">
        <f t="shared" si="228"/>
        <v>0</v>
      </c>
    </row>
    <row r="4831" spans="50:52">
      <c r="AX4831" s="46">
        <f t="shared" si="226"/>
        <v>0</v>
      </c>
      <c r="AY4831" s="46">
        <f t="shared" si="227"/>
        <v>0</v>
      </c>
      <c r="AZ4831" s="46">
        <f t="shared" si="228"/>
        <v>0</v>
      </c>
    </row>
    <row r="4832" spans="50:52">
      <c r="AX4832" s="46">
        <f t="shared" si="226"/>
        <v>0</v>
      </c>
      <c r="AY4832" s="46">
        <f t="shared" si="227"/>
        <v>0</v>
      </c>
      <c r="AZ4832" s="46">
        <f t="shared" si="228"/>
        <v>0</v>
      </c>
    </row>
    <row r="4833" spans="50:52">
      <c r="AX4833" s="46">
        <f t="shared" si="226"/>
        <v>0</v>
      </c>
      <c r="AY4833" s="46">
        <f t="shared" si="227"/>
        <v>0</v>
      </c>
      <c r="AZ4833" s="46">
        <f t="shared" si="228"/>
        <v>0</v>
      </c>
    </row>
    <row r="4834" spans="50:52">
      <c r="AX4834" s="46">
        <f t="shared" si="226"/>
        <v>0</v>
      </c>
      <c r="AY4834" s="46">
        <f t="shared" si="227"/>
        <v>0</v>
      </c>
      <c r="AZ4834" s="46">
        <f t="shared" si="228"/>
        <v>0</v>
      </c>
    </row>
    <row r="4835" spans="50:52">
      <c r="AX4835" s="46">
        <f t="shared" si="226"/>
        <v>0</v>
      </c>
      <c r="AY4835" s="46">
        <f t="shared" si="227"/>
        <v>0</v>
      </c>
      <c r="AZ4835" s="46">
        <f t="shared" si="228"/>
        <v>0</v>
      </c>
    </row>
    <row r="4836" spans="50:52">
      <c r="AX4836" s="46">
        <f t="shared" si="226"/>
        <v>0</v>
      </c>
      <c r="AY4836" s="46">
        <f t="shared" si="227"/>
        <v>0</v>
      </c>
      <c r="AZ4836" s="46">
        <f t="shared" si="228"/>
        <v>0</v>
      </c>
    </row>
    <row r="4837" spans="50:52">
      <c r="AX4837" s="46">
        <f t="shared" si="226"/>
        <v>0</v>
      </c>
      <c r="AY4837" s="46">
        <f t="shared" si="227"/>
        <v>0</v>
      </c>
      <c r="AZ4837" s="46">
        <f t="shared" si="228"/>
        <v>0</v>
      </c>
    </row>
    <row r="4838" spans="50:52">
      <c r="AX4838" s="46">
        <f t="shared" si="226"/>
        <v>0</v>
      </c>
      <c r="AY4838" s="46">
        <f t="shared" si="227"/>
        <v>0</v>
      </c>
      <c r="AZ4838" s="46">
        <f t="shared" si="228"/>
        <v>0</v>
      </c>
    </row>
    <row r="4839" spans="50:52">
      <c r="AX4839" s="46">
        <f t="shared" si="226"/>
        <v>0</v>
      </c>
      <c r="AY4839" s="46">
        <f t="shared" si="227"/>
        <v>0</v>
      </c>
      <c r="AZ4839" s="46">
        <f t="shared" si="228"/>
        <v>0</v>
      </c>
    </row>
    <row r="4840" spans="50:52">
      <c r="AX4840" s="46">
        <f t="shared" si="226"/>
        <v>0</v>
      </c>
      <c r="AY4840" s="46">
        <f t="shared" si="227"/>
        <v>0</v>
      </c>
      <c r="AZ4840" s="46">
        <f t="shared" si="228"/>
        <v>0</v>
      </c>
    </row>
    <row r="4841" spans="50:52">
      <c r="AX4841" s="46">
        <f t="shared" si="226"/>
        <v>0</v>
      </c>
      <c r="AY4841" s="46">
        <f t="shared" si="227"/>
        <v>0</v>
      </c>
      <c r="AZ4841" s="46">
        <f t="shared" si="228"/>
        <v>0</v>
      </c>
    </row>
    <row r="4842" spans="50:52">
      <c r="AX4842" s="46">
        <f t="shared" si="226"/>
        <v>0</v>
      </c>
      <c r="AY4842" s="46">
        <f t="shared" si="227"/>
        <v>0</v>
      </c>
      <c r="AZ4842" s="46">
        <f t="shared" si="228"/>
        <v>0</v>
      </c>
    </row>
    <row r="4843" spans="50:52">
      <c r="AX4843" s="46">
        <f t="shared" si="226"/>
        <v>0</v>
      </c>
      <c r="AY4843" s="46">
        <f t="shared" si="227"/>
        <v>0</v>
      </c>
      <c r="AZ4843" s="46">
        <f t="shared" si="228"/>
        <v>0</v>
      </c>
    </row>
    <row r="4844" spans="50:52">
      <c r="AX4844" s="46">
        <f t="shared" si="226"/>
        <v>0</v>
      </c>
      <c r="AY4844" s="46">
        <f t="shared" si="227"/>
        <v>0</v>
      </c>
      <c r="AZ4844" s="46">
        <f t="shared" si="228"/>
        <v>0</v>
      </c>
    </row>
    <row r="4845" spans="50:52">
      <c r="AX4845" s="46">
        <f t="shared" si="226"/>
        <v>0</v>
      </c>
      <c r="AY4845" s="46">
        <f t="shared" si="227"/>
        <v>0</v>
      </c>
      <c r="AZ4845" s="46">
        <f t="shared" si="228"/>
        <v>0</v>
      </c>
    </row>
    <row r="4846" spans="50:52">
      <c r="AX4846" s="46">
        <f t="shared" si="226"/>
        <v>0</v>
      </c>
      <c r="AY4846" s="46">
        <f t="shared" si="227"/>
        <v>0</v>
      </c>
      <c r="AZ4846" s="46">
        <f t="shared" si="228"/>
        <v>0</v>
      </c>
    </row>
    <row r="4847" spans="50:52">
      <c r="AX4847" s="46">
        <f t="shared" si="226"/>
        <v>0</v>
      </c>
      <c r="AY4847" s="46">
        <f t="shared" si="227"/>
        <v>0</v>
      </c>
      <c r="AZ4847" s="46">
        <f t="shared" si="228"/>
        <v>0</v>
      </c>
    </row>
    <row r="4848" spans="50:52">
      <c r="AX4848" s="46">
        <f t="shared" si="226"/>
        <v>0</v>
      </c>
      <c r="AY4848" s="46">
        <f t="shared" si="227"/>
        <v>0</v>
      </c>
      <c r="AZ4848" s="46">
        <f t="shared" si="228"/>
        <v>0</v>
      </c>
    </row>
    <row r="4849" spans="50:52">
      <c r="AX4849" s="46">
        <f t="shared" si="226"/>
        <v>0</v>
      </c>
      <c r="AY4849" s="46">
        <f t="shared" si="227"/>
        <v>0</v>
      </c>
      <c r="AZ4849" s="46">
        <f t="shared" si="228"/>
        <v>0</v>
      </c>
    </row>
    <row r="4850" spans="50:52">
      <c r="AX4850" s="46">
        <f t="shared" si="226"/>
        <v>0</v>
      </c>
      <c r="AY4850" s="46">
        <f t="shared" si="227"/>
        <v>0</v>
      </c>
      <c r="AZ4850" s="46">
        <f t="shared" si="228"/>
        <v>0</v>
      </c>
    </row>
    <row r="4851" spans="50:52">
      <c r="AX4851" s="46">
        <f t="shared" si="226"/>
        <v>0</v>
      </c>
      <c r="AY4851" s="46">
        <f t="shared" si="227"/>
        <v>0</v>
      </c>
      <c r="AZ4851" s="46">
        <f t="shared" si="228"/>
        <v>0</v>
      </c>
    </row>
    <row r="4852" spans="50:52">
      <c r="AX4852" s="46">
        <f t="shared" si="226"/>
        <v>0</v>
      </c>
      <c r="AY4852" s="46">
        <f t="shared" si="227"/>
        <v>0</v>
      </c>
      <c r="AZ4852" s="46">
        <f t="shared" si="228"/>
        <v>0</v>
      </c>
    </row>
    <row r="4853" spans="50:52">
      <c r="AX4853" s="46">
        <f t="shared" si="226"/>
        <v>0</v>
      </c>
      <c r="AY4853" s="46">
        <f t="shared" si="227"/>
        <v>0</v>
      </c>
      <c r="AZ4853" s="46">
        <f t="shared" si="228"/>
        <v>0</v>
      </c>
    </row>
    <row r="4854" spans="50:52">
      <c r="AX4854" s="46">
        <f t="shared" si="226"/>
        <v>0</v>
      </c>
      <c r="AY4854" s="46">
        <f t="shared" si="227"/>
        <v>0</v>
      </c>
      <c r="AZ4854" s="46">
        <f t="shared" si="228"/>
        <v>0</v>
      </c>
    </row>
    <row r="4855" spans="50:52">
      <c r="AX4855" s="46">
        <f t="shared" si="226"/>
        <v>0</v>
      </c>
      <c r="AY4855" s="46">
        <f t="shared" si="227"/>
        <v>0</v>
      </c>
      <c r="AZ4855" s="46">
        <f t="shared" si="228"/>
        <v>0</v>
      </c>
    </row>
    <row r="4856" spans="50:52">
      <c r="AX4856" s="46">
        <f t="shared" si="226"/>
        <v>0</v>
      </c>
      <c r="AY4856" s="46">
        <f t="shared" si="227"/>
        <v>0</v>
      </c>
      <c r="AZ4856" s="46">
        <f t="shared" si="228"/>
        <v>0</v>
      </c>
    </row>
    <row r="4857" spans="50:52">
      <c r="AX4857" s="46">
        <f t="shared" si="226"/>
        <v>0</v>
      </c>
      <c r="AY4857" s="46">
        <f t="shared" si="227"/>
        <v>0</v>
      </c>
      <c r="AZ4857" s="46">
        <f t="shared" si="228"/>
        <v>0</v>
      </c>
    </row>
    <row r="4858" spans="50:52">
      <c r="AX4858" s="46">
        <f t="shared" si="226"/>
        <v>0</v>
      </c>
      <c r="AY4858" s="46">
        <f t="shared" si="227"/>
        <v>0</v>
      </c>
      <c r="AZ4858" s="46">
        <f t="shared" si="228"/>
        <v>0</v>
      </c>
    </row>
    <row r="4859" spans="50:52">
      <c r="AX4859" s="46">
        <f t="shared" si="226"/>
        <v>0</v>
      </c>
      <c r="AY4859" s="46">
        <f t="shared" si="227"/>
        <v>0</v>
      </c>
      <c r="AZ4859" s="46">
        <f t="shared" si="228"/>
        <v>0</v>
      </c>
    </row>
    <row r="4860" spans="50:52">
      <c r="AX4860" s="46">
        <f t="shared" si="226"/>
        <v>0</v>
      </c>
      <c r="AY4860" s="46">
        <f t="shared" si="227"/>
        <v>0</v>
      </c>
      <c r="AZ4860" s="46">
        <f t="shared" si="228"/>
        <v>0</v>
      </c>
    </row>
    <row r="4861" spans="50:52">
      <c r="AX4861" s="46">
        <f t="shared" si="226"/>
        <v>0</v>
      </c>
      <c r="AY4861" s="46">
        <f t="shared" si="227"/>
        <v>0</v>
      </c>
      <c r="AZ4861" s="46">
        <f t="shared" si="228"/>
        <v>0</v>
      </c>
    </row>
    <row r="4862" spans="50:52">
      <c r="AX4862" s="46">
        <f t="shared" si="226"/>
        <v>0</v>
      </c>
      <c r="AY4862" s="46">
        <f t="shared" si="227"/>
        <v>0</v>
      </c>
      <c r="AZ4862" s="46">
        <f t="shared" si="228"/>
        <v>0</v>
      </c>
    </row>
    <row r="4863" spans="50:52">
      <c r="AX4863" s="46">
        <f t="shared" si="226"/>
        <v>0</v>
      </c>
      <c r="AY4863" s="46">
        <f t="shared" si="227"/>
        <v>0</v>
      </c>
      <c r="AZ4863" s="46">
        <f t="shared" si="228"/>
        <v>0</v>
      </c>
    </row>
    <row r="4864" spans="50:52">
      <c r="AX4864" s="46">
        <f t="shared" si="226"/>
        <v>0</v>
      </c>
      <c r="AY4864" s="46">
        <f t="shared" si="227"/>
        <v>0</v>
      </c>
      <c r="AZ4864" s="46">
        <f t="shared" si="228"/>
        <v>0</v>
      </c>
    </row>
    <row r="4865" spans="50:52">
      <c r="AX4865" s="46">
        <f t="shared" si="226"/>
        <v>0</v>
      </c>
      <c r="AY4865" s="46">
        <f t="shared" si="227"/>
        <v>0</v>
      </c>
      <c r="AZ4865" s="46">
        <f t="shared" si="228"/>
        <v>0</v>
      </c>
    </row>
    <row r="4866" spans="50:52">
      <c r="AX4866" s="46">
        <f t="shared" si="226"/>
        <v>0</v>
      </c>
      <c r="AY4866" s="46">
        <f t="shared" si="227"/>
        <v>0</v>
      </c>
      <c r="AZ4866" s="46">
        <f t="shared" si="228"/>
        <v>0</v>
      </c>
    </row>
    <row r="4867" spans="50:52">
      <c r="AX4867" s="46">
        <f t="shared" si="226"/>
        <v>0</v>
      </c>
      <c r="AY4867" s="46">
        <f t="shared" si="227"/>
        <v>0</v>
      </c>
      <c r="AZ4867" s="46">
        <f t="shared" si="228"/>
        <v>0</v>
      </c>
    </row>
    <row r="4868" spans="50:52">
      <c r="AX4868" s="46">
        <f t="shared" si="226"/>
        <v>0</v>
      </c>
      <c r="AY4868" s="46">
        <f t="shared" si="227"/>
        <v>0</v>
      </c>
      <c r="AZ4868" s="46">
        <f t="shared" si="228"/>
        <v>0</v>
      </c>
    </row>
    <row r="4869" spans="50:52">
      <c r="AX4869" s="46">
        <f t="shared" si="226"/>
        <v>0</v>
      </c>
      <c r="AY4869" s="46">
        <f t="shared" si="227"/>
        <v>0</v>
      </c>
      <c r="AZ4869" s="46">
        <f t="shared" si="228"/>
        <v>0</v>
      </c>
    </row>
    <row r="4870" spans="50:52">
      <c r="AX4870" s="46">
        <f t="shared" si="226"/>
        <v>0</v>
      </c>
      <c r="AY4870" s="46">
        <f t="shared" si="227"/>
        <v>0</v>
      </c>
      <c r="AZ4870" s="46">
        <f t="shared" si="228"/>
        <v>0</v>
      </c>
    </row>
    <row r="4871" spans="50:52">
      <c r="AX4871" s="46">
        <f t="shared" si="226"/>
        <v>0</v>
      </c>
      <c r="AY4871" s="46">
        <f t="shared" si="227"/>
        <v>0</v>
      </c>
      <c r="AZ4871" s="46">
        <f t="shared" si="228"/>
        <v>0</v>
      </c>
    </row>
    <row r="4872" spans="50:52">
      <c r="AX4872" s="46">
        <f t="shared" si="226"/>
        <v>0</v>
      </c>
      <c r="AY4872" s="46">
        <f t="shared" si="227"/>
        <v>0</v>
      </c>
      <c r="AZ4872" s="46">
        <f t="shared" si="228"/>
        <v>0</v>
      </c>
    </row>
    <row r="4873" spans="50:52">
      <c r="AX4873" s="46">
        <f t="shared" si="226"/>
        <v>0</v>
      </c>
      <c r="AY4873" s="46">
        <f t="shared" si="227"/>
        <v>0</v>
      </c>
      <c r="AZ4873" s="46">
        <f t="shared" si="228"/>
        <v>0</v>
      </c>
    </row>
    <row r="4874" spans="50:52">
      <c r="AX4874" s="46">
        <f t="shared" si="226"/>
        <v>0</v>
      </c>
      <c r="AY4874" s="46">
        <f t="shared" si="227"/>
        <v>0</v>
      </c>
      <c r="AZ4874" s="46">
        <f t="shared" si="228"/>
        <v>0</v>
      </c>
    </row>
    <row r="4875" spans="50:52">
      <c r="AX4875" s="46">
        <f t="shared" ref="AX4875:AX4938" si="229">IFERROR(SUM(Q4875:AS4875)-SUM(AT4875:AU4875)+AV4875,"-")</f>
        <v>0</v>
      </c>
      <c r="AY4875" s="46">
        <f t="shared" ref="AY4875:AY4938" si="230">IFERROR(SUM(Q4875:AS4875)-SUM(AT4875:AT4875),"-")</f>
        <v>0</v>
      </c>
      <c r="AZ4875" s="46">
        <f t="shared" ref="AZ4875:AZ4938" si="231">SUM(Q4875:AS4875)</f>
        <v>0</v>
      </c>
    </row>
    <row r="4876" spans="50:52">
      <c r="AX4876" s="46">
        <f t="shared" si="229"/>
        <v>0</v>
      </c>
      <c r="AY4876" s="46">
        <f t="shared" si="230"/>
        <v>0</v>
      </c>
      <c r="AZ4876" s="46">
        <f t="shared" si="231"/>
        <v>0</v>
      </c>
    </row>
    <row r="4877" spans="50:52">
      <c r="AX4877" s="46">
        <f t="shared" si="229"/>
        <v>0</v>
      </c>
      <c r="AY4877" s="46">
        <f t="shared" si="230"/>
        <v>0</v>
      </c>
      <c r="AZ4877" s="46">
        <f t="shared" si="231"/>
        <v>0</v>
      </c>
    </row>
    <row r="4878" spans="50:52">
      <c r="AX4878" s="46">
        <f t="shared" si="229"/>
        <v>0</v>
      </c>
      <c r="AY4878" s="46">
        <f t="shared" si="230"/>
        <v>0</v>
      </c>
      <c r="AZ4878" s="46">
        <f t="shared" si="231"/>
        <v>0</v>
      </c>
    </row>
    <row r="4879" spans="50:52">
      <c r="AX4879" s="46">
        <f t="shared" si="229"/>
        <v>0</v>
      </c>
      <c r="AY4879" s="46">
        <f t="shared" si="230"/>
        <v>0</v>
      </c>
      <c r="AZ4879" s="46">
        <f t="shared" si="231"/>
        <v>0</v>
      </c>
    </row>
    <row r="4880" spans="50:52">
      <c r="AX4880" s="46">
        <f t="shared" si="229"/>
        <v>0</v>
      </c>
      <c r="AY4880" s="46">
        <f t="shared" si="230"/>
        <v>0</v>
      </c>
      <c r="AZ4880" s="46">
        <f t="shared" si="231"/>
        <v>0</v>
      </c>
    </row>
    <row r="4881" spans="50:52">
      <c r="AX4881" s="46">
        <f t="shared" si="229"/>
        <v>0</v>
      </c>
      <c r="AY4881" s="46">
        <f t="shared" si="230"/>
        <v>0</v>
      </c>
      <c r="AZ4881" s="46">
        <f t="shared" si="231"/>
        <v>0</v>
      </c>
    </row>
    <row r="4882" spans="50:52">
      <c r="AX4882" s="46">
        <f t="shared" si="229"/>
        <v>0</v>
      </c>
      <c r="AY4882" s="46">
        <f t="shared" si="230"/>
        <v>0</v>
      </c>
      <c r="AZ4882" s="46">
        <f t="shared" si="231"/>
        <v>0</v>
      </c>
    </row>
    <row r="4883" spans="50:52">
      <c r="AX4883" s="46">
        <f t="shared" si="229"/>
        <v>0</v>
      </c>
      <c r="AY4883" s="46">
        <f t="shared" si="230"/>
        <v>0</v>
      </c>
      <c r="AZ4883" s="46">
        <f t="shared" si="231"/>
        <v>0</v>
      </c>
    </row>
    <row r="4884" spans="50:52">
      <c r="AX4884" s="46">
        <f t="shared" si="229"/>
        <v>0</v>
      </c>
      <c r="AY4884" s="46">
        <f t="shared" si="230"/>
        <v>0</v>
      </c>
      <c r="AZ4884" s="46">
        <f t="shared" si="231"/>
        <v>0</v>
      </c>
    </row>
    <row r="4885" spans="50:52">
      <c r="AX4885" s="46">
        <f t="shared" si="229"/>
        <v>0</v>
      </c>
      <c r="AY4885" s="46">
        <f t="shared" si="230"/>
        <v>0</v>
      </c>
      <c r="AZ4885" s="46">
        <f t="shared" si="231"/>
        <v>0</v>
      </c>
    </row>
    <row r="4886" spans="50:52">
      <c r="AX4886" s="46">
        <f t="shared" si="229"/>
        <v>0</v>
      </c>
      <c r="AY4886" s="46">
        <f t="shared" si="230"/>
        <v>0</v>
      </c>
      <c r="AZ4886" s="46">
        <f t="shared" si="231"/>
        <v>0</v>
      </c>
    </row>
    <row r="4887" spans="50:52">
      <c r="AX4887" s="46">
        <f t="shared" si="229"/>
        <v>0</v>
      </c>
      <c r="AY4887" s="46">
        <f t="shared" si="230"/>
        <v>0</v>
      </c>
      <c r="AZ4887" s="46">
        <f t="shared" si="231"/>
        <v>0</v>
      </c>
    </row>
    <row r="4888" spans="50:52">
      <c r="AX4888" s="46">
        <f t="shared" si="229"/>
        <v>0</v>
      </c>
      <c r="AY4888" s="46">
        <f t="shared" si="230"/>
        <v>0</v>
      </c>
      <c r="AZ4888" s="46">
        <f t="shared" si="231"/>
        <v>0</v>
      </c>
    </row>
    <row r="4889" spans="50:52">
      <c r="AX4889" s="46">
        <f t="shared" si="229"/>
        <v>0</v>
      </c>
      <c r="AY4889" s="46">
        <f t="shared" si="230"/>
        <v>0</v>
      </c>
      <c r="AZ4889" s="46">
        <f t="shared" si="231"/>
        <v>0</v>
      </c>
    </row>
    <row r="4890" spans="50:52">
      <c r="AX4890" s="46">
        <f t="shared" si="229"/>
        <v>0</v>
      </c>
      <c r="AY4890" s="46">
        <f t="shared" si="230"/>
        <v>0</v>
      </c>
      <c r="AZ4890" s="46">
        <f t="shared" si="231"/>
        <v>0</v>
      </c>
    </row>
    <row r="4891" spans="50:52">
      <c r="AX4891" s="46">
        <f t="shared" si="229"/>
        <v>0</v>
      </c>
      <c r="AY4891" s="46">
        <f t="shared" si="230"/>
        <v>0</v>
      </c>
      <c r="AZ4891" s="46">
        <f t="shared" si="231"/>
        <v>0</v>
      </c>
    </row>
    <row r="4892" spans="50:52">
      <c r="AX4892" s="46">
        <f t="shared" si="229"/>
        <v>0</v>
      </c>
      <c r="AY4892" s="46">
        <f t="shared" si="230"/>
        <v>0</v>
      </c>
      <c r="AZ4892" s="46">
        <f t="shared" si="231"/>
        <v>0</v>
      </c>
    </row>
    <row r="4893" spans="50:52">
      <c r="AX4893" s="46">
        <f t="shared" si="229"/>
        <v>0</v>
      </c>
      <c r="AY4893" s="46">
        <f t="shared" si="230"/>
        <v>0</v>
      </c>
      <c r="AZ4893" s="46">
        <f t="shared" si="231"/>
        <v>0</v>
      </c>
    </row>
    <row r="4894" spans="50:52">
      <c r="AX4894" s="46">
        <f t="shared" si="229"/>
        <v>0</v>
      </c>
      <c r="AY4894" s="46">
        <f t="shared" si="230"/>
        <v>0</v>
      </c>
      <c r="AZ4894" s="46">
        <f t="shared" si="231"/>
        <v>0</v>
      </c>
    </row>
    <row r="4895" spans="50:52">
      <c r="AX4895" s="46">
        <f t="shared" si="229"/>
        <v>0</v>
      </c>
      <c r="AY4895" s="46">
        <f t="shared" si="230"/>
        <v>0</v>
      </c>
      <c r="AZ4895" s="46">
        <f t="shared" si="231"/>
        <v>0</v>
      </c>
    </row>
    <row r="4896" spans="50:52">
      <c r="AX4896" s="46">
        <f t="shared" si="229"/>
        <v>0</v>
      </c>
      <c r="AY4896" s="46">
        <f t="shared" si="230"/>
        <v>0</v>
      </c>
      <c r="AZ4896" s="46">
        <f t="shared" si="231"/>
        <v>0</v>
      </c>
    </row>
    <row r="4897" spans="50:52">
      <c r="AX4897" s="46">
        <f t="shared" si="229"/>
        <v>0</v>
      </c>
      <c r="AY4897" s="46">
        <f t="shared" si="230"/>
        <v>0</v>
      </c>
      <c r="AZ4897" s="46">
        <f t="shared" si="231"/>
        <v>0</v>
      </c>
    </row>
    <row r="4898" spans="50:52">
      <c r="AX4898" s="46">
        <f t="shared" si="229"/>
        <v>0</v>
      </c>
      <c r="AY4898" s="46">
        <f t="shared" si="230"/>
        <v>0</v>
      </c>
      <c r="AZ4898" s="46">
        <f t="shared" si="231"/>
        <v>0</v>
      </c>
    </row>
    <row r="4899" spans="50:52">
      <c r="AX4899" s="46">
        <f t="shared" si="229"/>
        <v>0</v>
      </c>
      <c r="AY4899" s="46">
        <f t="shared" si="230"/>
        <v>0</v>
      </c>
      <c r="AZ4899" s="46">
        <f t="shared" si="231"/>
        <v>0</v>
      </c>
    </row>
    <row r="4900" spans="50:52">
      <c r="AX4900" s="46">
        <f t="shared" si="229"/>
        <v>0</v>
      </c>
      <c r="AY4900" s="46">
        <f t="shared" si="230"/>
        <v>0</v>
      </c>
      <c r="AZ4900" s="46">
        <f t="shared" si="231"/>
        <v>0</v>
      </c>
    </row>
    <row r="4901" spans="50:52">
      <c r="AX4901" s="46">
        <f t="shared" si="229"/>
        <v>0</v>
      </c>
      <c r="AY4901" s="46">
        <f t="shared" si="230"/>
        <v>0</v>
      </c>
      <c r="AZ4901" s="46">
        <f t="shared" si="231"/>
        <v>0</v>
      </c>
    </row>
    <row r="4902" spans="50:52">
      <c r="AX4902" s="46">
        <f t="shared" si="229"/>
        <v>0</v>
      </c>
      <c r="AY4902" s="46">
        <f t="shared" si="230"/>
        <v>0</v>
      </c>
      <c r="AZ4902" s="46">
        <f t="shared" si="231"/>
        <v>0</v>
      </c>
    </row>
    <row r="4903" spans="50:52">
      <c r="AX4903" s="46">
        <f t="shared" si="229"/>
        <v>0</v>
      </c>
      <c r="AY4903" s="46">
        <f t="shared" si="230"/>
        <v>0</v>
      </c>
      <c r="AZ4903" s="46">
        <f t="shared" si="231"/>
        <v>0</v>
      </c>
    </row>
    <row r="4904" spans="50:52">
      <c r="AX4904" s="46">
        <f t="shared" si="229"/>
        <v>0</v>
      </c>
      <c r="AY4904" s="46">
        <f t="shared" si="230"/>
        <v>0</v>
      </c>
      <c r="AZ4904" s="46">
        <f t="shared" si="231"/>
        <v>0</v>
      </c>
    </row>
    <row r="4905" spans="50:52">
      <c r="AX4905" s="46">
        <f t="shared" si="229"/>
        <v>0</v>
      </c>
      <c r="AY4905" s="46">
        <f t="shared" si="230"/>
        <v>0</v>
      </c>
      <c r="AZ4905" s="46">
        <f t="shared" si="231"/>
        <v>0</v>
      </c>
    </row>
    <row r="4906" spans="50:52">
      <c r="AX4906" s="46">
        <f t="shared" si="229"/>
        <v>0</v>
      </c>
      <c r="AY4906" s="46">
        <f t="shared" si="230"/>
        <v>0</v>
      </c>
      <c r="AZ4906" s="46">
        <f t="shared" si="231"/>
        <v>0</v>
      </c>
    </row>
    <row r="4907" spans="50:52">
      <c r="AX4907" s="46">
        <f t="shared" si="229"/>
        <v>0</v>
      </c>
      <c r="AY4907" s="46">
        <f t="shared" si="230"/>
        <v>0</v>
      </c>
      <c r="AZ4907" s="46">
        <f t="shared" si="231"/>
        <v>0</v>
      </c>
    </row>
    <row r="4908" spans="50:52">
      <c r="AX4908" s="46">
        <f t="shared" si="229"/>
        <v>0</v>
      </c>
      <c r="AY4908" s="46">
        <f t="shared" si="230"/>
        <v>0</v>
      </c>
      <c r="AZ4908" s="46">
        <f t="shared" si="231"/>
        <v>0</v>
      </c>
    </row>
    <row r="4909" spans="50:52">
      <c r="AX4909" s="46">
        <f t="shared" si="229"/>
        <v>0</v>
      </c>
      <c r="AY4909" s="46">
        <f t="shared" si="230"/>
        <v>0</v>
      </c>
      <c r="AZ4909" s="46">
        <f t="shared" si="231"/>
        <v>0</v>
      </c>
    </row>
    <row r="4910" spans="50:52">
      <c r="AX4910" s="46">
        <f t="shared" si="229"/>
        <v>0</v>
      </c>
      <c r="AY4910" s="46">
        <f t="shared" si="230"/>
        <v>0</v>
      </c>
      <c r="AZ4910" s="46">
        <f t="shared" si="231"/>
        <v>0</v>
      </c>
    </row>
    <row r="4911" spans="50:52">
      <c r="AX4911" s="46">
        <f t="shared" si="229"/>
        <v>0</v>
      </c>
      <c r="AY4911" s="46">
        <f t="shared" si="230"/>
        <v>0</v>
      </c>
      <c r="AZ4911" s="46">
        <f t="shared" si="231"/>
        <v>0</v>
      </c>
    </row>
    <row r="4912" spans="50:52">
      <c r="AX4912" s="46">
        <f t="shared" si="229"/>
        <v>0</v>
      </c>
      <c r="AY4912" s="46">
        <f t="shared" si="230"/>
        <v>0</v>
      </c>
      <c r="AZ4912" s="46">
        <f t="shared" si="231"/>
        <v>0</v>
      </c>
    </row>
    <row r="4913" spans="50:52">
      <c r="AX4913" s="46">
        <f t="shared" si="229"/>
        <v>0</v>
      </c>
      <c r="AY4913" s="46">
        <f t="shared" si="230"/>
        <v>0</v>
      </c>
      <c r="AZ4913" s="46">
        <f t="shared" si="231"/>
        <v>0</v>
      </c>
    </row>
    <row r="4914" spans="50:52">
      <c r="AX4914" s="46">
        <f t="shared" si="229"/>
        <v>0</v>
      </c>
      <c r="AY4914" s="46">
        <f t="shared" si="230"/>
        <v>0</v>
      </c>
      <c r="AZ4914" s="46">
        <f t="shared" si="231"/>
        <v>0</v>
      </c>
    </row>
    <row r="4915" spans="50:52">
      <c r="AX4915" s="46">
        <f t="shared" si="229"/>
        <v>0</v>
      </c>
      <c r="AY4915" s="46">
        <f t="shared" si="230"/>
        <v>0</v>
      </c>
      <c r="AZ4915" s="46">
        <f t="shared" si="231"/>
        <v>0</v>
      </c>
    </row>
    <row r="4916" spans="50:52">
      <c r="AX4916" s="46">
        <f t="shared" si="229"/>
        <v>0</v>
      </c>
      <c r="AY4916" s="46">
        <f t="shared" si="230"/>
        <v>0</v>
      </c>
      <c r="AZ4916" s="46">
        <f t="shared" si="231"/>
        <v>0</v>
      </c>
    </row>
    <row r="4917" spans="50:52">
      <c r="AX4917" s="46">
        <f t="shared" si="229"/>
        <v>0</v>
      </c>
      <c r="AY4917" s="46">
        <f t="shared" si="230"/>
        <v>0</v>
      </c>
      <c r="AZ4917" s="46">
        <f t="shared" si="231"/>
        <v>0</v>
      </c>
    </row>
    <row r="4918" spans="50:52">
      <c r="AX4918" s="46">
        <f t="shared" si="229"/>
        <v>0</v>
      </c>
      <c r="AY4918" s="46">
        <f t="shared" si="230"/>
        <v>0</v>
      </c>
      <c r="AZ4918" s="46">
        <f t="shared" si="231"/>
        <v>0</v>
      </c>
    </row>
    <row r="4919" spans="50:52">
      <c r="AX4919" s="46">
        <f t="shared" si="229"/>
        <v>0</v>
      </c>
      <c r="AY4919" s="46">
        <f t="shared" si="230"/>
        <v>0</v>
      </c>
      <c r="AZ4919" s="46">
        <f t="shared" si="231"/>
        <v>0</v>
      </c>
    </row>
    <row r="4920" spans="50:52">
      <c r="AX4920" s="46">
        <f t="shared" si="229"/>
        <v>0</v>
      </c>
      <c r="AY4920" s="46">
        <f t="shared" si="230"/>
        <v>0</v>
      </c>
      <c r="AZ4920" s="46">
        <f t="shared" si="231"/>
        <v>0</v>
      </c>
    </row>
    <row r="4921" spans="50:52">
      <c r="AX4921" s="46">
        <f t="shared" si="229"/>
        <v>0</v>
      </c>
      <c r="AY4921" s="46">
        <f t="shared" si="230"/>
        <v>0</v>
      </c>
      <c r="AZ4921" s="46">
        <f t="shared" si="231"/>
        <v>0</v>
      </c>
    </row>
    <row r="4922" spans="50:52">
      <c r="AX4922" s="46">
        <f t="shared" si="229"/>
        <v>0</v>
      </c>
      <c r="AY4922" s="46">
        <f t="shared" si="230"/>
        <v>0</v>
      </c>
      <c r="AZ4922" s="46">
        <f t="shared" si="231"/>
        <v>0</v>
      </c>
    </row>
    <row r="4923" spans="50:52">
      <c r="AX4923" s="46">
        <f t="shared" si="229"/>
        <v>0</v>
      </c>
      <c r="AY4923" s="46">
        <f t="shared" si="230"/>
        <v>0</v>
      </c>
      <c r="AZ4923" s="46">
        <f t="shared" si="231"/>
        <v>0</v>
      </c>
    </row>
    <row r="4924" spans="50:52">
      <c r="AX4924" s="46">
        <f t="shared" si="229"/>
        <v>0</v>
      </c>
      <c r="AY4924" s="46">
        <f t="shared" si="230"/>
        <v>0</v>
      </c>
      <c r="AZ4924" s="46">
        <f t="shared" si="231"/>
        <v>0</v>
      </c>
    </row>
    <row r="4925" spans="50:52">
      <c r="AX4925" s="46">
        <f t="shared" si="229"/>
        <v>0</v>
      </c>
      <c r="AY4925" s="46">
        <f t="shared" si="230"/>
        <v>0</v>
      </c>
      <c r="AZ4925" s="46">
        <f t="shared" si="231"/>
        <v>0</v>
      </c>
    </row>
    <row r="4926" spans="50:52">
      <c r="AX4926" s="46">
        <f t="shared" si="229"/>
        <v>0</v>
      </c>
      <c r="AY4926" s="46">
        <f t="shared" si="230"/>
        <v>0</v>
      </c>
      <c r="AZ4926" s="46">
        <f t="shared" si="231"/>
        <v>0</v>
      </c>
    </row>
    <row r="4927" spans="50:52">
      <c r="AX4927" s="46">
        <f t="shared" si="229"/>
        <v>0</v>
      </c>
      <c r="AY4927" s="46">
        <f t="shared" si="230"/>
        <v>0</v>
      </c>
      <c r="AZ4927" s="46">
        <f t="shared" si="231"/>
        <v>0</v>
      </c>
    </row>
    <row r="4928" spans="50:52">
      <c r="AX4928" s="46">
        <f t="shared" si="229"/>
        <v>0</v>
      </c>
      <c r="AY4928" s="46">
        <f t="shared" si="230"/>
        <v>0</v>
      </c>
      <c r="AZ4928" s="46">
        <f t="shared" si="231"/>
        <v>0</v>
      </c>
    </row>
    <row r="4929" spans="50:52">
      <c r="AX4929" s="46">
        <f t="shared" si="229"/>
        <v>0</v>
      </c>
      <c r="AY4929" s="46">
        <f t="shared" si="230"/>
        <v>0</v>
      </c>
      <c r="AZ4929" s="46">
        <f t="shared" si="231"/>
        <v>0</v>
      </c>
    </row>
    <row r="4930" spans="50:52">
      <c r="AX4930" s="46">
        <f t="shared" si="229"/>
        <v>0</v>
      </c>
      <c r="AY4930" s="46">
        <f t="shared" si="230"/>
        <v>0</v>
      </c>
      <c r="AZ4930" s="46">
        <f t="shared" si="231"/>
        <v>0</v>
      </c>
    </row>
    <row r="4931" spans="50:52">
      <c r="AX4931" s="46">
        <f t="shared" si="229"/>
        <v>0</v>
      </c>
      <c r="AY4931" s="46">
        <f t="shared" si="230"/>
        <v>0</v>
      </c>
      <c r="AZ4931" s="46">
        <f t="shared" si="231"/>
        <v>0</v>
      </c>
    </row>
    <row r="4932" spans="50:52">
      <c r="AX4932" s="46">
        <f t="shared" si="229"/>
        <v>0</v>
      </c>
      <c r="AY4932" s="46">
        <f t="shared" si="230"/>
        <v>0</v>
      </c>
      <c r="AZ4932" s="46">
        <f t="shared" si="231"/>
        <v>0</v>
      </c>
    </row>
    <row r="4933" spans="50:52">
      <c r="AX4933" s="46">
        <f t="shared" si="229"/>
        <v>0</v>
      </c>
      <c r="AY4933" s="46">
        <f t="shared" si="230"/>
        <v>0</v>
      </c>
      <c r="AZ4933" s="46">
        <f t="shared" si="231"/>
        <v>0</v>
      </c>
    </row>
    <row r="4934" spans="50:52">
      <c r="AX4934" s="46">
        <f t="shared" si="229"/>
        <v>0</v>
      </c>
      <c r="AY4934" s="46">
        <f t="shared" si="230"/>
        <v>0</v>
      </c>
      <c r="AZ4934" s="46">
        <f t="shared" si="231"/>
        <v>0</v>
      </c>
    </row>
    <row r="4935" spans="50:52">
      <c r="AX4935" s="46">
        <f t="shared" si="229"/>
        <v>0</v>
      </c>
      <c r="AY4935" s="46">
        <f t="shared" si="230"/>
        <v>0</v>
      </c>
      <c r="AZ4935" s="46">
        <f t="shared" si="231"/>
        <v>0</v>
      </c>
    </row>
    <row r="4936" spans="50:52">
      <c r="AX4936" s="46">
        <f t="shared" si="229"/>
        <v>0</v>
      </c>
      <c r="AY4936" s="46">
        <f t="shared" si="230"/>
        <v>0</v>
      </c>
      <c r="AZ4936" s="46">
        <f t="shared" si="231"/>
        <v>0</v>
      </c>
    </row>
    <row r="4937" spans="50:52">
      <c r="AX4937" s="46">
        <f t="shared" si="229"/>
        <v>0</v>
      </c>
      <c r="AY4937" s="46">
        <f t="shared" si="230"/>
        <v>0</v>
      </c>
      <c r="AZ4937" s="46">
        <f t="shared" si="231"/>
        <v>0</v>
      </c>
    </row>
    <row r="4938" spans="50:52">
      <c r="AX4938" s="46">
        <f t="shared" si="229"/>
        <v>0</v>
      </c>
      <c r="AY4938" s="46">
        <f t="shared" si="230"/>
        <v>0</v>
      </c>
      <c r="AZ4938" s="46">
        <f t="shared" si="231"/>
        <v>0</v>
      </c>
    </row>
    <row r="4939" spans="50:52">
      <c r="AX4939" s="46">
        <f t="shared" ref="AX4939:AX5002" si="232">IFERROR(SUM(Q4939:AS4939)-SUM(AT4939:AU4939)+AV4939,"-")</f>
        <v>0</v>
      </c>
      <c r="AY4939" s="46">
        <f t="shared" ref="AY4939:AY5002" si="233">IFERROR(SUM(Q4939:AS4939)-SUM(AT4939:AT4939),"-")</f>
        <v>0</v>
      </c>
      <c r="AZ4939" s="46">
        <f t="shared" ref="AZ4939:AZ5002" si="234">SUM(Q4939:AS4939)</f>
        <v>0</v>
      </c>
    </row>
    <row r="4940" spans="50:52">
      <c r="AX4940" s="46">
        <f t="shared" si="232"/>
        <v>0</v>
      </c>
      <c r="AY4940" s="46">
        <f t="shared" si="233"/>
        <v>0</v>
      </c>
      <c r="AZ4940" s="46">
        <f t="shared" si="234"/>
        <v>0</v>
      </c>
    </row>
    <row r="4941" spans="50:52">
      <c r="AX4941" s="46">
        <f t="shared" si="232"/>
        <v>0</v>
      </c>
      <c r="AY4941" s="46">
        <f t="shared" si="233"/>
        <v>0</v>
      </c>
      <c r="AZ4941" s="46">
        <f t="shared" si="234"/>
        <v>0</v>
      </c>
    </row>
    <row r="4942" spans="50:52">
      <c r="AX4942" s="46">
        <f t="shared" si="232"/>
        <v>0</v>
      </c>
      <c r="AY4942" s="46">
        <f t="shared" si="233"/>
        <v>0</v>
      </c>
      <c r="AZ4942" s="46">
        <f t="shared" si="234"/>
        <v>0</v>
      </c>
    </row>
    <row r="4943" spans="50:52">
      <c r="AX4943" s="46">
        <f t="shared" si="232"/>
        <v>0</v>
      </c>
      <c r="AY4943" s="46">
        <f t="shared" si="233"/>
        <v>0</v>
      </c>
      <c r="AZ4943" s="46">
        <f t="shared" si="234"/>
        <v>0</v>
      </c>
    </row>
    <row r="4944" spans="50:52">
      <c r="AX4944" s="46">
        <f t="shared" si="232"/>
        <v>0</v>
      </c>
      <c r="AY4944" s="46">
        <f t="shared" si="233"/>
        <v>0</v>
      </c>
      <c r="AZ4944" s="46">
        <f t="shared" si="234"/>
        <v>0</v>
      </c>
    </row>
    <row r="4945" spans="50:52">
      <c r="AX4945" s="46">
        <f t="shared" si="232"/>
        <v>0</v>
      </c>
      <c r="AY4945" s="46">
        <f t="shared" si="233"/>
        <v>0</v>
      </c>
      <c r="AZ4945" s="46">
        <f t="shared" si="234"/>
        <v>0</v>
      </c>
    </row>
    <row r="4946" spans="50:52">
      <c r="AX4946" s="46">
        <f t="shared" si="232"/>
        <v>0</v>
      </c>
      <c r="AY4946" s="46">
        <f t="shared" si="233"/>
        <v>0</v>
      </c>
      <c r="AZ4946" s="46">
        <f t="shared" si="234"/>
        <v>0</v>
      </c>
    </row>
    <row r="4947" spans="50:52">
      <c r="AX4947" s="46">
        <f t="shared" si="232"/>
        <v>0</v>
      </c>
      <c r="AY4947" s="46">
        <f t="shared" si="233"/>
        <v>0</v>
      </c>
      <c r="AZ4947" s="46">
        <f t="shared" si="234"/>
        <v>0</v>
      </c>
    </row>
    <row r="4948" spans="50:52">
      <c r="AX4948" s="46">
        <f t="shared" si="232"/>
        <v>0</v>
      </c>
      <c r="AY4948" s="46">
        <f t="shared" si="233"/>
        <v>0</v>
      </c>
      <c r="AZ4948" s="46">
        <f t="shared" si="234"/>
        <v>0</v>
      </c>
    </row>
    <row r="4949" spans="50:52">
      <c r="AX4949" s="46">
        <f t="shared" si="232"/>
        <v>0</v>
      </c>
      <c r="AY4949" s="46">
        <f t="shared" si="233"/>
        <v>0</v>
      </c>
      <c r="AZ4949" s="46">
        <f t="shared" si="234"/>
        <v>0</v>
      </c>
    </row>
    <row r="4950" spans="50:52">
      <c r="AX4950" s="46">
        <f t="shared" si="232"/>
        <v>0</v>
      </c>
      <c r="AY4950" s="46">
        <f t="shared" si="233"/>
        <v>0</v>
      </c>
      <c r="AZ4950" s="46">
        <f t="shared" si="234"/>
        <v>0</v>
      </c>
    </row>
    <row r="4951" spans="50:52">
      <c r="AX4951" s="46">
        <f t="shared" si="232"/>
        <v>0</v>
      </c>
      <c r="AY4951" s="46">
        <f t="shared" si="233"/>
        <v>0</v>
      </c>
      <c r="AZ4951" s="46">
        <f t="shared" si="234"/>
        <v>0</v>
      </c>
    </row>
    <row r="4952" spans="50:52">
      <c r="AX4952" s="46">
        <f t="shared" si="232"/>
        <v>0</v>
      </c>
      <c r="AY4952" s="46">
        <f t="shared" si="233"/>
        <v>0</v>
      </c>
      <c r="AZ4952" s="46">
        <f t="shared" si="234"/>
        <v>0</v>
      </c>
    </row>
    <row r="4953" spans="50:52">
      <c r="AX4953" s="46">
        <f t="shared" si="232"/>
        <v>0</v>
      </c>
      <c r="AY4953" s="46">
        <f t="shared" si="233"/>
        <v>0</v>
      </c>
      <c r="AZ4953" s="46">
        <f t="shared" si="234"/>
        <v>0</v>
      </c>
    </row>
    <row r="4954" spans="50:52">
      <c r="AX4954" s="46">
        <f t="shared" si="232"/>
        <v>0</v>
      </c>
      <c r="AY4954" s="46">
        <f t="shared" si="233"/>
        <v>0</v>
      </c>
      <c r="AZ4954" s="46">
        <f t="shared" si="234"/>
        <v>0</v>
      </c>
    </row>
    <row r="4955" spans="50:52">
      <c r="AX4955" s="46">
        <f t="shared" si="232"/>
        <v>0</v>
      </c>
      <c r="AY4955" s="46">
        <f t="shared" si="233"/>
        <v>0</v>
      </c>
      <c r="AZ4955" s="46">
        <f t="shared" si="234"/>
        <v>0</v>
      </c>
    </row>
    <row r="4956" spans="50:52">
      <c r="AX4956" s="46">
        <f t="shared" si="232"/>
        <v>0</v>
      </c>
      <c r="AY4956" s="46">
        <f t="shared" si="233"/>
        <v>0</v>
      </c>
      <c r="AZ4956" s="46">
        <f t="shared" si="234"/>
        <v>0</v>
      </c>
    </row>
    <row r="4957" spans="50:52">
      <c r="AX4957" s="46">
        <f t="shared" si="232"/>
        <v>0</v>
      </c>
      <c r="AY4957" s="46">
        <f t="shared" si="233"/>
        <v>0</v>
      </c>
      <c r="AZ4957" s="46">
        <f t="shared" si="234"/>
        <v>0</v>
      </c>
    </row>
    <row r="4958" spans="50:52">
      <c r="AX4958" s="46">
        <f t="shared" si="232"/>
        <v>0</v>
      </c>
      <c r="AY4958" s="46">
        <f t="shared" si="233"/>
        <v>0</v>
      </c>
      <c r="AZ4958" s="46">
        <f t="shared" si="234"/>
        <v>0</v>
      </c>
    </row>
    <row r="4959" spans="50:52">
      <c r="AX4959" s="46">
        <f t="shared" si="232"/>
        <v>0</v>
      </c>
      <c r="AY4959" s="46">
        <f t="shared" si="233"/>
        <v>0</v>
      </c>
      <c r="AZ4959" s="46">
        <f t="shared" si="234"/>
        <v>0</v>
      </c>
    </row>
    <row r="4960" spans="50:52">
      <c r="AX4960" s="46">
        <f t="shared" si="232"/>
        <v>0</v>
      </c>
      <c r="AY4960" s="46">
        <f t="shared" si="233"/>
        <v>0</v>
      </c>
      <c r="AZ4960" s="46">
        <f t="shared" si="234"/>
        <v>0</v>
      </c>
    </row>
    <row r="4961" spans="50:52">
      <c r="AX4961" s="46">
        <f t="shared" si="232"/>
        <v>0</v>
      </c>
      <c r="AY4961" s="46">
        <f t="shared" si="233"/>
        <v>0</v>
      </c>
      <c r="AZ4961" s="46">
        <f t="shared" si="234"/>
        <v>0</v>
      </c>
    </row>
    <row r="4962" spans="50:52">
      <c r="AX4962" s="46">
        <f t="shared" si="232"/>
        <v>0</v>
      </c>
      <c r="AY4962" s="46">
        <f t="shared" si="233"/>
        <v>0</v>
      </c>
      <c r="AZ4962" s="46">
        <f t="shared" si="234"/>
        <v>0</v>
      </c>
    </row>
    <row r="4963" spans="50:52">
      <c r="AX4963" s="46">
        <f t="shared" si="232"/>
        <v>0</v>
      </c>
      <c r="AY4963" s="46">
        <f t="shared" si="233"/>
        <v>0</v>
      </c>
      <c r="AZ4963" s="46">
        <f t="shared" si="234"/>
        <v>0</v>
      </c>
    </row>
    <row r="4964" spans="50:52">
      <c r="AX4964" s="46">
        <f t="shared" si="232"/>
        <v>0</v>
      </c>
      <c r="AY4964" s="46">
        <f t="shared" si="233"/>
        <v>0</v>
      </c>
      <c r="AZ4964" s="46">
        <f t="shared" si="234"/>
        <v>0</v>
      </c>
    </row>
    <row r="4965" spans="50:52">
      <c r="AX4965" s="46">
        <f t="shared" si="232"/>
        <v>0</v>
      </c>
      <c r="AY4965" s="46">
        <f t="shared" si="233"/>
        <v>0</v>
      </c>
      <c r="AZ4965" s="46">
        <f t="shared" si="234"/>
        <v>0</v>
      </c>
    </row>
    <row r="4966" spans="50:52">
      <c r="AX4966" s="46">
        <f t="shared" si="232"/>
        <v>0</v>
      </c>
      <c r="AY4966" s="46">
        <f t="shared" si="233"/>
        <v>0</v>
      </c>
      <c r="AZ4966" s="46">
        <f t="shared" si="234"/>
        <v>0</v>
      </c>
    </row>
    <row r="4967" spans="50:52">
      <c r="AX4967" s="46">
        <f t="shared" si="232"/>
        <v>0</v>
      </c>
      <c r="AY4967" s="46">
        <f t="shared" si="233"/>
        <v>0</v>
      </c>
      <c r="AZ4967" s="46">
        <f t="shared" si="234"/>
        <v>0</v>
      </c>
    </row>
    <row r="4968" spans="50:52">
      <c r="AX4968" s="46">
        <f t="shared" si="232"/>
        <v>0</v>
      </c>
      <c r="AY4968" s="46">
        <f t="shared" si="233"/>
        <v>0</v>
      </c>
      <c r="AZ4968" s="46">
        <f t="shared" si="234"/>
        <v>0</v>
      </c>
    </row>
    <row r="4969" spans="50:52">
      <c r="AX4969" s="46">
        <f t="shared" si="232"/>
        <v>0</v>
      </c>
      <c r="AY4969" s="46">
        <f t="shared" si="233"/>
        <v>0</v>
      </c>
      <c r="AZ4969" s="46">
        <f t="shared" si="234"/>
        <v>0</v>
      </c>
    </row>
    <row r="4970" spans="50:52">
      <c r="AX4970" s="46">
        <f t="shared" si="232"/>
        <v>0</v>
      </c>
      <c r="AY4970" s="46">
        <f t="shared" si="233"/>
        <v>0</v>
      </c>
      <c r="AZ4970" s="46">
        <f t="shared" si="234"/>
        <v>0</v>
      </c>
    </row>
    <row r="4971" spans="50:52">
      <c r="AX4971" s="46">
        <f t="shared" si="232"/>
        <v>0</v>
      </c>
      <c r="AY4971" s="46">
        <f t="shared" si="233"/>
        <v>0</v>
      </c>
      <c r="AZ4971" s="46">
        <f t="shared" si="234"/>
        <v>0</v>
      </c>
    </row>
    <row r="4972" spans="50:52">
      <c r="AX4972" s="46">
        <f t="shared" si="232"/>
        <v>0</v>
      </c>
      <c r="AY4972" s="46">
        <f t="shared" si="233"/>
        <v>0</v>
      </c>
      <c r="AZ4972" s="46">
        <f t="shared" si="234"/>
        <v>0</v>
      </c>
    </row>
    <row r="4973" spans="50:52">
      <c r="AX4973" s="46">
        <f t="shared" si="232"/>
        <v>0</v>
      </c>
      <c r="AY4973" s="46">
        <f t="shared" si="233"/>
        <v>0</v>
      </c>
      <c r="AZ4973" s="46">
        <f t="shared" si="234"/>
        <v>0</v>
      </c>
    </row>
    <row r="4974" spans="50:52">
      <c r="AX4974" s="46">
        <f t="shared" si="232"/>
        <v>0</v>
      </c>
      <c r="AY4974" s="46">
        <f t="shared" si="233"/>
        <v>0</v>
      </c>
      <c r="AZ4974" s="46">
        <f t="shared" si="234"/>
        <v>0</v>
      </c>
    </row>
    <row r="4975" spans="50:52">
      <c r="AX4975" s="46">
        <f t="shared" si="232"/>
        <v>0</v>
      </c>
      <c r="AY4975" s="46">
        <f t="shared" si="233"/>
        <v>0</v>
      </c>
      <c r="AZ4975" s="46">
        <f t="shared" si="234"/>
        <v>0</v>
      </c>
    </row>
    <row r="4976" spans="50:52">
      <c r="AX4976" s="46">
        <f t="shared" si="232"/>
        <v>0</v>
      </c>
      <c r="AY4976" s="46">
        <f t="shared" si="233"/>
        <v>0</v>
      </c>
      <c r="AZ4976" s="46">
        <f t="shared" si="234"/>
        <v>0</v>
      </c>
    </row>
    <row r="4977" spans="50:52">
      <c r="AX4977" s="46">
        <f t="shared" si="232"/>
        <v>0</v>
      </c>
      <c r="AY4977" s="46">
        <f t="shared" si="233"/>
        <v>0</v>
      </c>
      <c r="AZ4977" s="46">
        <f t="shared" si="234"/>
        <v>0</v>
      </c>
    </row>
    <row r="4978" spans="50:52">
      <c r="AX4978" s="46">
        <f t="shared" si="232"/>
        <v>0</v>
      </c>
      <c r="AY4978" s="46">
        <f t="shared" si="233"/>
        <v>0</v>
      </c>
      <c r="AZ4978" s="46">
        <f t="shared" si="234"/>
        <v>0</v>
      </c>
    </row>
    <row r="4979" spans="50:52">
      <c r="AX4979" s="46">
        <f t="shared" si="232"/>
        <v>0</v>
      </c>
      <c r="AY4979" s="46">
        <f t="shared" si="233"/>
        <v>0</v>
      </c>
      <c r="AZ4979" s="46">
        <f t="shared" si="234"/>
        <v>0</v>
      </c>
    </row>
    <row r="4980" spans="50:52">
      <c r="AX4980" s="46">
        <f t="shared" si="232"/>
        <v>0</v>
      </c>
      <c r="AY4980" s="46">
        <f t="shared" si="233"/>
        <v>0</v>
      </c>
      <c r="AZ4980" s="46">
        <f t="shared" si="234"/>
        <v>0</v>
      </c>
    </row>
    <row r="4981" spans="50:52">
      <c r="AX4981" s="46">
        <f t="shared" si="232"/>
        <v>0</v>
      </c>
      <c r="AY4981" s="46">
        <f t="shared" si="233"/>
        <v>0</v>
      </c>
      <c r="AZ4981" s="46">
        <f t="shared" si="234"/>
        <v>0</v>
      </c>
    </row>
    <row r="4982" spans="50:52">
      <c r="AX4982" s="46">
        <f t="shared" si="232"/>
        <v>0</v>
      </c>
      <c r="AY4982" s="46">
        <f t="shared" si="233"/>
        <v>0</v>
      </c>
      <c r="AZ4982" s="46">
        <f t="shared" si="234"/>
        <v>0</v>
      </c>
    </row>
    <row r="4983" spans="50:52">
      <c r="AX4983" s="46">
        <f t="shared" si="232"/>
        <v>0</v>
      </c>
      <c r="AY4983" s="46">
        <f t="shared" si="233"/>
        <v>0</v>
      </c>
      <c r="AZ4983" s="46">
        <f t="shared" si="234"/>
        <v>0</v>
      </c>
    </row>
    <row r="4984" spans="50:52">
      <c r="AX4984" s="46">
        <f t="shared" si="232"/>
        <v>0</v>
      </c>
      <c r="AY4984" s="46">
        <f t="shared" si="233"/>
        <v>0</v>
      </c>
      <c r="AZ4984" s="46">
        <f t="shared" si="234"/>
        <v>0</v>
      </c>
    </row>
    <row r="4985" spans="50:52">
      <c r="AX4985" s="46">
        <f t="shared" si="232"/>
        <v>0</v>
      </c>
      <c r="AY4985" s="46">
        <f t="shared" si="233"/>
        <v>0</v>
      </c>
      <c r="AZ4985" s="46">
        <f t="shared" si="234"/>
        <v>0</v>
      </c>
    </row>
    <row r="4986" spans="50:52">
      <c r="AX4986" s="46">
        <f t="shared" si="232"/>
        <v>0</v>
      </c>
      <c r="AY4986" s="46">
        <f t="shared" si="233"/>
        <v>0</v>
      </c>
      <c r="AZ4986" s="46">
        <f t="shared" si="234"/>
        <v>0</v>
      </c>
    </row>
    <row r="4987" spans="50:52">
      <c r="AX4987" s="46">
        <f t="shared" si="232"/>
        <v>0</v>
      </c>
      <c r="AY4987" s="46">
        <f t="shared" si="233"/>
        <v>0</v>
      </c>
      <c r="AZ4987" s="46">
        <f t="shared" si="234"/>
        <v>0</v>
      </c>
    </row>
    <row r="4988" spans="50:52">
      <c r="AX4988" s="46">
        <f t="shared" si="232"/>
        <v>0</v>
      </c>
      <c r="AY4988" s="46">
        <f t="shared" si="233"/>
        <v>0</v>
      </c>
      <c r="AZ4988" s="46">
        <f t="shared" si="234"/>
        <v>0</v>
      </c>
    </row>
    <row r="4989" spans="50:52">
      <c r="AX4989" s="46">
        <f t="shared" si="232"/>
        <v>0</v>
      </c>
      <c r="AY4989" s="46">
        <f t="shared" si="233"/>
        <v>0</v>
      </c>
      <c r="AZ4989" s="46">
        <f t="shared" si="234"/>
        <v>0</v>
      </c>
    </row>
    <row r="4990" spans="50:52">
      <c r="AX4990" s="46">
        <f t="shared" si="232"/>
        <v>0</v>
      </c>
      <c r="AY4990" s="46">
        <f t="shared" si="233"/>
        <v>0</v>
      </c>
      <c r="AZ4990" s="46">
        <f t="shared" si="234"/>
        <v>0</v>
      </c>
    </row>
    <row r="4991" spans="50:52">
      <c r="AX4991" s="46">
        <f t="shared" si="232"/>
        <v>0</v>
      </c>
      <c r="AY4991" s="46">
        <f t="shared" si="233"/>
        <v>0</v>
      </c>
      <c r="AZ4991" s="46">
        <f t="shared" si="234"/>
        <v>0</v>
      </c>
    </row>
    <row r="4992" spans="50:52">
      <c r="AX4992" s="46">
        <f t="shared" si="232"/>
        <v>0</v>
      </c>
      <c r="AY4992" s="46">
        <f t="shared" si="233"/>
        <v>0</v>
      </c>
      <c r="AZ4992" s="46">
        <f t="shared" si="234"/>
        <v>0</v>
      </c>
    </row>
    <row r="4993" spans="50:52">
      <c r="AX4993" s="46">
        <f t="shared" si="232"/>
        <v>0</v>
      </c>
      <c r="AY4993" s="46">
        <f t="shared" si="233"/>
        <v>0</v>
      </c>
      <c r="AZ4993" s="46">
        <f t="shared" si="234"/>
        <v>0</v>
      </c>
    </row>
    <row r="4994" spans="50:52">
      <c r="AX4994" s="46">
        <f t="shared" si="232"/>
        <v>0</v>
      </c>
      <c r="AY4994" s="46">
        <f t="shared" si="233"/>
        <v>0</v>
      </c>
      <c r="AZ4994" s="46">
        <f t="shared" si="234"/>
        <v>0</v>
      </c>
    </row>
    <row r="4995" spans="50:52">
      <c r="AX4995" s="46">
        <f t="shared" si="232"/>
        <v>0</v>
      </c>
      <c r="AY4995" s="46">
        <f t="shared" si="233"/>
        <v>0</v>
      </c>
      <c r="AZ4995" s="46">
        <f t="shared" si="234"/>
        <v>0</v>
      </c>
    </row>
    <row r="4996" spans="50:52">
      <c r="AX4996" s="46">
        <f t="shared" si="232"/>
        <v>0</v>
      </c>
      <c r="AY4996" s="46">
        <f t="shared" si="233"/>
        <v>0</v>
      </c>
      <c r="AZ4996" s="46">
        <f t="shared" si="234"/>
        <v>0</v>
      </c>
    </row>
    <row r="4997" spans="50:52">
      <c r="AX4997" s="46">
        <f t="shared" si="232"/>
        <v>0</v>
      </c>
      <c r="AY4997" s="46">
        <f t="shared" si="233"/>
        <v>0</v>
      </c>
      <c r="AZ4997" s="46">
        <f t="shared" si="234"/>
        <v>0</v>
      </c>
    </row>
    <row r="4998" spans="50:52">
      <c r="AX4998" s="46">
        <f t="shared" si="232"/>
        <v>0</v>
      </c>
      <c r="AY4998" s="46">
        <f t="shared" si="233"/>
        <v>0</v>
      </c>
      <c r="AZ4998" s="46">
        <f t="shared" si="234"/>
        <v>0</v>
      </c>
    </row>
    <row r="4999" spans="50:52">
      <c r="AX4999" s="46">
        <f t="shared" si="232"/>
        <v>0</v>
      </c>
      <c r="AY4999" s="46">
        <f t="shared" si="233"/>
        <v>0</v>
      </c>
      <c r="AZ4999" s="46">
        <f t="shared" si="234"/>
        <v>0</v>
      </c>
    </row>
    <row r="5000" spans="50:52">
      <c r="AX5000" s="46">
        <f t="shared" si="232"/>
        <v>0</v>
      </c>
      <c r="AY5000" s="46">
        <f t="shared" si="233"/>
        <v>0</v>
      </c>
      <c r="AZ5000" s="46">
        <f t="shared" si="234"/>
        <v>0</v>
      </c>
    </row>
    <row r="5001" spans="50:52">
      <c r="AX5001" s="46">
        <f t="shared" si="232"/>
        <v>0</v>
      </c>
      <c r="AY5001" s="46">
        <f t="shared" si="233"/>
        <v>0</v>
      </c>
      <c r="AZ5001" s="46">
        <f t="shared" si="234"/>
        <v>0</v>
      </c>
    </row>
    <row r="5002" spans="50:52">
      <c r="AX5002" s="46">
        <f t="shared" si="232"/>
        <v>0</v>
      </c>
      <c r="AY5002" s="46">
        <f t="shared" si="233"/>
        <v>0</v>
      </c>
      <c r="AZ5002" s="46">
        <f t="shared" si="234"/>
        <v>0</v>
      </c>
    </row>
    <row r="5003" spans="50:52">
      <c r="AX5003" s="46">
        <f t="shared" ref="AX5003:AX5066" si="235">IFERROR(SUM(Q5003:AS5003)-SUM(AT5003:AU5003)+AV5003,"-")</f>
        <v>0</v>
      </c>
      <c r="AY5003" s="46">
        <f t="shared" ref="AY5003:AY5066" si="236">IFERROR(SUM(Q5003:AS5003)-SUM(AT5003:AT5003),"-")</f>
        <v>0</v>
      </c>
      <c r="AZ5003" s="46">
        <f t="shared" ref="AZ5003:AZ5066" si="237">SUM(Q5003:AS5003)</f>
        <v>0</v>
      </c>
    </row>
    <row r="5004" spans="50:52">
      <c r="AX5004" s="46">
        <f t="shared" si="235"/>
        <v>0</v>
      </c>
      <c r="AY5004" s="46">
        <f t="shared" si="236"/>
        <v>0</v>
      </c>
      <c r="AZ5004" s="46">
        <f t="shared" si="237"/>
        <v>0</v>
      </c>
    </row>
    <row r="5005" spans="50:52">
      <c r="AX5005" s="46">
        <f t="shared" si="235"/>
        <v>0</v>
      </c>
      <c r="AY5005" s="46">
        <f t="shared" si="236"/>
        <v>0</v>
      </c>
      <c r="AZ5005" s="46">
        <f t="shared" si="237"/>
        <v>0</v>
      </c>
    </row>
    <row r="5006" spans="50:52">
      <c r="AX5006" s="46">
        <f t="shared" si="235"/>
        <v>0</v>
      </c>
      <c r="AY5006" s="46">
        <f t="shared" si="236"/>
        <v>0</v>
      </c>
      <c r="AZ5006" s="46">
        <f t="shared" si="237"/>
        <v>0</v>
      </c>
    </row>
    <row r="5007" spans="50:52">
      <c r="AX5007" s="46">
        <f t="shared" si="235"/>
        <v>0</v>
      </c>
      <c r="AY5007" s="46">
        <f t="shared" si="236"/>
        <v>0</v>
      </c>
      <c r="AZ5007" s="46">
        <f t="shared" si="237"/>
        <v>0</v>
      </c>
    </row>
    <row r="5008" spans="50:52">
      <c r="AX5008" s="46">
        <f t="shared" si="235"/>
        <v>0</v>
      </c>
      <c r="AY5008" s="46">
        <f t="shared" si="236"/>
        <v>0</v>
      </c>
      <c r="AZ5008" s="46">
        <f t="shared" si="237"/>
        <v>0</v>
      </c>
    </row>
    <row r="5009" spans="50:52">
      <c r="AX5009" s="46">
        <f t="shared" si="235"/>
        <v>0</v>
      </c>
      <c r="AY5009" s="46">
        <f t="shared" si="236"/>
        <v>0</v>
      </c>
      <c r="AZ5009" s="46">
        <f t="shared" si="237"/>
        <v>0</v>
      </c>
    </row>
    <row r="5010" spans="50:52">
      <c r="AX5010" s="46">
        <f t="shared" si="235"/>
        <v>0</v>
      </c>
      <c r="AY5010" s="46">
        <f t="shared" si="236"/>
        <v>0</v>
      </c>
      <c r="AZ5010" s="46">
        <f t="shared" si="237"/>
        <v>0</v>
      </c>
    </row>
    <row r="5011" spans="50:52">
      <c r="AX5011" s="46">
        <f t="shared" si="235"/>
        <v>0</v>
      </c>
      <c r="AY5011" s="46">
        <f t="shared" si="236"/>
        <v>0</v>
      </c>
      <c r="AZ5011" s="46">
        <f t="shared" si="237"/>
        <v>0</v>
      </c>
    </row>
    <row r="5012" spans="50:52">
      <c r="AX5012" s="46">
        <f t="shared" si="235"/>
        <v>0</v>
      </c>
      <c r="AY5012" s="46">
        <f t="shared" si="236"/>
        <v>0</v>
      </c>
      <c r="AZ5012" s="46">
        <f t="shared" si="237"/>
        <v>0</v>
      </c>
    </row>
    <row r="5013" spans="50:52">
      <c r="AX5013" s="46">
        <f t="shared" si="235"/>
        <v>0</v>
      </c>
      <c r="AY5013" s="46">
        <f t="shared" si="236"/>
        <v>0</v>
      </c>
      <c r="AZ5013" s="46">
        <f t="shared" si="237"/>
        <v>0</v>
      </c>
    </row>
    <row r="5014" spans="50:52">
      <c r="AX5014" s="46">
        <f t="shared" si="235"/>
        <v>0</v>
      </c>
      <c r="AY5014" s="46">
        <f t="shared" si="236"/>
        <v>0</v>
      </c>
      <c r="AZ5014" s="46">
        <f t="shared" si="237"/>
        <v>0</v>
      </c>
    </row>
    <row r="5015" spans="50:52">
      <c r="AX5015" s="46">
        <f t="shared" si="235"/>
        <v>0</v>
      </c>
      <c r="AY5015" s="46">
        <f t="shared" si="236"/>
        <v>0</v>
      </c>
      <c r="AZ5015" s="46">
        <f t="shared" si="237"/>
        <v>0</v>
      </c>
    </row>
    <row r="5016" spans="50:52">
      <c r="AX5016" s="46">
        <f t="shared" si="235"/>
        <v>0</v>
      </c>
      <c r="AY5016" s="46">
        <f t="shared" si="236"/>
        <v>0</v>
      </c>
      <c r="AZ5016" s="46">
        <f t="shared" si="237"/>
        <v>0</v>
      </c>
    </row>
    <row r="5017" spans="50:52">
      <c r="AX5017" s="46">
        <f t="shared" si="235"/>
        <v>0</v>
      </c>
      <c r="AY5017" s="46">
        <f t="shared" si="236"/>
        <v>0</v>
      </c>
      <c r="AZ5017" s="46">
        <f t="shared" si="237"/>
        <v>0</v>
      </c>
    </row>
    <row r="5018" spans="50:52">
      <c r="AX5018" s="46">
        <f t="shared" si="235"/>
        <v>0</v>
      </c>
      <c r="AY5018" s="46">
        <f t="shared" si="236"/>
        <v>0</v>
      </c>
      <c r="AZ5018" s="46">
        <f t="shared" si="237"/>
        <v>0</v>
      </c>
    </row>
    <row r="5019" spans="50:52">
      <c r="AX5019" s="46">
        <f t="shared" si="235"/>
        <v>0</v>
      </c>
      <c r="AY5019" s="46">
        <f t="shared" si="236"/>
        <v>0</v>
      </c>
      <c r="AZ5019" s="46">
        <f t="shared" si="237"/>
        <v>0</v>
      </c>
    </row>
    <row r="5020" spans="50:52">
      <c r="AX5020" s="46">
        <f t="shared" si="235"/>
        <v>0</v>
      </c>
      <c r="AY5020" s="46">
        <f t="shared" si="236"/>
        <v>0</v>
      </c>
      <c r="AZ5020" s="46">
        <f t="shared" si="237"/>
        <v>0</v>
      </c>
    </row>
    <row r="5021" spans="50:52">
      <c r="AX5021" s="46">
        <f t="shared" si="235"/>
        <v>0</v>
      </c>
      <c r="AY5021" s="46">
        <f t="shared" si="236"/>
        <v>0</v>
      </c>
      <c r="AZ5021" s="46">
        <f t="shared" si="237"/>
        <v>0</v>
      </c>
    </row>
    <row r="5022" spans="50:52">
      <c r="AX5022" s="46">
        <f t="shared" si="235"/>
        <v>0</v>
      </c>
      <c r="AY5022" s="46">
        <f t="shared" si="236"/>
        <v>0</v>
      </c>
      <c r="AZ5022" s="46">
        <f t="shared" si="237"/>
        <v>0</v>
      </c>
    </row>
    <row r="5023" spans="50:52">
      <c r="AX5023" s="46">
        <f t="shared" si="235"/>
        <v>0</v>
      </c>
      <c r="AY5023" s="46">
        <f t="shared" si="236"/>
        <v>0</v>
      </c>
      <c r="AZ5023" s="46">
        <f t="shared" si="237"/>
        <v>0</v>
      </c>
    </row>
    <row r="5024" spans="50:52">
      <c r="AX5024" s="46">
        <f t="shared" si="235"/>
        <v>0</v>
      </c>
      <c r="AY5024" s="46">
        <f t="shared" si="236"/>
        <v>0</v>
      </c>
      <c r="AZ5024" s="46">
        <f t="shared" si="237"/>
        <v>0</v>
      </c>
    </row>
    <row r="5025" spans="50:52">
      <c r="AX5025" s="46">
        <f t="shared" si="235"/>
        <v>0</v>
      </c>
      <c r="AY5025" s="46">
        <f t="shared" si="236"/>
        <v>0</v>
      </c>
      <c r="AZ5025" s="46">
        <f t="shared" si="237"/>
        <v>0</v>
      </c>
    </row>
    <row r="5026" spans="50:52">
      <c r="AX5026" s="46">
        <f t="shared" si="235"/>
        <v>0</v>
      </c>
      <c r="AY5026" s="46">
        <f t="shared" si="236"/>
        <v>0</v>
      </c>
      <c r="AZ5026" s="46">
        <f t="shared" si="237"/>
        <v>0</v>
      </c>
    </row>
    <row r="5027" spans="50:52">
      <c r="AX5027" s="46">
        <f t="shared" si="235"/>
        <v>0</v>
      </c>
      <c r="AY5027" s="46">
        <f t="shared" si="236"/>
        <v>0</v>
      </c>
      <c r="AZ5027" s="46">
        <f t="shared" si="237"/>
        <v>0</v>
      </c>
    </row>
    <row r="5028" spans="50:52">
      <c r="AX5028" s="46">
        <f t="shared" si="235"/>
        <v>0</v>
      </c>
      <c r="AY5028" s="46">
        <f t="shared" si="236"/>
        <v>0</v>
      </c>
      <c r="AZ5028" s="46">
        <f t="shared" si="237"/>
        <v>0</v>
      </c>
    </row>
    <row r="5029" spans="50:52">
      <c r="AX5029" s="46">
        <f t="shared" si="235"/>
        <v>0</v>
      </c>
      <c r="AY5029" s="46">
        <f t="shared" si="236"/>
        <v>0</v>
      </c>
      <c r="AZ5029" s="46">
        <f t="shared" si="237"/>
        <v>0</v>
      </c>
    </row>
    <row r="5030" spans="50:52">
      <c r="AX5030" s="46">
        <f t="shared" si="235"/>
        <v>0</v>
      </c>
      <c r="AY5030" s="46">
        <f t="shared" si="236"/>
        <v>0</v>
      </c>
      <c r="AZ5030" s="46">
        <f t="shared" si="237"/>
        <v>0</v>
      </c>
    </row>
    <row r="5031" spans="50:52">
      <c r="AX5031" s="46">
        <f t="shared" si="235"/>
        <v>0</v>
      </c>
      <c r="AY5031" s="46">
        <f t="shared" si="236"/>
        <v>0</v>
      </c>
      <c r="AZ5031" s="46">
        <f t="shared" si="237"/>
        <v>0</v>
      </c>
    </row>
    <row r="5032" spans="50:52">
      <c r="AX5032" s="46">
        <f t="shared" si="235"/>
        <v>0</v>
      </c>
      <c r="AY5032" s="46">
        <f t="shared" si="236"/>
        <v>0</v>
      </c>
      <c r="AZ5032" s="46">
        <f t="shared" si="237"/>
        <v>0</v>
      </c>
    </row>
    <row r="5033" spans="50:52">
      <c r="AX5033" s="46">
        <f t="shared" si="235"/>
        <v>0</v>
      </c>
      <c r="AY5033" s="46">
        <f t="shared" si="236"/>
        <v>0</v>
      </c>
      <c r="AZ5033" s="46">
        <f t="shared" si="237"/>
        <v>0</v>
      </c>
    </row>
    <row r="5034" spans="50:52">
      <c r="AX5034" s="46">
        <f t="shared" si="235"/>
        <v>0</v>
      </c>
      <c r="AY5034" s="46">
        <f t="shared" si="236"/>
        <v>0</v>
      </c>
      <c r="AZ5034" s="46">
        <f t="shared" si="237"/>
        <v>0</v>
      </c>
    </row>
    <row r="5035" spans="50:52">
      <c r="AX5035" s="46">
        <f t="shared" si="235"/>
        <v>0</v>
      </c>
      <c r="AY5035" s="46">
        <f t="shared" si="236"/>
        <v>0</v>
      </c>
      <c r="AZ5035" s="46">
        <f t="shared" si="237"/>
        <v>0</v>
      </c>
    </row>
    <row r="5036" spans="50:52">
      <c r="AX5036" s="46">
        <f t="shared" si="235"/>
        <v>0</v>
      </c>
      <c r="AY5036" s="46">
        <f t="shared" si="236"/>
        <v>0</v>
      </c>
      <c r="AZ5036" s="46">
        <f t="shared" si="237"/>
        <v>0</v>
      </c>
    </row>
    <row r="5037" spans="50:52">
      <c r="AX5037" s="46">
        <f t="shared" si="235"/>
        <v>0</v>
      </c>
      <c r="AY5037" s="46">
        <f t="shared" si="236"/>
        <v>0</v>
      </c>
      <c r="AZ5037" s="46">
        <f t="shared" si="237"/>
        <v>0</v>
      </c>
    </row>
    <row r="5038" spans="50:52">
      <c r="AX5038" s="46">
        <f t="shared" si="235"/>
        <v>0</v>
      </c>
      <c r="AY5038" s="46">
        <f t="shared" si="236"/>
        <v>0</v>
      </c>
      <c r="AZ5038" s="46">
        <f t="shared" si="237"/>
        <v>0</v>
      </c>
    </row>
    <row r="5039" spans="50:52">
      <c r="AX5039" s="46">
        <f t="shared" si="235"/>
        <v>0</v>
      </c>
      <c r="AY5039" s="46">
        <f t="shared" si="236"/>
        <v>0</v>
      </c>
      <c r="AZ5039" s="46">
        <f t="shared" si="237"/>
        <v>0</v>
      </c>
    </row>
    <row r="5040" spans="50:52">
      <c r="AX5040" s="46">
        <f t="shared" si="235"/>
        <v>0</v>
      </c>
      <c r="AY5040" s="46">
        <f t="shared" si="236"/>
        <v>0</v>
      </c>
      <c r="AZ5040" s="46">
        <f t="shared" si="237"/>
        <v>0</v>
      </c>
    </row>
    <row r="5041" spans="50:52">
      <c r="AX5041" s="46">
        <f t="shared" si="235"/>
        <v>0</v>
      </c>
      <c r="AY5041" s="46">
        <f t="shared" si="236"/>
        <v>0</v>
      </c>
      <c r="AZ5041" s="46">
        <f t="shared" si="237"/>
        <v>0</v>
      </c>
    </row>
    <row r="5042" spans="50:52">
      <c r="AX5042" s="46">
        <f t="shared" si="235"/>
        <v>0</v>
      </c>
      <c r="AY5042" s="46">
        <f t="shared" si="236"/>
        <v>0</v>
      </c>
      <c r="AZ5042" s="46">
        <f t="shared" si="237"/>
        <v>0</v>
      </c>
    </row>
    <row r="5043" spans="50:52">
      <c r="AX5043" s="46">
        <f t="shared" si="235"/>
        <v>0</v>
      </c>
      <c r="AY5043" s="46">
        <f t="shared" si="236"/>
        <v>0</v>
      </c>
      <c r="AZ5043" s="46">
        <f t="shared" si="237"/>
        <v>0</v>
      </c>
    </row>
    <row r="5044" spans="50:52">
      <c r="AX5044" s="46">
        <f t="shared" si="235"/>
        <v>0</v>
      </c>
      <c r="AY5044" s="46">
        <f t="shared" si="236"/>
        <v>0</v>
      </c>
      <c r="AZ5044" s="46">
        <f t="shared" si="237"/>
        <v>0</v>
      </c>
    </row>
    <row r="5045" spans="50:52">
      <c r="AX5045" s="46">
        <f t="shared" si="235"/>
        <v>0</v>
      </c>
      <c r="AY5045" s="46">
        <f t="shared" si="236"/>
        <v>0</v>
      </c>
      <c r="AZ5045" s="46">
        <f t="shared" si="237"/>
        <v>0</v>
      </c>
    </row>
    <row r="5046" spans="50:52">
      <c r="AX5046" s="46">
        <f t="shared" si="235"/>
        <v>0</v>
      </c>
      <c r="AY5046" s="46">
        <f t="shared" si="236"/>
        <v>0</v>
      </c>
      <c r="AZ5046" s="46">
        <f t="shared" si="237"/>
        <v>0</v>
      </c>
    </row>
    <row r="5047" spans="50:52">
      <c r="AX5047" s="46">
        <f t="shared" si="235"/>
        <v>0</v>
      </c>
      <c r="AY5047" s="46">
        <f t="shared" si="236"/>
        <v>0</v>
      </c>
      <c r="AZ5047" s="46">
        <f t="shared" si="237"/>
        <v>0</v>
      </c>
    </row>
    <row r="5048" spans="50:52">
      <c r="AX5048" s="46">
        <f t="shared" si="235"/>
        <v>0</v>
      </c>
      <c r="AY5048" s="46">
        <f t="shared" si="236"/>
        <v>0</v>
      </c>
      <c r="AZ5048" s="46">
        <f t="shared" si="237"/>
        <v>0</v>
      </c>
    </row>
    <row r="5049" spans="50:52">
      <c r="AX5049" s="46">
        <f t="shared" si="235"/>
        <v>0</v>
      </c>
      <c r="AY5049" s="46">
        <f t="shared" si="236"/>
        <v>0</v>
      </c>
      <c r="AZ5049" s="46">
        <f t="shared" si="237"/>
        <v>0</v>
      </c>
    </row>
    <row r="5050" spans="50:52">
      <c r="AX5050" s="46">
        <f t="shared" si="235"/>
        <v>0</v>
      </c>
      <c r="AY5050" s="46">
        <f t="shared" si="236"/>
        <v>0</v>
      </c>
      <c r="AZ5050" s="46">
        <f t="shared" si="237"/>
        <v>0</v>
      </c>
    </row>
    <row r="5051" spans="50:52">
      <c r="AX5051" s="46">
        <f t="shared" si="235"/>
        <v>0</v>
      </c>
      <c r="AY5051" s="46">
        <f t="shared" si="236"/>
        <v>0</v>
      </c>
      <c r="AZ5051" s="46">
        <f t="shared" si="237"/>
        <v>0</v>
      </c>
    </row>
    <row r="5052" spans="50:52">
      <c r="AX5052" s="46">
        <f t="shared" si="235"/>
        <v>0</v>
      </c>
      <c r="AY5052" s="46">
        <f t="shared" si="236"/>
        <v>0</v>
      </c>
      <c r="AZ5052" s="46">
        <f t="shared" si="237"/>
        <v>0</v>
      </c>
    </row>
    <row r="5053" spans="50:52">
      <c r="AX5053" s="46">
        <f t="shared" si="235"/>
        <v>0</v>
      </c>
      <c r="AY5053" s="46">
        <f t="shared" si="236"/>
        <v>0</v>
      </c>
      <c r="AZ5053" s="46">
        <f t="shared" si="237"/>
        <v>0</v>
      </c>
    </row>
    <row r="5054" spans="50:52">
      <c r="AX5054" s="46">
        <f t="shared" si="235"/>
        <v>0</v>
      </c>
      <c r="AY5054" s="46">
        <f t="shared" si="236"/>
        <v>0</v>
      </c>
      <c r="AZ5054" s="46">
        <f t="shared" si="237"/>
        <v>0</v>
      </c>
    </row>
    <row r="5055" spans="50:52">
      <c r="AX5055" s="46">
        <f t="shared" si="235"/>
        <v>0</v>
      </c>
      <c r="AY5055" s="46">
        <f t="shared" si="236"/>
        <v>0</v>
      </c>
      <c r="AZ5055" s="46">
        <f t="shared" si="237"/>
        <v>0</v>
      </c>
    </row>
    <row r="5056" spans="50:52">
      <c r="AX5056" s="46">
        <f t="shared" si="235"/>
        <v>0</v>
      </c>
      <c r="AY5056" s="46">
        <f t="shared" si="236"/>
        <v>0</v>
      </c>
      <c r="AZ5056" s="46">
        <f t="shared" si="237"/>
        <v>0</v>
      </c>
    </row>
    <row r="5057" spans="50:52">
      <c r="AX5057" s="46">
        <f t="shared" si="235"/>
        <v>0</v>
      </c>
      <c r="AY5057" s="46">
        <f t="shared" si="236"/>
        <v>0</v>
      </c>
      <c r="AZ5057" s="46">
        <f t="shared" si="237"/>
        <v>0</v>
      </c>
    </row>
    <row r="5058" spans="50:52">
      <c r="AX5058" s="46">
        <f t="shared" si="235"/>
        <v>0</v>
      </c>
      <c r="AY5058" s="46">
        <f t="shared" si="236"/>
        <v>0</v>
      </c>
      <c r="AZ5058" s="46">
        <f t="shared" si="237"/>
        <v>0</v>
      </c>
    </row>
    <row r="5059" spans="50:52">
      <c r="AX5059" s="46">
        <f t="shared" si="235"/>
        <v>0</v>
      </c>
      <c r="AY5059" s="46">
        <f t="shared" si="236"/>
        <v>0</v>
      </c>
      <c r="AZ5059" s="46">
        <f t="shared" si="237"/>
        <v>0</v>
      </c>
    </row>
    <row r="5060" spans="50:52">
      <c r="AX5060" s="46">
        <f t="shared" si="235"/>
        <v>0</v>
      </c>
      <c r="AY5060" s="46">
        <f t="shared" si="236"/>
        <v>0</v>
      </c>
      <c r="AZ5060" s="46">
        <f t="shared" si="237"/>
        <v>0</v>
      </c>
    </row>
    <row r="5061" spans="50:52">
      <c r="AX5061" s="46">
        <f t="shared" si="235"/>
        <v>0</v>
      </c>
      <c r="AY5061" s="46">
        <f t="shared" si="236"/>
        <v>0</v>
      </c>
      <c r="AZ5061" s="46">
        <f t="shared" si="237"/>
        <v>0</v>
      </c>
    </row>
    <row r="5062" spans="50:52">
      <c r="AX5062" s="46">
        <f t="shared" si="235"/>
        <v>0</v>
      </c>
      <c r="AY5062" s="46">
        <f t="shared" si="236"/>
        <v>0</v>
      </c>
      <c r="AZ5062" s="46">
        <f t="shared" si="237"/>
        <v>0</v>
      </c>
    </row>
    <row r="5063" spans="50:52">
      <c r="AX5063" s="46">
        <f t="shared" si="235"/>
        <v>0</v>
      </c>
      <c r="AY5063" s="46">
        <f t="shared" si="236"/>
        <v>0</v>
      </c>
      <c r="AZ5063" s="46">
        <f t="shared" si="237"/>
        <v>0</v>
      </c>
    </row>
    <row r="5064" spans="50:52">
      <c r="AX5064" s="46">
        <f t="shared" si="235"/>
        <v>0</v>
      </c>
      <c r="AY5064" s="46">
        <f t="shared" si="236"/>
        <v>0</v>
      </c>
      <c r="AZ5064" s="46">
        <f t="shared" si="237"/>
        <v>0</v>
      </c>
    </row>
    <row r="5065" spans="50:52">
      <c r="AX5065" s="46">
        <f t="shared" si="235"/>
        <v>0</v>
      </c>
      <c r="AY5065" s="46">
        <f t="shared" si="236"/>
        <v>0</v>
      </c>
      <c r="AZ5065" s="46">
        <f t="shared" si="237"/>
        <v>0</v>
      </c>
    </row>
    <row r="5066" spans="50:52">
      <c r="AX5066" s="46">
        <f t="shared" si="235"/>
        <v>0</v>
      </c>
      <c r="AY5066" s="46">
        <f t="shared" si="236"/>
        <v>0</v>
      </c>
      <c r="AZ5066" s="46">
        <f t="shared" si="237"/>
        <v>0</v>
      </c>
    </row>
    <row r="5067" spans="50:52">
      <c r="AX5067" s="46">
        <f t="shared" ref="AX5067:AX5130" si="238">IFERROR(SUM(Q5067:AS5067)-SUM(AT5067:AU5067)+AV5067,"-")</f>
        <v>0</v>
      </c>
      <c r="AY5067" s="46">
        <f t="shared" ref="AY5067:AY5130" si="239">IFERROR(SUM(Q5067:AS5067)-SUM(AT5067:AT5067),"-")</f>
        <v>0</v>
      </c>
      <c r="AZ5067" s="46">
        <f t="shared" ref="AZ5067:AZ5130" si="240">SUM(Q5067:AS5067)</f>
        <v>0</v>
      </c>
    </row>
    <row r="5068" spans="50:52">
      <c r="AX5068" s="46">
        <f t="shared" si="238"/>
        <v>0</v>
      </c>
      <c r="AY5068" s="46">
        <f t="shared" si="239"/>
        <v>0</v>
      </c>
      <c r="AZ5068" s="46">
        <f t="shared" si="240"/>
        <v>0</v>
      </c>
    </row>
    <row r="5069" spans="50:52">
      <c r="AX5069" s="46">
        <f t="shared" si="238"/>
        <v>0</v>
      </c>
      <c r="AY5069" s="46">
        <f t="shared" si="239"/>
        <v>0</v>
      </c>
      <c r="AZ5069" s="46">
        <f t="shared" si="240"/>
        <v>0</v>
      </c>
    </row>
    <row r="5070" spans="50:52">
      <c r="AX5070" s="46">
        <f t="shared" si="238"/>
        <v>0</v>
      </c>
      <c r="AY5070" s="46">
        <f t="shared" si="239"/>
        <v>0</v>
      </c>
      <c r="AZ5070" s="46">
        <f t="shared" si="240"/>
        <v>0</v>
      </c>
    </row>
    <row r="5071" spans="50:52">
      <c r="AX5071" s="46">
        <f t="shared" si="238"/>
        <v>0</v>
      </c>
      <c r="AY5071" s="46">
        <f t="shared" si="239"/>
        <v>0</v>
      </c>
      <c r="AZ5071" s="46">
        <f t="shared" si="240"/>
        <v>0</v>
      </c>
    </row>
    <row r="5072" spans="50:52">
      <c r="AX5072" s="46">
        <f t="shared" si="238"/>
        <v>0</v>
      </c>
      <c r="AY5072" s="46">
        <f t="shared" si="239"/>
        <v>0</v>
      </c>
      <c r="AZ5072" s="46">
        <f t="shared" si="240"/>
        <v>0</v>
      </c>
    </row>
    <row r="5073" spans="50:52">
      <c r="AX5073" s="46">
        <f t="shared" si="238"/>
        <v>0</v>
      </c>
      <c r="AY5073" s="46">
        <f t="shared" si="239"/>
        <v>0</v>
      </c>
      <c r="AZ5073" s="46">
        <f t="shared" si="240"/>
        <v>0</v>
      </c>
    </row>
    <row r="5074" spans="50:52">
      <c r="AX5074" s="46">
        <f t="shared" si="238"/>
        <v>0</v>
      </c>
      <c r="AY5074" s="46">
        <f t="shared" si="239"/>
        <v>0</v>
      </c>
      <c r="AZ5074" s="46">
        <f t="shared" si="240"/>
        <v>0</v>
      </c>
    </row>
    <row r="5075" spans="50:52">
      <c r="AX5075" s="46">
        <f t="shared" si="238"/>
        <v>0</v>
      </c>
      <c r="AY5075" s="46">
        <f t="shared" si="239"/>
        <v>0</v>
      </c>
      <c r="AZ5075" s="46">
        <f t="shared" si="240"/>
        <v>0</v>
      </c>
    </row>
    <row r="5076" spans="50:52">
      <c r="AX5076" s="46">
        <f t="shared" si="238"/>
        <v>0</v>
      </c>
      <c r="AY5076" s="46">
        <f t="shared" si="239"/>
        <v>0</v>
      </c>
      <c r="AZ5076" s="46">
        <f t="shared" si="240"/>
        <v>0</v>
      </c>
    </row>
    <row r="5077" spans="50:52">
      <c r="AX5077" s="46">
        <f t="shared" si="238"/>
        <v>0</v>
      </c>
      <c r="AY5077" s="46">
        <f t="shared" si="239"/>
        <v>0</v>
      </c>
      <c r="AZ5077" s="46">
        <f t="shared" si="240"/>
        <v>0</v>
      </c>
    </row>
    <row r="5078" spans="50:52">
      <c r="AX5078" s="46">
        <f t="shared" si="238"/>
        <v>0</v>
      </c>
      <c r="AY5078" s="46">
        <f t="shared" si="239"/>
        <v>0</v>
      </c>
      <c r="AZ5078" s="46">
        <f t="shared" si="240"/>
        <v>0</v>
      </c>
    </row>
    <row r="5079" spans="50:52">
      <c r="AX5079" s="46">
        <f t="shared" si="238"/>
        <v>0</v>
      </c>
      <c r="AY5079" s="46">
        <f t="shared" si="239"/>
        <v>0</v>
      </c>
      <c r="AZ5079" s="46">
        <f t="shared" si="240"/>
        <v>0</v>
      </c>
    </row>
    <row r="5080" spans="50:52">
      <c r="AX5080" s="46">
        <f t="shared" si="238"/>
        <v>0</v>
      </c>
      <c r="AY5080" s="46">
        <f t="shared" si="239"/>
        <v>0</v>
      </c>
      <c r="AZ5080" s="46">
        <f t="shared" si="240"/>
        <v>0</v>
      </c>
    </row>
    <row r="5081" spans="50:52">
      <c r="AX5081" s="46">
        <f t="shared" si="238"/>
        <v>0</v>
      </c>
      <c r="AY5081" s="46">
        <f t="shared" si="239"/>
        <v>0</v>
      </c>
      <c r="AZ5081" s="46">
        <f t="shared" si="240"/>
        <v>0</v>
      </c>
    </row>
    <row r="5082" spans="50:52">
      <c r="AX5082" s="46">
        <f t="shared" si="238"/>
        <v>0</v>
      </c>
      <c r="AY5082" s="46">
        <f t="shared" si="239"/>
        <v>0</v>
      </c>
      <c r="AZ5082" s="46">
        <f t="shared" si="240"/>
        <v>0</v>
      </c>
    </row>
    <row r="5083" spans="50:52">
      <c r="AX5083" s="46">
        <f t="shared" si="238"/>
        <v>0</v>
      </c>
      <c r="AY5083" s="46">
        <f t="shared" si="239"/>
        <v>0</v>
      </c>
      <c r="AZ5083" s="46">
        <f t="shared" si="240"/>
        <v>0</v>
      </c>
    </row>
    <row r="5084" spans="50:52">
      <c r="AX5084" s="46">
        <f t="shared" si="238"/>
        <v>0</v>
      </c>
      <c r="AY5084" s="46">
        <f t="shared" si="239"/>
        <v>0</v>
      </c>
      <c r="AZ5084" s="46">
        <f t="shared" si="240"/>
        <v>0</v>
      </c>
    </row>
    <row r="5085" spans="50:52">
      <c r="AX5085" s="46">
        <f t="shared" si="238"/>
        <v>0</v>
      </c>
      <c r="AY5085" s="46">
        <f t="shared" si="239"/>
        <v>0</v>
      </c>
      <c r="AZ5085" s="46">
        <f t="shared" si="240"/>
        <v>0</v>
      </c>
    </row>
    <row r="5086" spans="50:52">
      <c r="AX5086" s="46">
        <f t="shared" si="238"/>
        <v>0</v>
      </c>
      <c r="AY5086" s="46">
        <f t="shared" si="239"/>
        <v>0</v>
      </c>
      <c r="AZ5086" s="46">
        <f t="shared" si="240"/>
        <v>0</v>
      </c>
    </row>
    <row r="5087" spans="50:52">
      <c r="AX5087" s="46">
        <f t="shared" si="238"/>
        <v>0</v>
      </c>
      <c r="AY5087" s="46">
        <f t="shared" si="239"/>
        <v>0</v>
      </c>
      <c r="AZ5087" s="46">
        <f t="shared" si="240"/>
        <v>0</v>
      </c>
    </row>
    <row r="5088" spans="50:52">
      <c r="AX5088" s="46">
        <f t="shared" si="238"/>
        <v>0</v>
      </c>
      <c r="AY5088" s="46">
        <f t="shared" si="239"/>
        <v>0</v>
      </c>
      <c r="AZ5088" s="46">
        <f t="shared" si="240"/>
        <v>0</v>
      </c>
    </row>
    <row r="5089" spans="50:52">
      <c r="AX5089" s="46">
        <f t="shared" si="238"/>
        <v>0</v>
      </c>
      <c r="AY5089" s="46">
        <f t="shared" si="239"/>
        <v>0</v>
      </c>
      <c r="AZ5089" s="46">
        <f t="shared" si="240"/>
        <v>0</v>
      </c>
    </row>
    <row r="5090" spans="50:52">
      <c r="AX5090" s="46">
        <f t="shared" si="238"/>
        <v>0</v>
      </c>
      <c r="AY5090" s="46">
        <f t="shared" si="239"/>
        <v>0</v>
      </c>
      <c r="AZ5090" s="46">
        <f t="shared" si="240"/>
        <v>0</v>
      </c>
    </row>
    <row r="5091" spans="50:52">
      <c r="AX5091" s="46">
        <f t="shared" si="238"/>
        <v>0</v>
      </c>
      <c r="AY5091" s="46">
        <f t="shared" si="239"/>
        <v>0</v>
      </c>
      <c r="AZ5091" s="46">
        <f t="shared" si="240"/>
        <v>0</v>
      </c>
    </row>
    <row r="5092" spans="50:52">
      <c r="AX5092" s="46">
        <f t="shared" si="238"/>
        <v>0</v>
      </c>
      <c r="AY5092" s="46">
        <f t="shared" si="239"/>
        <v>0</v>
      </c>
      <c r="AZ5092" s="46">
        <f t="shared" si="240"/>
        <v>0</v>
      </c>
    </row>
    <row r="5093" spans="50:52">
      <c r="AX5093" s="46">
        <f t="shared" si="238"/>
        <v>0</v>
      </c>
      <c r="AY5093" s="46">
        <f t="shared" si="239"/>
        <v>0</v>
      </c>
      <c r="AZ5093" s="46">
        <f t="shared" si="240"/>
        <v>0</v>
      </c>
    </row>
    <row r="5094" spans="50:52">
      <c r="AX5094" s="46">
        <f t="shared" si="238"/>
        <v>0</v>
      </c>
      <c r="AY5094" s="46">
        <f t="shared" si="239"/>
        <v>0</v>
      </c>
      <c r="AZ5094" s="46">
        <f t="shared" si="240"/>
        <v>0</v>
      </c>
    </row>
    <row r="5095" spans="50:52">
      <c r="AX5095" s="46">
        <f t="shared" si="238"/>
        <v>0</v>
      </c>
      <c r="AY5095" s="46">
        <f t="shared" si="239"/>
        <v>0</v>
      </c>
      <c r="AZ5095" s="46">
        <f t="shared" si="240"/>
        <v>0</v>
      </c>
    </row>
    <row r="5096" spans="50:52">
      <c r="AX5096" s="46">
        <f t="shared" si="238"/>
        <v>0</v>
      </c>
      <c r="AY5096" s="46">
        <f t="shared" si="239"/>
        <v>0</v>
      </c>
      <c r="AZ5096" s="46">
        <f t="shared" si="240"/>
        <v>0</v>
      </c>
    </row>
    <row r="5097" spans="50:52">
      <c r="AX5097" s="46">
        <f t="shared" si="238"/>
        <v>0</v>
      </c>
      <c r="AY5097" s="46">
        <f t="shared" si="239"/>
        <v>0</v>
      </c>
      <c r="AZ5097" s="46">
        <f t="shared" si="240"/>
        <v>0</v>
      </c>
    </row>
    <row r="5098" spans="50:52">
      <c r="AX5098" s="46">
        <f t="shared" si="238"/>
        <v>0</v>
      </c>
      <c r="AY5098" s="46">
        <f t="shared" si="239"/>
        <v>0</v>
      </c>
      <c r="AZ5098" s="46">
        <f t="shared" si="240"/>
        <v>0</v>
      </c>
    </row>
    <row r="5099" spans="50:52">
      <c r="AX5099" s="46">
        <f t="shared" si="238"/>
        <v>0</v>
      </c>
      <c r="AY5099" s="46">
        <f t="shared" si="239"/>
        <v>0</v>
      </c>
      <c r="AZ5099" s="46">
        <f t="shared" si="240"/>
        <v>0</v>
      </c>
    </row>
    <row r="5100" spans="50:52">
      <c r="AX5100" s="46">
        <f t="shared" si="238"/>
        <v>0</v>
      </c>
      <c r="AY5100" s="46">
        <f t="shared" si="239"/>
        <v>0</v>
      </c>
      <c r="AZ5100" s="46">
        <f t="shared" si="240"/>
        <v>0</v>
      </c>
    </row>
    <row r="5101" spans="50:52">
      <c r="AX5101" s="46">
        <f t="shared" si="238"/>
        <v>0</v>
      </c>
      <c r="AY5101" s="46">
        <f t="shared" si="239"/>
        <v>0</v>
      </c>
      <c r="AZ5101" s="46">
        <f t="shared" si="240"/>
        <v>0</v>
      </c>
    </row>
    <row r="5102" spans="50:52">
      <c r="AX5102" s="46">
        <f t="shared" si="238"/>
        <v>0</v>
      </c>
      <c r="AY5102" s="46">
        <f t="shared" si="239"/>
        <v>0</v>
      </c>
      <c r="AZ5102" s="46">
        <f t="shared" si="240"/>
        <v>0</v>
      </c>
    </row>
    <row r="5103" spans="50:52">
      <c r="AX5103" s="46">
        <f t="shared" si="238"/>
        <v>0</v>
      </c>
      <c r="AY5103" s="46">
        <f t="shared" si="239"/>
        <v>0</v>
      </c>
      <c r="AZ5103" s="46">
        <f t="shared" si="240"/>
        <v>0</v>
      </c>
    </row>
    <row r="5104" spans="50:52">
      <c r="AX5104" s="46">
        <f t="shared" si="238"/>
        <v>0</v>
      </c>
      <c r="AY5104" s="46">
        <f t="shared" si="239"/>
        <v>0</v>
      </c>
      <c r="AZ5104" s="46">
        <f t="shared" si="240"/>
        <v>0</v>
      </c>
    </row>
    <row r="5105" spans="50:52">
      <c r="AX5105" s="46">
        <f t="shared" si="238"/>
        <v>0</v>
      </c>
      <c r="AY5105" s="46">
        <f t="shared" si="239"/>
        <v>0</v>
      </c>
      <c r="AZ5105" s="46">
        <f t="shared" si="240"/>
        <v>0</v>
      </c>
    </row>
    <row r="5106" spans="50:52">
      <c r="AX5106" s="46">
        <f t="shared" si="238"/>
        <v>0</v>
      </c>
      <c r="AY5106" s="46">
        <f t="shared" si="239"/>
        <v>0</v>
      </c>
      <c r="AZ5106" s="46">
        <f t="shared" si="240"/>
        <v>0</v>
      </c>
    </row>
    <row r="5107" spans="50:52">
      <c r="AX5107" s="46">
        <f t="shared" si="238"/>
        <v>0</v>
      </c>
      <c r="AY5107" s="46">
        <f t="shared" si="239"/>
        <v>0</v>
      </c>
      <c r="AZ5107" s="46">
        <f t="shared" si="240"/>
        <v>0</v>
      </c>
    </row>
    <row r="5108" spans="50:52">
      <c r="AX5108" s="46">
        <f t="shared" si="238"/>
        <v>0</v>
      </c>
      <c r="AY5108" s="46">
        <f t="shared" si="239"/>
        <v>0</v>
      </c>
      <c r="AZ5108" s="46">
        <f t="shared" si="240"/>
        <v>0</v>
      </c>
    </row>
    <row r="5109" spans="50:52">
      <c r="AX5109" s="46">
        <f t="shared" si="238"/>
        <v>0</v>
      </c>
      <c r="AY5109" s="46">
        <f t="shared" si="239"/>
        <v>0</v>
      </c>
      <c r="AZ5109" s="46">
        <f t="shared" si="240"/>
        <v>0</v>
      </c>
    </row>
    <row r="5110" spans="50:52">
      <c r="AX5110" s="46">
        <f t="shared" si="238"/>
        <v>0</v>
      </c>
      <c r="AY5110" s="46">
        <f t="shared" si="239"/>
        <v>0</v>
      </c>
      <c r="AZ5110" s="46">
        <f t="shared" si="240"/>
        <v>0</v>
      </c>
    </row>
    <row r="5111" spans="50:52">
      <c r="AX5111" s="46">
        <f t="shared" si="238"/>
        <v>0</v>
      </c>
      <c r="AY5111" s="46">
        <f t="shared" si="239"/>
        <v>0</v>
      </c>
      <c r="AZ5111" s="46">
        <f t="shared" si="240"/>
        <v>0</v>
      </c>
    </row>
    <row r="5112" spans="50:52">
      <c r="AX5112" s="46">
        <f t="shared" si="238"/>
        <v>0</v>
      </c>
      <c r="AY5112" s="46">
        <f t="shared" si="239"/>
        <v>0</v>
      </c>
      <c r="AZ5112" s="46">
        <f t="shared" si="240"/>
        <v>0</v>
      </c>
    </row>
    <row r="5113" spans="50:52">
      <c r="AX5113" s="46">
        <f t="shared" si="238"/>
        <v>0</v>
      </c>
      <c r="AY5113" s="46">
        <f t="shared" si="239"/>
        <v>0</v>
      </c>
      <c r="AZ5113" s="46">
        <f t="shared" si="240"/>
        <v>0</v>
      </c>
    </row>
    <row r="5114" spans="50:52">
      <c r="AX5114" s="46">
        <f t="shared" si="238"/>
        <v>0</v>
      </c>
      <c r="AY5114" s="46">
        <f t="shared" si="239"/>
        <v>0</v>
      </c>
      <c r="AZ5114" s="46">
        <f t="shared" si="240"/>
        <v>0</v>
      </c>
    </row>
    <row r="5115" spans="50:52">
      <c r="AX5115" s="46">
        <f t="shared" si="238"/>
        <v>0</v>
      </c>
      <c r="AY5115" s="46">
        <f t="shared" si="239"/>
        <v>0</v>
      </c>
      <c r="AZ5115" s="46">
        <f t="shared" si="240"/>
        <v>0</v>
      </c>
    </row>
    <row r="5116" spans="50:52">
      <c r="AX5116" s="46">
        <f t="shared" si="238"/>
        <v>0</v>
      </c>
      <c r="AY5116" s="46">
        <f t="shared" si="239"/>
        <v>0</v>
      </c>
      <c r="AZ5116" s="46">
        <f t="shared" si="240"/>
        <v>0</v>
      </c>
    </row>
    <row r="5117" spans="50:52">
      <c r="AX5117" s="46">
        <f t="shared" si="238"/>
        <v>0</v>
      </c>
      <c r="AY5117" s="46">
        <f t="shared" si="239"/>
        <v>0</v>
      </c>
      <c r="AZ5117" s="46">
        <f t="shared" si="240"/>
        <v>0</v>
      </c>
    </row>
    <row r="5118" spans="50:52">
      <c r="AX5118" s="46">
        <f t="shared" si="238"/>
        <v>0</v>
      </c>
      <c r="AY5118" s="46">
        <f t="shared" si="239"/>
        <v>0</v>
      </c>
      <c r="AZ5118" s="46">
        <f t="shared" si="240"/>
        <v>0</v>
      </c>
    </row>
    <row r="5119" spans="50:52">
      <c r="AX5119" s="46">
        <f t="shared" si="238"/>
        <v>0</v>
      </c>
      <c r="AY5119" s="46">
        <f t="shared" si="239"/>
        <v>0</v>
      </c>
      <c r="AZ5119" s="46">
        <f t="shared" si="240"/>
        <v>0</v>
      </c>
    </row>
    <row r="5120" spans="50:52">
      <c r="AX5120" s="46">
        <f t="shared" si="238"/>
        <v>0</v>
      </c>
      <c r="AY5120" s="46">
        <f t="shared" si="239"/>
        <v>0</v>
      </c>
      <c r="AZ5120" s="46">
        <f t="shared" si="240"/>
        <v>0</v>
      </c>
    </row>
    <row r="5121" spans="50:52">
      <c r="AX5121" s="46">
        <f t="shared" si="238"/>
        <v>0</v>
      </c>
      <c r="AY5121" s="46">
        <f t="shared" si="239"/>
        <v>0</v>
      </c>
      <c r="AZ5121" s="46">
        <f t="shared" si="240"/>
        <v>0</v>
      </c>
    </row>
    <row r="5122" spans="50:52">
      <c r="AX5122" s="46">
        <f t="shared" si="238"/>
        <v>0</v>
      </c>
      <c r="AY5122" s="46">
        <f t="shared" si="239"/>
        <v>0</v>
      </c>
      <c r="AZ5122" s="46">
        <f t="shared" si="240"/>
        <v>0</v>
      </c>
    </row>
    <row r="5123" spans="50:52">
      <c r="AX5123" s="46">
        <f t="shared" si="238"/>
        <v>0</v>
      </c>
      <c r="AY5123" s="46">
        <f t="shared" si="239"/>
        <v>0</v>
      </c>
      <c r="AZ5123" s="46">
        <f t="shared" si="240"/>
        <v>0</v>
      </c>
    </row>
    <row r="5124" spans="50:52">
      <c r="AX5124" s="46">
        <f t="shared" si="238"/>
        <v>0</v>
      </c>
      <c r="AY5124" s="46">
        <f t="shared" si="239"/>
        <v>0</v>
      </c>
      <c r="AZ5124" s="46">
        <f t="shared" si="240"/>
        <v>0</v>
      </c>
    </row>
    <row r="5125" spans="50:52">
      <c r="AX5125" s="46">
        <f t="shared" si="238"/>
        <v>0</v>
      </c>
      <c r="AY5125" s="46">
        <f t="shared" si="239"/>
        <v>0</v>
      </c>
      <c r="AZ5125" s="46">
        <f t="shared" si="240"/>
        <v>0</v>
      </c>
    </row>
    <row r="5126" spans="50:52">
      <c r="AX5126" s="46">
        <f t="shared" si="238"/>
        <v>0</v>
      </c>
      <c r="AY5126" s="46">
        <f t="shared" si="239"/>
        <v>0</v>
      </c>
      <c r="AZ5126" s="46">
        <f t="shared" si="240"/>
        <v>0</v>
      </c>
    </row>
    <row r="5127" spans="50:52">
      <c r="AX5127" s="46">
        <f t="shared" si="238"/>
        <v>0</v>
      </c>
      <c r="AY5127" s="46">
        <f t="shared" si="239"/>
        <v>0</v>
      </c>
      <c r="AZ5127" s="46">
        <f t="shared" si="240"/>
        <v>0</v>
      </c>
    </row>
    <row r="5128" spans="50:52">
      <c r="AX5128" s="46">
        <f t="shared" si="238"/>
        <v>0</v>
      </c>
      <c r="AY5128" s="46">
        <f t="shared" si="239"/>
        <v>0</v>
      </c>
      <c r="AZ5128" s="46">
        <f t="shared" si="240"/>
        <v>0</v>
      </c>
    </row>
    <row r="5129" spans="50:52">
      <c r="AX5129" s="46">
        <f t="shared" si="238"/>
        <v>0</v>
      </c>
      <c r="AY5129" s="46">
        <f t="shared" si="239"/>
        <v>0</v>
      </c>
      <c r="AZ5129" s="46">
        <f t="shared" si="240"/>
        <v>0</v>
      </c>
    </row>
    <row r="5130" spans="50:52">
      <c r="AX5130" s="46">
        <f t="shared" si="238"/>
        <v>0</v>
      </c>
      <c r="AY5130" s="46">
        <f t="shared" si="239"/>
        <v>0</v>
      </c>
      <c r="AZ5130" s="46">
        <f t="shared" si="240"/>
        <v>0</v>
      </c>
    </row>
    <row r="5131" spans="50:52">
      <c r="AX5131" s="46">
        <f t="shared" ref="AX5131:AX5194" si="241">IFERROR(SUM(Q5131:AS5131)-SUM(AT5131:AU5131)+AV5131,"-")</f>
        <v>0</v>
      </c>
      <c r="AY5131" s="46">
        <f t="shared" ref="AY5131:AY5194" si="242">IFERROR(SUM(Q5131:AS5131)-SUM(AT5131:AT5131),"-")</f>
        <v>0</v>
      </c>
      <c r="AZ5131" s="46">
        <f t="shared" ref="AZ5131:AZ5194" si="243">SUM(Q5131:AS5131)</f>
        <v>0</v>
      </c>
    </row>
    <row r="5132" spans="50:52">
      <c r="AX5132" s="46">
        <f t="shared" si="241"/>
        <v>0</v>
      </c>
      <c r="AY5132" s="46">
        <f t="shared" si="242"/>
        <v>0</v>
      </c>
      <c r="AZ5132" s="46">
        <f t="shared" si="243"/>
        <v>0</v>
      </c>
    </row>
    <row r="5133" spans="50:52">
      <c r="AX5133" s="46">
        <f t="shared" si="241"/>
        <v>0</v>
      </c>
      <c r="AY5133" s="46">
        <f t="shared" si="242"/>
        <v>0</v>
      </c>
      <c r="AZ5133" s="46">
        <f t="shared" si="243"/>
        <v>0</v>
      </c>
    </row>
    <row r="5134" spans="50:52">
      <c r="AX5134" s="46">
        <f t="shared" si="241"/>
        <v>0</v>
      </c>
      <c r="AY5134" s="46">
        <f t="shared" si="242"/>
        <v>0</v>
      </c>
      <c r="AZ5134" s="46">
        <f t="shared" si="243"/>
        <v>0</v>
      </c>
    </row>
    <row r="5135" spans="50:52">
      <c r="AX5135" s="46">
        <f t="shared" si="241"/>
        <v>0</v>
      </c>
      <c r="AY5135" s="46">
        <f t="shared" si="242"/>
        <v>0</v>
      </c>
      <c r="AZ5135" s="46">
        <f t="shared" si="243"/>
        <v>0</v>
      </c>
    </row>
    <row r="5136" spans="50:52">
      <c r="AX5136" s="46">
        <f t="shared" si="241"/>
        <v>0</v>
      </c>
      <c r="AY5136" s="46">
        <f t="shared" si="242"/>
        <v>0</v>
      </c>
      <c r="AZ5136" s="46">
        <f t="shared" si="243"/>
        <v>0</v>
      </c>
    </row>
    <row r="5137" spans="50:52">
      <c r="AX5137" s="46">
        <f t="shared" si="241"/>
        <v>0</v>
      </c>
      <c r="AY5137" s="46">
        <f t="shared" si="242"/>
        <v>0</v>
      </c>
      <c r="AZ5137" s="46">
        <f t="shared" si="243"/>
        <v>0</v>
      </c>
    </row>
    <row r="5138" spans="50:52">
      <c r="AX5138" s="46">
        <f t="shared" si="241"/>
        <v>0</v>
      </c>
      <c r="AY5138" s="46">
        <f t="shared" si="242"/>
        <v>0</v>
      </c>
      <c r="AZ5138" s="46">
        <f t="shared" si="243"/>
        <v>0</v>
      </c>
    </row>
    <row r="5139" spans="50:52">
      <c r="AX5139" s="46">
        <f t="shared" si="241"/>
        <v>0</v>
      </c>
      <c r="AY5139" s="46">
        <f t="shared" si="242"/>
        <v>0</v>
      </c>
      <c r="AZ5139" s="46">
        <f t="shared" si="243"/>
        <v>0</v>
      </c>
    </row>
    <row r="5140" spans="50:52">
      <c r="AX5140" s="46">
        <f t="shared" si="241"/>
        <v>0</v>
      </c>
      <c r="AY5140" s="46">
        <f t="shared" si="242"/>
        <v>0</v>
      </c>
      <c r="AZ5140" s="46">
        <f t="shared" si="243"/>
        <v>0</v>
      </c>
    </row>
    <row r="5141" spans="50:52">
      <c r="AX5141" s="46">
        <f t="shared" si="241"/>
        <v>0</v>
      </c>
      <c r="AY5141" s="46">
        <f t="shared" si="242"/>
        <v>0</v>
      </c>
      <c r="AZ5141" s="46">
        <f t="shared" si="243"/>
        <v>0</v>
      </c>
    </row>
    <row r="5142" spans="50:52">
      <c r="AX5142" s="46">
        <f t="shared" si="241"/>
        <v>0</v>
      </c>
      <c r="AY5142" s="46">
        <f t="shared" si="242"/>
        <v>0</v>
      </c>
      <c r="AZ5142" s="46">
        <f t="shared" si="243"/>
        <v>0</v>
      </c>
    </row>
    <row r="5143" spans="50:52">
      <c r="AX5143" s="46">
        <f t="shared" si="241"/>
        <v>0</v>
      </c>
      <c r="AY5143" s="46">
        <f t="shared" si="242"/>
        <v>0</v>
      </c>
      <c r="AZ5143" s="46">
        <f t="shared" si="243"/>
        <v>0</v>
      </c>
    </row>
    <row r="5144" spans="50:52">
      <c r="AX5144" s="46">
        <f t="shared" si="241"/>
        <v>0</v>
      </c>
      <c r="AY5144" s="46">
        <f t="shared" si="242"/>
        <v>0</v>
      </c>
      <c r="AZ5144" s="46">
        <f t="shared" si="243"/>
        <v>0</v>
      </c>
    </row>
    <row r="5145" spans="50:52">
      <c r="AX5145" s="46">
        <f t="shared" si="241"/>
        <v>0</v>
      </c>
      <c r="AY5145" s="46">
        <f t="shared" si="242"/>
        <v>0</v>
      </c>
      <c r="AZ5145" s="46">
        <f t="shared" si="243"/>
        <v>0</v>
      </c>
    </row>
    <row r="5146" spans="50:52">
      <c r="AX5146" s="46">
        <f t="shared" si="241"/>
        <v>0</v>
      </c>
      <c r="AY5146" s="46">
        <f t="shared" si="242"/>
        <v>0</v>
      </c>
      <c r="AZ5146" s="46">
        <f t="shared" si="243"/>
        <v>0</v>
      </c>
    </row>
    <row r="5147" spans="50:52">
      <c r="AX5147" s="46">
        <f t="shared" si="241"/>
        <v>0</v>
      </c>
      <c r="AY5147" s="46">
        <f t="shared" si="242"/>
        <v>0</v>
      </c>
      <c r="AZ5147" s="46">
        <f t="shared" si="243"/>
        <v>0</v>
      </c>
    </row>
    <row r="5148" spans="50:52">
      <c r="AX5148" s="46">
        <f t="shared" si="241"/>
        <v>0</v>
      </c>
      <c r="AY5148" s="46">
        <f t="shared" si="242"/>
        <v>0</v>
      </c>
      <c r="AZ5148" s="46">
        <f t="shared" si="243"/>
        <v>0</v>
      </c>
    </row>
    <row r="5149" spans="50:52">
      <c r="AX5149" s="46">
        <f t="shared" si="241"/>
        <v>0</v>
      </c>
      <c r="AY5149" s="46">
        <f t="shared" si="242"/>
        <v>0</v>
      </c>
      <c r="AZ5149" s="46">
        <f t="shared" si="243"/>
        <v>0</v>
      </c>
    </row>
    <row r="5150" spans="50:52">
      <c r="AX5150" s="46">
        <f t="shared" si="241"/>
        <v>0</v>
      </c>
      <c r="AY5150" s="46">
        <f t="shared" si="242"/>
        <v>0</v>
      </c>
      <c r="AZ5150" s="46">
        <f t="shared" si="243"/>
        <v>0</v>
      </c>
    </row>
    <row r="5151" spans="50:52">
      <c r="AX5151" s="46">
        <f t="shared" si="241"/>
        <v>0</v>
      </c>
      <c r="AY5151" s="46">
        <f t="shared" si="242"/>
        <v>0</v>
      </c>
      <c r="AZ5151" s="46">
        <f t="shared" si="243"/>
        <v>0</v>
      </c>
    </row>
    <row r="5152" spans="50:52">
      <c r="AX5152" s="46">
        <f t="shared" si="241"/>
        <v>0</v>
      </c>
      <c r="AY5152" s="46">
        <f t="shared" si="242"/>
        <v>0</v>
      </c>
      <c r="AZ5152" s="46">
        <f t="shared" si="243"/>
        <v>0</v>
      </c>
    </row>
    <row r="5153" spans="50:52">
      <c r="AX5153" s="46">
        <f t="shared" si="241"/>
        <v>0</v>
      </c>
      <c r="AY5153" s="46">
        <f t="shared" si="242"/>
        <v>0</v>
      </c>
      <c r="AZ5153" s="46">
        <f t="shared" si="243"/>
        <v>0</v>
      </c>
    </row>
    <row r="5154" spans="50:52">
      <c r="AX5154" s="46">
        <f t="shared" si="241"/>
        <v>0</v>
      </c>
      <c r="AY5154" s="46">
        <f t="shared" si="242"/>
        <v>0</v>
      </c>
      <c r="AZ5154" s="46">
        <f t="shared" si="243"/>
        <v>0</v>
      </c>
    </row>
    <row r="5155" spans="50:52">
      <c r="AX5155" s="46">
        <f t="shared" si="241"/>
        <v>0</v>
      </c>
      <c r="AY5155" s="46">
        <f t="shared" si="242"/>
        <v>0</v>
      </c>
      <c r="AZ5155" s="46">
        <f t="shared" si="243"/>
        <v>0</v>
      </c>
    </row>
    <row r="5156" spans="50:52">
      <c r="AX5156" s="46">
        <f t="shared" si="241"/>
        <v>0</v>
      </c>
      <c r="AY5156" s="46">
        <f t="shared" si="242"/>
        <v>0</v>
      </c>
      <c r="AZ5156" s="46">
        <f t="shared" si="243"/>
        <v>0</v>
      </c>
    </row>
    <row r="5157" spans="50:52">
      <c r="AX5157" s="46">
        <f t="shared" si="241"/>
        <v>0</v>
      </c>
      <c r="AY5157" s="46">
        <f t="shared" si="242"/>
        <v>0</v>
      </c>
      <c r="AZ5157" s="46">
        <f t="shared" si="243"/>
        <v>0</v>
      </c>
    </row>
    <row r="5158" spans="50:52">
      <c r="AX5158" s="46">
        <f t="shared" si="241"/>
        <v>0</v>
      </c>
      <c r="AY5158" s="46">
        <f t="shared" si="242"/>
        <v>0</v>
      </c>
      <c r="AZ5158" s="46">
        <f t="shared" si="243"/>
        <v>0</v>
      </c>
    </row>
    <row r="5159" spans="50:52">
      <c r="AX5159" s="46">
        <f t="shared" si="241"/>
        <v>0</v>
      </c>
      <c r="AY5159" s="46">
        <f t="shared" si="242"/>
        <v>0</v>
      </c>
      <c r="AZ5159" s="46">
        <f t="shared" si="243"/>
        <v>0</v>
      </c>
    </row>
    <row r="5160" spans="50:52">
      <c r="AX5160" s="46">
        <f t="shared" si="241"/>
        <v>0</v>
      </c>
      <c r="AY5160" s="46">
        <f t="shared" si="242"/>
        <v>0</v>
      </c>
      <c r="AZ5160" s="46">
        <f t="shared" si="243"/>
        <v>0</v>
      </c>
    </row>
    <row r="5161" spans="50:52">
      <c r="AX5161" s="46">
        <f t="shared" si="241"/>
        <v>0</v>
      </c>
      <c r="AY5161" s="46">
        <f t="shared" si="242"/>
        <v>0</v>
      </c>
      <c r="AZ5161" s="46">
        <f t="shared" si="243"/>
        <v>0</v>
      </c>
    </row>
    <row r="5162" spans="50:52">
      <c r="AX5162" s="46">
        <f t="shared" si="241"/>
        <v>0</v>
      </c>
      <c r="AY5162" s="46">
        <f t="shared" si="242"/>
        <v>0</v>
      </c>
      <c r="AZ5162" s="46">
        <f t="shared" si="243"/>
        <v>0</v>
      </c>
    </row>
    <row r="5163" spans="50:52">
      <c r="AX5163" s="46">
        <f t="shared" si="241"/>
        <v>0</v>
      </c>
      <c r="AY5163" s="46">
        <f t="shared" si="242"/>
        <v>0</v>
      </c>
      <c r="AZ5163" s="46">
        <f t="shared" si="243"/>
        <v>0</v>
      </c>
    </row>
    <row r="5164" spans="50:52">
      <c r="AX5164" s="46">
        <f t="shared" si="241"/>
        <v>0</v>
      </c>
      <c r="AY5164" s="46">
        <f t="shared" si="242"/>
        <v>0</v>
      </c>
      <c r="AZ5164" s="46">
        <f t="shared" si="243"/>
        <v>0</v>
      </c>
    </row>
    <row r="5165" spans="50:52">
      <c r="AX5165" s="46">
        <f t="shared" si="241"/>
        <v>0</v>
      </c>
      <c r="AY5165" s="46">
        <f t="shared" si="242"/>
        <v>0</v>
      </c>
      <c r="AZ5165" s="46">
        <f t="shared" si="243"/>
        <v>0</v>
      </c>
    </row>
    <row r="5166" spans="50:52">
      <c r="AX5166" s="46">
        <f t="shared" si="241"/>
        <v>0</v>
      </c>
      <c r="AY5166" s="46">
        <f t="shared" si="242"/>
        <v>0</v>
      </c>
      <c r="AZ5166" s="46">
        <f t="shared" si="243"/>
        <v>0</v>
      </c>
    </row>
    <row r="5167" spans="50:52">
      <c r="AX5167" s="46">
        <f t="shared" si="241"/>
        <v>0</v>
      </c>
      <c r="AY5167" s="46">
        <f t="shared" si="242"/>
        <v>0</v>
      </c>
      <c r="AZ5167" s="46">
        <f t="shared" si="243"/>
        <v>0</v>
      </c>
    </row>
    <row r="5168" spans="50:52">
      <c r="AX5168" s="46">
        <f t="shared" si="241"/>
        <v>0</v>
      </c>
      <c r="AY5168" s="46">
        <f t="shared" si="242"/>
        <v>0</v>
      </c>
      <c r="AZ5168" s="46">
        <f t="shared" si="243"/>
        <v>0</v>
      </c>
    </row>
    <row r="5169" spans="50:52">
      <c r="AX5169" s="46">
        <f t="shared" si="241"/>
        <v>0</v>
      </c>
      <c r="AY5169" s="46">
        <f t="shared" si="242"/>
        <v>0</v>
      </c>
      <c r="AZ5169" s="46">
        <f t="shared" si="243"/>
        <v>0</v>
      </c>
    </row>
    <row r="5170" spans="50:52">
      <c r="AX5170" s="46">
        <f t="shared" si="241"/>
        <v>0</v>
      </c>
      <c r="AY5170" s="46">
        <f t="shared" si="242"/>
        <v>0</v>
      </c>
      <c r="AZ5170" s="46">
        <f t="shared" si="243"/>
        <v>0</v>
      </c>
    </row>
    <row r="5171" spans="50:52">
      <c r="AX5171" s="46">
        <f t="shared" si="241"/>
        <v>0</v>
      </c>
      <c r="AY5171" s="46">
        <f t="shared" si="242"/>
        <v>0</v>
      </c>
      <c r="AZ5171" s="46">
        <f t="shared" si="243"/>
        <v>0</v>
      </c>
    </row>
    <row r="5172" spans="50:52">
      <c r="AX5172" s="46">
        <f t="shared" si="241"/>
        <v>0</v>
      </c>
      <c r="AY5172" s="46">
        <f t="shared" si="242"/>
        <v>0</v>
      </c>
      <c r="AZ5172" s="46">
        <f t="shared" si="243"/>
        <v>0</v>
      </c>
    </row>
    <row r="5173" spans="50:52">
      <c r="AX5173" s="46">
        <f t="shared" si="241"/>
        <v>0</v>
      </c>
      <c r="AY5173" s="46">
        <f t="shared" si="242"/>
        <v>0</v>
      </c>
      <c r="AZ5173" s="46">
        <f t="shared" si="243"/>
        <v>0</v>
      </c>
    </row>
    <row r="5174" spans="50:52">
      <c r="AX5174" s="46">
        <f t="shared" si="241"/>
        <v>0</v>
      </c>
      <c r="AY5174" s="46">
        <f t="shared" si="242"/>
        <v>0</v>
      </c>
      <c r="AZ5174" s="46">
        <f t="shared" si="243"/>
        <v>0</v>
      </c>
    </row>
    <row r="5175" spans="50:52">
      <c r="AX5175" s="46">
        <f t="shared" si="241"/>
        <v>0</v>
      </c>
      <c r="AY5175" s="46">
        <f t="shared" si="242"/>
        <v>0</v>
      </c>
      <c r="AZ5175" s="46">
        <f t="shared" si="243"/>
        <v>0</v>
      </c>
    </row>
    <row r="5176" spans="50:52">
      <c r="AX5176" s="46">
        <f t="shared" si="241"/>
        <v>0</v>
      </c>
      <c r="AY5176" s="46">
        <f t="shared" si="242"/>
        <v>0</v>
      </c>
      <c r="AZ5176" s="46">
        <f t="shared" si="243"/>
        <v>0</v>
      </c>
    </row>
    <row r="5177" spans="50:52">
      <c r="AX5177" s="46">
        <f t="shared" si="241"/>
        <v>0</v>
      </c>
      <c r="AY5177" s="46">
        <f t="shared" si="242"/>
        <v>0</v>
      </c>
      <c r="AZ5177" s="46">
        <f t="shared" si="243"/>
        <v>0</v>
      </c>
    </row>
    <row r="5178" spans="50:52">
      <c r="AX5178" s="46">
        <f t="shared" si="241"/>
        <v>0</v>
      </c>
      <c r="AY5178" s="46">
        <f t="shared" si="242"/>
        <v>0</v>
      </c>
      <c r="AZ5178" s="46">
        <f t="shared" si="243"/>
        <v>0</v>
      </c>
    </row>
    <row r="5179" spans="50:52">
      <c r="AX5179" s="46">
        <f t="shared" si="241"/>
        <v>0</v>
      </c>
      <c r="AY5179" s="46">
        <f t="shared" si="242"/>
        <v>0</v>
      </c>
      <c r="AZ5179" s="46">
        <f t="shared" si="243"/>
        <v>0</v>
      </c>
    </row>
    <row r="5180" spans="50:52">
      <c r="AX5180" s="46">
        <f t="shared" si="241"/>
        <v>0</v>
      </c>
      <c r="AY5180" s="46">
        <f t="shared" si="242"/>
        <v>0</v>
      </c>
      <c r="AZ5180" s="46">
        <f t="shared" si="243"/>
        <v>0</v>
      </c>
    </row>
    <row r="5181" spans="50:52">
      <c r="AX5181" s="46">
        <f t="shared" si="241"/>
        <v>0</v>
      </c>
      <c r="AY5181" s="46">
        <f t="shared" si="242"/>
        <v>0</v>
      </c>
      <c r="AZ5181" s="46">
        <f t="shared" si="243"/>
        <v>0</v>
      </c>
    </row>
    <row r="5182" spans="50:52">
      <c r="AX5182" s="46">
        <f t="shared" si="241"/>
        <v>0</v>
      </c>
      <c r="AY5182" s="46">
        <f t="shared" si="242"/>
        <v>0</v>
      </c>
      <c r="AZ5182" s="46">
        <f t="shared" si="243"/>
        <v>0</v>
      </c>
    </row>
    <row r="5183" spans="50:52">
      <c r="AX5183" s="46">
        <f t="shared" si="241"/>
        <v>0</v>
      </c>
      <c r="AY5183" s="46">
        <f t="shared" si="242"/>
        <v>0</v>
      </c>
      <c r="AZ5183" s="46">
        <f t="shared" si="243"/>
        <v>0</v>
      </c>
    </row>
    <row r="5184" spans="50:52">
      <c r="AX5184" s="46">
        <f t="shared" si="241"/>
        <v>0</v>
      </c>
      <c r="AY5184" s="46">
        <f t="shared" si="242"/>
        <v>0</v>
      </c>
      <c r="AZ5184" s="46">
        <f t="shared" si="243"/>
        <v>0</v>
      </c>
    </row>
    <row r="5185" spans="50:52">
      <c r="AX5185" s="46">
        <f t="shared" si="241"/>
        <v>0</v>
      </c>
      <c r="AY5185" s="46">
        <f t="shared" si="242"/>
        <v>0</v>
      </c>
      <c r="AZ5185" s="46">
        <f t="shared" si="243"/>
        <v>0</v>
      </c>
    </row>
    <row r="5186" spans="50:52">
      <c r="AX5186" s="46">
        <f t="shared" si="241"/>
        <v>0</v>
      </c>
      <c r="AY5186" s="46">
        <f t="shared" si="242"/>
        <v>0</v>
      </c>
      <c r="AZ5186" s="46">
        <f t="shared" si="243"/>
        <v>0</v>
      </c>
    </row>
    <row r="5187" spans="50:52">
      <c r="AX5187" s="46">
        <f t="shared" si="241"/>
        <v>0</v>
      </c>
      <c r="AY5187" s="46">
        <f t="shared" si="242"/>
        <v>0</v>
      </c>
      <c r="AZ5187" s="46">
        <f t="shared" si="243"/>
        <v>0</v>
      </c>
    </row>
    <row r="5188" spans="50:52">
      <c r="AX5188" s="46">
        <f t="shared" si="241"/>
        <v>0</v>
      </c>
      <c r="AY5188" s="46">
        <f t="shared" si="242"/>
        <v>0</v>
      </c>
      <c r="AZ5188" s="46">
        <f t="shared" si="243"/>
        <v>0</v>
      </c>
    </row>
    <row r="5189" spans="50:52">
      <c r="AX5189" s="46">
        <f t="shared" si="241"/>
        <v>0</v>
      </c>
      <c r="AY5189" s="46">
        <f t="shared" si="242"/>
        <v>0</v>
      </c>
      <c r="AZ5189" s="46">
        <f t="shared" si="243"/>
        <v>0</v>
      </c>
    </row>
    <row r="5190" spans="50:52">
      <c r="AX5190" s="46">
        <f t="shared" si="241"/>
        <v>0</v>
      </c>
      <c r="AY5190" s="46">
        <f t="shared" si="242"/>
        <v>0</v>
      </c>
      <c r="AZ5190" s="46">
        <f t="shared" si="243"/>
        <v>0</v>
      </c>
    </row>
    <row r="5191" spans="50:52">
      <c r="AX5191" s="46">
        <f t="shared" si="241"/>
        <v>0</v>
      </c>
      <c r="AY5191" s="46">
        <f t="shared" si="242"/>
        <v>0</v>
      </c>
      <c r="AZ5191" s="46">
        <f t="shared" si="243"/>
        <v>0</v>
      </c>
    </row>
    <row r="5192" spans="50:52">
      <c r="AX5192" s="46">
        <f t="shared" si="241"/>
        <v>0</v>
      </c>
      <c r="AY5192" s="46">
        <f t="shared" si="242"/>
        <v>0</v>
      </c>
      <c r="AZ5192" s="46">
        <f t="shared" si="243"/>
        <v>0</v>
      </c>
    </row>
    <row r="5193" spans="50:52">
      <c r="AX5193" s="46">
        <f t="shared" si="241"/>
        <v>0</v>
      </c>
      <c r="AY5193" s="46">
        <f t="shared" si="242"/>
        <v>0</v>
      </c>
      <c r="AZ5193" s="46">
        <f t="shared" si="243"/>
        <v>0</v>
      </c>
    </row>
    <row r="5194" spans="50:52">
      <c r="AX5194" s="46">
        <f t="shared" si="241"/>
        <v>0</v>
      </c>
      <c r="AY5194" s="46">
        <f t="shared" si="242"/>
        <v>0</v>
      </c>
      <c r="AZ5194" s="46">
        <f t="shared" si="243"/>
        <v>0</v>
      </c>
    </row>
    <row r="5195" spans="50:52">
      <c r="AX5195" s="46">
        <f t="shared" ref="AX5195:AX5258" si="244">IFERROR(SUM(Q5195:AS5195)-SUM(AT5195:AU5195)+AV5195,"-")</f>
        <v>0</v>
      </c>
      <c r="AY5195" s="46">
        <f t="shared" ref="AY5195:AY5258" si="245">IFERROR(SUM(Q5195:AS5195)-SUM(AT5195:AT5195),"-")</f>
        <v>0</v>
      </c>
      <c r="AZ5195" s="46">
        <f t="shared" ref="AZ5195:AZ5258" si="246">SUM(Q5195:AS5195)</f>
        <v>0</v>
      </c>
    </row>
    <row r="5196" spans="50:52">
      <c r="AX5196" s="46">
        <f t="shared" si="244"/>
        <v>0</v>
      </c>
      <c r="AY5196" s="46">
        <f t="shared" si="245"/>
        <v>0</v>
      </c>
      <c r="AZ5196" s="46">
        <f t="shared" si="246"/>
        <v>0</v>
      </c>
    </row>
    <row r="5197" spans="50:52">
      <c r="AX5197" s="46">
        <f t="shared" si="244"/>
        <v>0</v>
      </c>
      <c r="AY5197" s="46">
        <f t="shared" si="245"/>
        <v>0</v>
      </c>
      <c r="AZ5197" s="46">
        <f t="shared" si="246"/>
        <v>0</v>
      </c>
    </row>
    <row r="5198" spans="50:52">
      <c r="AX5198" s="46">
        <f t="shared" si="244"/>
        <v>0</v>
      </c>
      <c r="AY5198" s="46">
        <f t="shared" si="245"/>
        <v>0</v>
      </c>
      <c r="AZ5198" s="46">
        <f t="shared" si="246"/>
        <v>0</v>
      </c>
    </row>
    <row r="5199" spans="50:52">
      <c r="AX5199" s="46">
        <f t="shared" si="244"/>
        <v>0</v>
      </c>
      <c r="AY5199" s="46">
        <f t="shared" si="245"/>
        <v>0</v>
      </c>
      <c r="AZ5199" s="46">
        <f t="shared" si="246"/>
        <v>0</v>
      </c>
    </row>
    <row r="5200" spans="50:52">
      <c r="AX5200" s="46">
        <f t="shared" si="244"/>
        <v>0</v>
      </c>
      <c r="AY5200" s="46">
        <f t="shared" si="245"/>
        <v>0</v>
      </c>
      <c r="AZ5200" s="46">
        <f t="shared" si="246"/>
        <v>0</v>
      </c>
    </row>
    <row r="5201" spans="50:52">
      <c r="AX5201" s="46">
        <f t="shared" si="244"/>
        <v>0</v>
      </c>
      <c r="AY5201" s="46">
        <f t="shared" si="245"/>
        <v>0</v>
      </c>
      <c r="AZ5201" s="46">
        <f t="shared" si="246"/>
        <v>0</v>
      </c>
    </row>
    <row r="5202" spans="50:52">
      <c r="AX5202" s="46">
        <f t="shared" si="244"/>
        <v>0</v>
      </c>
      <c r="AY5202" s="46">
        <f t="shared" si="245"/>
        <v>0</v>
      </c>
      <c r="AZ5202" s="46">
        <f t="shared" si="246"/>
        <v>0</v>
      </c>
    </row>
    <row r="5203" spans="50:52">
      <c r="AX5203" s="46">
        <f t="shared" si="244"/>
        <v>0</v>
      </c>
      <c r="AY5203" s="46">
        <f t="shared" si="245"/>
        <v>0</v>
      </c>
      <c r="AZ5203" s="46">
        <f t="shared" si="246"/>
        <v>0</v>
      </c>
    </row>
    <row r="5204" spans="50:52">
      <c r="AX5204" s="46">
        <f t="shared" si="244"/>
        <v>0</v>
      </c>
      <c r="AY5204" s="46">
        <f t="shared" si="245"/>
        <v>0</v>
      </c>
      <c r="AZ5204" s="46">
        <f t="shared" si="246"/>
        <v>0</v>
      </c>
    </row>
    <row r="5205" spans="50:52">
      <c r="AX5205" s="46">
        <f t="shared" si="244"/>
        <v>0</v>
      </c>
      <c r="AY5205" s="46">
        <f t="shared" si="245"/>
        <v>0</v>
      </c>
      <c r="AZ5205" s="46">
        <f t="shared" si="246"/>
        <v>0</v>
      </c>
    </row>
    <row r="5206" spans="50:52">
      <c r="AX5206" s="46">
        <f t="shared" si="244"/>
        <v>0</v>
      </c>
      <c r="AY5206" s="46">
        <f t="shared" si="245"/>
        <v>0</v>
      </c>
      <c r="AZ5206" s="46">
        <f t="shared" si="246"/>
        <v>0</v>
      </c>
    </row>
    <row r="5207" spans="50:52">
      <c r="AX5207" s="46">
        <f t="shared" si="244"/>
        <v>0</v>
      </c>
      <c r="AY5207" s="46">
        <f t="shared" si="245"/>
        <v>0</v>
      </c>
      <c r="AZ5207" s="46">
        <f t="shared" si="246"/>
        <v>0</v>
      </c>
    </row>
    <row r="5208" spans="50:52">
      <c r="AX5208" s="46">
        <f t="shared" si="244"/>
        <v>0</v>
      </c>
      <c r="AY5208" s="46">
        <f t="shared" si="245"/>
        <v>0</v>
      </c>
      <c r="AZ5208" s="46">
        <f t="shared" si="246"/>
        <v>0</v>
      </c>
    </row>
    <row r="5209" spans="50:52">
      <c r="AX5209" s="46">
        <f t="shared" si="244"/>
        <v>0</v>
      </c>
      <c r="AY5209" s="46">
        <f t="shared" si="245"/>
        <v>0</v>
      </c>
      <c r="AZ5209" s="46">
        <f t="shared" si="246"/>
        <v>0</v>
      </c>
    </row>
    <row r="5210" spans="50:52">
      <c r="AX5210" s="46">
        <f t="shared" si="244"/>
        <v>0</v>
      </c>
      <c r="AY5210" s="46">
        <f t="shared" si="245"/>
        <v>0</v>
      </c>
      <c r="AZ5210" s="46">
        <f t="shared" si="246"/>
        <v>0</v>
      </c>
    </row>
    <row r="5211" spans="50:52">
      <c r="AX5211" s="46">
        <f t="shared" si="244"/>
        <v>0</v>
      </c>
      <c r="AY5211" s="46">
        <f t="shared" si="245"/>
        <v>0</v>
      </c>
      <c r="AZ5211" s="46">
        <f t="shared" si="246"/>
        <v>0</v>
      </c>
    </row>
    <row r="5212" spans="50:52">
      <c r="AX5212" s="46">
        <f t="shared" si="244"/>
        <v>0</v>
      </c>
      <c r="AY5212" s="46">
        <f t="shared" si="245"/>
        <v>0</v>
      </c>
      <c r="AZ5212" s="46">
        <f t="shared" si="246"/>
        <v>0</v>
      </c>
    </row>
    <row r="5213" spans="50:52">
      <c r="AX5213" s="46">
        <f t="shared" si="244"/>
        <v>0</v>
      </c>
      <c r="AY5213" s="46">
        <f t="shared" si="245"/>
        <v>0</v>
      </c>
      <c r="AZ5213" s="46">
        <f t="shared" si="246"/>
        <v>0</v>
      </c>
    </row>
    <row r="5214" spans="50:52">
      <c r="AX5214" s="46">
        <f t="shared" si="244"/>
        <v>0</v>
      </c>
      <c r="AY5214" s="46">
        <f t="shared" si="245"/>
        <v>0</v>
      </c>
      <c r="AZ5214" s="46">
        <f t="shared" si="246"/>
        <v>0</v>
      </c>
    </row>
    <row r="5215" spans="50:52">
      <c r="AX5215" s="46">
        <f t="shared" si="244"/>
        <v>0</v>
      </c>
      <c r="AY5215" s="46">
        <f t="shared" si="245"/>
        <v>0</v>
      </c>
      <c r="AZ5215" s="46">
        <f t="shared" si="246"/>
        <v>0</v>
      </c>
    </row>
    <row r="5216" spans="50:52">
      <c r="AX5216" s="46">
        <f t="shared" si="244"/>
        <v>0</v>
      </c>
      <c r="AY5216" s="46">
        <f t="shared" si="245"/>
        <v>0</v>
      </c>
      <c r="AZ5216" s="46">
        <f t="shared" si="246"/>
        <v>0</v>
      </c>
    </row>
    <row r="5217" spans="50:52">
      <c r="AX5217" s="46">
        <f t="shared" si="244"/>
        <v>0</v>
      </c>
      <c r="AY5217" s="46">
        <f t="shared" si="245"/>
        <v>0</v>
      </c>
      <c r="AZ5217" s="46">
        <f t="shared" si="246"/>
        <v>0</v>
      </c>
    </row>
    <row r="5218" spans="50:52">
      <c r="AX5218" s="46">
        <f t="shared" si="244"/>
        <v>0</v>
      </c>
      <c r="AY5218" s="46">
        <f t="shared" si="245"/>
        <v>0</v>
      </c>
      <c r="AZ5218" s="46">
        <f t="shared" si="246"/>
        <v>0</v>
      </c>
    </row>
    <row r="5219" spans="50:52">
      <c r="AX5219" s="46">
        <f t="shared" si="244"/>
        <v>0</v>
      </c>
      <c r="AY5219" s="46">
        <f t="shared" si="245"/>
        <v>0</v>
      </c>
      <c r="AZ5219" s="46">
        <f t="shared" si="246"/>
        <v>0</v>
      </c>
    </row>
    <row r="5220" spans="50:52">
      <c r="AX5220" s="46">
        <f t="shared" si="244"/>
        <v>0</v>
      </c>
      <c r="AY5220" s="46">
        <f t="shared" si="245"/>
        <v>0</v>
      </c>
      <c r="AZ5220" s="46">
        <f t="shared" si="246"/>
        <v>0</v>
      </c>
    </row>
    <row r="5221" spans="50:52">
      <c r="AX5221" s="46">
        <f t="shared" si="244"/>
        <v>0</v>
      </c>
      <c r="AY5221" s="46">
        <f t="shared" si="245"/>
        <v>0</v>
      </c>
      <c r="AZ5221" s="46">
        <f t="shared" si="246"/>
        <v>0</v>
      </c>
    </row>
    <row r="5222" spans="50:52">
      <c r="AX5222" s="46">
        <f t="shared" si="244"/>
        <v>0</v>
      </c>
      <c r="AY5222" s="46">
        <f t="shared" si="245"/>
        <v>0</v>
      </c>
      <c r="AZ5222" s="46">
        <f t="shared" si="246"/>
        <v>0</v>
      </c>
    </row>
    <row r="5223" spans="50:52">
      <c r="AX5223" s="46">
        <f t="shared" si="244"/>
        <v>0</v>
      </c>
      <c r="AY5223" s="46">
        <f t="shared" si="245"/>
        <v>0</v>
      </c>
      <c r="AZ5223" s="46">
        <f t="shared" si="246"/>
        <v>0</v>
      </c>
    </row>
    <row r="5224" spans="50:52">
      <c r="AX5224" s="46">
        <f t="shared" si="244"/>
        <v>0</v>
      </c>
      <c r="AY5224" s="46">
        <f t="shared" si="245"/>
        <v>0</v>
      </c>
      <c r="AZ5224" s="46">
        <f t="shared" si="246"/>
        <v>0</v>
      </c>
    </row>
    <row r="5225" spans="50:52">
      <c r="AX5225" s="46">
        <f t="shared" si="244"/>
        <v>0</v>
      </c>
      <c r="AY5225" s="46">
        <f t="shared" si="245"/>
        <v>0</v>
      </c>
      <c r="AZ5225" s="46">
        <f t="shared" si="246"/>
        <v>0</v>
      </c>
    </row>
    <row r="5226" spans="50:52">
      <c r="AX5226" s="46">
        <f t="shared" si="244"/>
        <v>0</v>
      </c>
      <c r="AY5226" s="46">
        <f t="shared" si="245"/>
        <v>0</v>
      </c>
      <c r="AZ5226" s="46">
        <f t="shared" si="246"/>
        <v>0</v>
      </c>
    </row>
    <row r="5227" spans="50:52">
      <c r="AX5227" s="46">
        <f t="shared" si="244"/>
        <v>0</v>
      </c>
      <c r="AY5227" s="46">
        <f t="shared" si="245"/>
        <v>0</v>
      </c>
      <c r="AZ5227" s="46">
        <f t="shared" si="246"/>
        <v>0</v>
      </c>
    </row>
    <row r="5228" spans="50:52">
      <c r="AX5228" s="46">
        <f t="shared" si="244"/>
        <v>0</v>
      </c>
      <c r="AY5228" s="46">
        <f t="shared" si="245"/>
        <v>0</v>
      </c>
      <c r="AZ5228" s="46">
        <f t="shared" si="246"/>
        <v>0</v>
      </c>
    </row>
    <row r="5229" spans="50:52">
      <c r="AX5229" s="46">
        <f t="shared" si="244"/>
        <v>0</v>
      </c>
      <c r="AY5229" s="46">
        <f t="shared" si="245"/>
        <v>0</v>
      </c>
      <c r="AZ5229" s="46">
        <f t="shared" si="246"/>
        <v>0</v>
      </c>
    </row>
    <row r="5230" spans="50:52">
      <c r="AX5230" s="46">
        <f t="shared" si="244"/>
        <v>0</v>
      </c>
      <c r="AY5230" s="46">
        <f t="shared" si="245"/>
        <v>0</v>
      </c>
      <c r="AZ5230" s="46">
        <f t="shared" si="246"/>
        <v>0</v>
      </c>
    </row>
    <row r="5231" spans="50:52">
      <c r="AX5231" s="46">
        <f t="shared" si="244"/>
        <v>0</v>
      </c>
      <c r="AY5231" s="46">
        <f t="shared" si="245"/>
        <v>0</v>
      </c>
      <c r="AZ5231" s="46">
        <f t="shared" si="246"/>
        <v>0</v>
      </c>
    </row>
    <row r="5232" spans="50:52">
      <c r="AX5232" s="46">
        <f t="shared" si="244"/>
        <v>0</v>
      </c>
      <c r="AY5232" s="46">
        <f t="shared" si="245"/>
        <v>0</v>
      </c>
      <c r="AZ5232" s="46">
        <f t="shared" si="246"/>
        <v>0</v>
      </c>
    </row>
    <row r="5233" spans="50:52">
      <c r="AX5233" s="46">
        <f t="shared" si="244"/>
        <v>0</v>
      </c>
      <c r="AY5233" s="46">
        <f t="shared" si="245"/>
        <v>0</v>
      </c>
      <c r="AZ5233" s="46">
        <f t="shared" si="246"/>
        <v>0</v>
      </c>
    </row>
    <row r="5234" spans="50:52">
      <c r="AX5234" s="46">
        <f t="shared" si="244"/>
        <v>0</v>
      </c>
      <c r="AY5234" s="46">
        <f t="shared" si="245"/>
        <v>0</v>
      </c>
      <c r="AZ5234" s="46">
        <f t="shared" si="246"/>
        <v>0</v>
      </c>
    </row>
    <row r="5235" spans="50:52">
      <c r="AX5235" s="46">
        <f t="shared" si="244"/>
        <v>0</v>
      </c>
      <c r="AY5235" s="46">
        <f t="shared" si="245"/>
        <v>0</v>
      </c>
      <c r="AZ5235" s="46">
        <f t="shared" si="246"/>
        <v>0</v>
      </c>
    </row>
    <row r="5236" spans="50:52">
      <c r="AX5236" s="46">
        <f t="shared" si="244"/>
        <v>0</v>
      </c>
      <c r="AY5236" s="46">
        <f t="shared" si="245"/>
        <v>0</v>
      </c>
      <c r="AZ5236" s="46">
        <f t="shared" si="246"/>
        <v>0</v>
      </c>
    </row>
    <row r="5237" spans="50:52">
      <c r="AX5237" s="46">
        <f t="shared" si="244"/>
        <v>0</v>
      </c>
      <c r="AY5237" s="46">
        <f t="shared" si="245"/>
        <v>0</v>
      </c>
      <c r="AZ5237" s="46">
        <f t="shared" si="246"/>
        <v>0</v>
      </c>
    </row>
    <row r="5238" spans="50:52">
      <c r="AX5238" s="46">
        <f t="shared" si="244"/>
        <v>0</v>
      </c>
      <c r="AY5238" s="46">
        <f t="shared" si="245"/>
        <v>0</v>
      </c>
      <c r="AZ5238" s="46">
        <f t="shared" si="246"/>
        <v>0</v>
      </c>
    </row>
    <row r="5239" spans="50:52">
      <c r="AX5239" s="46">
        <f t="shared" si="244"/>
        <v>0</v>
      </c>
      <c r="AY5239" s="46">
        <f t="shared" si="245"/>
        <v>0</v>
      </c>
      <c r="AZ5239" s="46">
        <f t="shared" si="246"/>
        <v>0</v>
      </c>
    </row>
    <row r="5240" spans="50:52">
      <c r="AX5240" s="46">
        <f t="shared" si="244"/>
        <v>0</v>
      </c>
      <c r="AY5240" s="46">
        <f t="shared" si="245"/>
        <v>0</v>
      </c>
      <c r="AZ5240" s="46">
        <f t="shared" si="246"/>
        <v>0</v>
      </c>
    </row>
    <row r="5241" spans="50:52">
      <c r="AX5241" s="46">
        <f t="shared" si="244"/>
        <v>0</v>
      </c>
      <c r="AY5241" s="46">
        <f t="shared" si="245"/>
        <v>0</v>
      </c>
      <c r="AZ5241" s="46">
        <f t="shared" si="246"/>
        <v>0</v>
      </c>
    </row>
    <row r="5242" spans="50:52">
      <c r="AX5242" s="46">
        <f t="shared" si="244"/>
        <v>0</v>
      </c>
      <c r="AY5242" s="46">
        <f t="shared" si="245"/>
        <v>0</v>
      </c>
      <c r="AZ5242" s="46">
        <f t="shared" si="246"/>
        <v>0</v>
      </c>
    </row>
    <row r="5243" spans="50:52">
      <c r="AX5243" s="46">
        <f t="shared" si="244"/>
        <v>0</v>
      </c>
      <c r="AY5243" s="46">
        <f t="shared" si="245"/>
        <v>0</v>
      </c>
      <c r="AZ5243" s="46">
        <f t="shared" si="246"/>
        <v>0</v>
      </c>
    </row>
    <row r="5244" spans="50:52">
      <c r="AX5244" s="46">
        <f t="shared" si="244"/>
        <v>0</v>
      </c>
      <c r="AY5244" s="46">
        <f t="shared" si="245"/>
        <v>0</v>
      </c>
      <c r="AZ5244" s="46">
        <f t="shared" si="246"/>
        <v>0</v>
      </c>
    </row>
    <row r="5245" spans="50:52">
      <c r="AX5245" s="46">
        <f t="shared" si="244"/>
        <v>0</v>
      </c>
      <c r="AY5245" s="46">
        <f t="shared" si="245"/>
        <v>0</v>
      </c>
      <c r="AZ5245" s="46">
        <f t="shared" si="246"/>
        <v>0</v>
      </c>
    </row>
    <row r="5246" spans="50:52">
      <c r="AX5246" s="46">
        <f t="shared" si="244"/>
        <v>0</v>
      </c>
      <c r="AY5246" s="46">
        <f t="shared" si="245"/>
        <v>0</v>
      </c>
      <c r="AZ5246" s="46">
        <f t="shared" si="246"/>
        <v>0</v>
      </c>
    </row>
    <row r="5247" spans="50:52">
      <c r="AX5247" s="46">
        <f t="shared" si="244"/>
        <v>0</v>
      </c>
      <c r="AY5247" s="46">
        <f t="shared" si="245"/>
        <v>0</v>
      </c>
      <c r="AZ5247" s="46">
        <f t="shared" si="246"/>
        <v>0</v>
      </c>
    </row>
    <row r="5248" spans="50:52">
      <c r="AX5248" s="46">
        <f t="shared" si="244"/>
        <v>0</v>
      </c>
      <c r="AY5248" s="46">
        <f t="shared" si="245"/>
        <v>0</v>
      </c>
      <c r="AZ5248" s="46">
        <f t="shared" si="246"/>
        <v>0</v>
      </c>
    </row>
    <row r="5249" spans="50:52">
      <c r="AX5249" s="46">
        <f t="shared" si="244"/>
        <v>0</v>
      </c>
      <c r="AY5249" s="46">
        <f t="shared" si="245"/>
        <v>0</v>
      </c>
      <c r="AZ5249" s="46">
        <f t="shared" si="246"/>
        <v>0</v>
      </c>
    </row>
    <row r="5250" spans="50:52">
      <c r="AX5250" s="46">
        <f t="shared" si="244"/>
        <v>0</v>
      </c>
      <c r="AY5250" s="46">
        <f t="shared" si="245"/>
        <v>0</v>
      </c>
      <c r="AZ5250" s="46">
        <f t="shared" si="246"/>
        <v>0</v>
      </c>
    </row>
    <row r="5251" spans="50:52">
      <c r="AX5251" s="46">
        <f t="shared" si="244"/>
        <v>0</v>
      </c>
      <c r="AY5251" s="46">
        <f t="shared" si="245"/>
        <v>0</v>
      </c>
      <c r="AZ5251" s="46">
        <f t="shared" si="246"/>
        <v>0</v>
      </c>
    </row>
    <row r="5252" spans="50:52">
      <c r="AX5252" s="46">
        <f t="shared" si="244"/>
        <v>0</v>
      </c>
      <c r="AY5252" s="46">
        <f t="shared" si="245"/>
        <v>0</v>
      </c>
      <c r="AZ5252" s="46">
        <f t="shared" si="246"/>
        <v>0</v>
      </c>
    </row>
    <row r="5253" spans="50:52">
      <c r="AX5253" s="46">
        <f t="shared" si="244"/>
        <v>0</v>
      </c>
      <c r="AY5253" s="46">
        <f t="shared" si="245"/>
        <v>0</v>
      </c>
      <c r="AZ5253" s="46">
        <f t="shared" si="246"/>
        <v>0</v>
      </c>
    </row>
    <row r="5254" spans="50:52">
      <c r="AX5254" s="46">
        <f t="shared" si="244"/>
        <v>0</v>
      </c>
      <c r="AY5254" s="46">
        <f t="shared" si="245"/>
        <v>0</v>
      </c>
      <c r="AZ5254" s="46">
        <f t="shared" si="246"/>
        <v>0</v>
      </c>
    </row>
    <row r="5255" spans="50:52">
      <c r="AX5255" s="46">
        <f t="shared" si="244"/>
        <v>0</v>
      </c>
      <c r="AY5255" s="46">
        <f t="shared" si="245"/>
        <v>0</v>
      </c>
      <c r="AZ5255" s="46">
        <f t="shared" si="246"/>
        <v>0</v>
      </c>
    </row>
    <row r="5256" spans="50:52">
      <c r="AX5256" s="46">
        <f t="shared" si="244"/>
        <v>0</v>
      </c>
      <c r="AY5256" s="46">
        <f t="shared" si="245"/>
        <v>0</v>
      </c>
      <c r="AZ5256" s="46">
        <f t="shared" si="246"/>
        <v>0</v>
      </c>
    </row>
    <row r="5257" spans="50:52">
      <c r="AX5257" s="46">
        <f t="shared" si="244"/>
        <v>0</v>
      </c>
      <c r="AY5257" s="46">
        <f t="shared" si="245"/>
        <v>0</v>
      </c>
      <c r="AZ5257" s="46">
        <f t="shared" si="246"/>
        <v>0</v>
      </c>
    </row>
    <row r="5258" spans="50:52">
      <c r="AX5258" s="46">
        <f t="shared" si="244"/>
        <v>0</v>
      </c>
      <c r="AY5258" s="46">
        <f t="shared" si="245"/>
        <v>0</v>
      </c>
      <c r="AZ5258" s="46">
        <f t="shared" si="246"/>
        <v>0</v>
      </c>
    </row>
    <row r="5259" spans="50:52">
      <c r="AX5259" s="46">
        <f t="shared" ref="AX5259:AX5322" si="247">IFERROR(SUM(Q5259:AS5259)-SUM(AT5259:AU5259)+AV5259,"-")</f>
        <v>0</v>
      </c>
      <c r="AY5259" s="46">
        <f t="shared" ref="AY5259:AY5322" si="248">IFERROR(SUM(Q5259:AS5259)-SUM(AT5259:AT5259),"-")</f>
        <v>0</v>
      </c>
      <c r="AZ5259" s="46">
        <f t="shared" ref="AZ5259:AZ5322" si="249">SUM(Q5259:AS5259)</f>
        <v>0</v>
      </c>
    </row>
    <row r="5260" spans="50:52">
      <c r="AX5260" s="46">
        <f t="shared" si="247"/>
        <v>0</v>
      </c>
      <c r="AY5260" s="46">
        <f t="shared" si="248"/>
        <v>0</v>
      </c>
      <c r="AZ5260" s="46">
        <f t="shared" si="249"/>
        <v>0</v>
      </c>
    </row>
    <row r="5261" spans="50:52">
      <c r="AX5261" s="46">
        <f t="shared" si="247"/>
        <v>0</v>
      </c>
      <c r="AY5261" s="46">
        <f t="shared" si="248"/>
        <v>0</v>
      </c>
      <c r="AZ5261" s="46">
        <f t="shared" si="249"/>
        <v>0</v>
      </c>
    </row>
    <row r="5262" spans="50:52">
      <c r="AX5262" s="46">
        <f t="shared" si="247"/>
        <v>0</v>
      </c>
      <c r="AY5262" s="46">
        <f t="shared" si="248"/>
        <v>0</v>
      </c>
      <c r="AZ5262" s="46">
        <f t="shared" si="249"/>
        <v>0</v>
      </c>
    </row>
    <row r="5263" spans="50:52">
      <c r="AX5263" s="46">
        <f t="shared" si="247"/>
        <v>0</v>
      </c>
      <c r="AY5263" s="46">
        <f t="shared" si="248"/>
        <v>0</v>
      </c>
      <c r="AZ5263" s="46">
        <f t="shared" si="249"/>
        <v>0</v>
      </c>
    </row>
    <row r="5264" spans="50:52">
      <c r="AX5264" s="46">
        <f t="shared" si="247"/>
        <v>0</v>
      </c>
      <c r="AY5264" s="46">
        <f t="shared" si="248"/>
        <v>0</v>
      </c>
      <c r="AZ5264" s="46">
        <f t="shared" si="249"/>
        <v>0</v>
      </c>
    </row>
    <row r="5265" spans="50:52">
      <c r="AX5265" s="46">
        <f t="shared" si="247"/>
        <v>0</v>
      </c>
      <c r="AY5265" s="46">
        <f t="shared" si="248"/>
        <v>0</v>
      </c>
      <c r="AZ5265" s="46">
        <f t="shared" si="249"/>
        <v>0</v>
      </c>
    </row>
    <row r="5266" spans="50:52">
      <c r="AX5266" s="46">
        <f t="shared" si="247"/>
        <v>0</v>
      </c>
      <c r="AY5266" s="46">
        <f t="shared" si="248"/>
        <v>0</v>
      </c>
      <c r="AZ5266" s="46">
        <f t="shared" si="249"/>
        <v>0</v>
      </c>
    </row>
    <row r="5267" spans="50:52">
      <c r="AX5267" s="46">
        <f t="shared" si="247"/>
        <v>0</v>
      </c>
      <c r="AY5267" s="46">
        <f t="shared" si="248"/>
        <v>0</v>
      </c>
      <c r="AZ5267" s="46">
        <f t="shared" si="249"/>
        <v>0</v>
      </c>
    </row>
    <row r="5268" spans="50:52">
      <c r="AX5268" s="46">
        <f t="shared" si="247"/>
        <v>0</v>
      </c>
      <c r="AY5268" s="46">
        <f t="shared" si="248"/>
        <v>0</v>
      </c>
      <c r="AZ5268" s="46">
        <f t="shared" si="249"/>
        <v>0</v>
      </c>
    </row>
    <row r="5269" spans="50:52">
      <c r="AX5269" s="46">
        <f t="shared" si="247"/>
        <v>0</v>
      </c>
      <c r="AY5269" s="46">
        <f t="shared" si="248"/>
        <v>0</v>
      </c>
      <c r="AZ5269" s="46">
        <f t="shared" si="249"/>
        <v>0</v>
      </c>
    </row>
    <row r="5270" spans="50:52">
      <c r="AX5270" s="46">
        <f t="shared" si="247"/>
        <v>0</v>
      </c>
      <c r="AY5270" s="46">
        <f t="shared" si="248"/>
        <v>0</v>
      </c>
      <c r="AZ5270" s="46">
        <f t="shared" si="249"/>
        <v>0</v>
      </c>
    </row>
    <row r="5271" spans="50:52">
      <c r="AX5271" s="46">
        <f t="shared" si="247"/>
        <v>0</v>
      </c>
      <c r="AY5271" s="46">
        <f t="shared" si="248"/>
        <v>0</v>
      </c>
      <c r="AZ5271" s="46">
        <f t="shared" si="249"/>
        <v>0</v>
      </c>
    </row>
    <row r="5272" spans="50:52">
      <c r="AX5272" s="46">
        <f t="shared" si="247"/>
        <v>0</v>
      </c>
      <c r="AY5272" s="46">
        <f t="shared" si="248"/>
        <v>0</v>
      </c>
      <c r="AZ5272" s="46">
        <f t="shared" si="249"/>
        <v>0</v>
      </c>
    </row>
    <row r="5273" spans="50:52">
      <c r="AX5273" s="46">
        <f t="shared" si="247"/>
        <v>0</v>
      </c>
      <c r="AY5273" s="46">
        <f t="shared" si="248"/>
        <v>0</v>
      </c>
      <c r="AZ5273" s="46">
        <f t="shared" si="249"/>
        <v>0</v>
      </c>
    </row>
    <row r="5274" spans="50:52">
      <c r="AX5274" s="46">
        <f t="shared" si="247"/>
        <v>0</v>
      </c>
      <c r="AY5274" s="46">
        <f t="shared" si="248"/>
        <v>0</v>
      </c>
      <c r="AZ5274" s="46">
        <f t="shared" si="249"/>
        <v>0</v>
      </c>
    </row>
    <row r="5275" spans="50:52">
      <c r="AX5275" s="46">
        <f t="shared" si="247"/>
        <v>0</v>
      </c>
      <c r="AY5275" s="46">
        <f t="shared" si="248"/>
        <v>0</v>
      </c>
      <c r="AZ5275" s="46">
        <f t="shared" si="249"/>
        <v>0</v>
      </c>
    </row>
    <row r="5276" spans="50:52">
      <c r="AX5276" s="46">
        <f t="shared" si="247"/>
        <v>0</v>
      </c>
      <c r="AY5276" s="46">
        <f t="shared" si="248"/>
        <v>0</v>
      </c>
      <c r="AZ5276" s="46">
        <f t="shared" si="249"/>
        <v>0</v>
      </c>
    </row>
    <row r="5277" spans="50:52">
      <c r="AX5277" s="46">
        <f t="shared" si="247"/>
        <v>0</v>
      </c>
      <c r="AY5277" s="46">
        <f t="shared" si="248"/>
        <v>0</v>
      </c>
      <c r="AZ5277" s="46">
        <f t="shared" si="249"/>
        <v>0</v>
      </c>
    </row>
    <row r="5278" spans="50:52">
      <c r="AX5278" s="46">
        <f t="shared" si="247"/>
        <v>0</v>
      </c>
      <c r="AY5278" s="46">
        <f t="shared" si="248"/>
        <v>0</v>
      </c>
      <c r="AZ5278" s="46">
        <f t="shared" si="249"/>
        <v>0</v>
      </c>
    </row>
    <row r="5279" spans="50:52">
      <c r="AX5279" s="46">
        <f t="shared" si="247"/>
        <v>0</v>
      </c>
      <c r="AY5279" s="46">
        <f t="shared" si="248"/>
        <v>0</v>
      </c>
      <c r="AZ5279" s="46">
        <f t="shared" si="249"/>
        <v>0</v>
      </c>
    </row>
    <row r="5280" spans="50:52">
      <c r="AX5280" s="46">
        <f t="shared" si="247"/>
        <v>0</v>
      </c>
      <c r="AY5280" s="46">
        <f t="shared" si="248"/>
        <v>0</v>
      </c>
      <c r="AZ5280" s="46">
        <f t="shared" si="249"/>
        <v>0</v>
      </c>
    </row>
    <row r="5281" spans="50:52">
      <c r="AX5281" s="46">
        <f t="shared" si="247"/>
        <v>0</v>
      </c>
      <c r="AY5281" s="46">
        <f t="shared" si="248"/>
        <v>0</v>
      </c>
      <c r="AZ5281" s="46">
        <f t="shared" si="249"/>
        <v>0</v>
      </c>
    </row>
    <row r="5282" spans="50:52">
      <c r="AX5282" s="46">
        <f t="shared" si="247"/>
        <v>0</v>
      </c>
      <c r="AY5282" s="46">
        <f t="shared" si="248"/>
        <v>0</v>
      </c>
      <c r="AZ5282" s="46">
        <f t="shared" si="249"/>
        <v>0</v>
      </c>
    </row>
    <row r="5283" spans="50:52">
      <c r="AX5283" s="46">
        <f t="shared" si="247"/>
        <v>0</v>
      </c>
      <c r="AY5283" s="46">
        <f t="shared" si="248"/>
        <v>0</v>
      </c>
      <c r="AZ5283" s="46">
        <f t="shared" si="249"/>
        <v>0</v>
      </c>
    </row>
    <row r="5284" spans="50:52">
      <c r="AX5284" s="46">
        <f t="shared" si="247"/>
        <v>0</v>
      </c>
      <c r="AY5284" s="46">
        <f t="shared" si="248"/>
        <v>0</v>
      </c>
      <c r="AZ5284" s="46">
        <f t="shared" si="249"/>
        <v>0</v>
      </c>
    </row>
    <row r="5285" spans="50:52">
      <c r="AX5285" s="46">
        <f t="shared" si="247"/>
        <v>0</v>
      </c>
      <c r="AY5285" s="46">
        <f t="shared" si="248"/>
        <v>0</v>
      </c>
      <c r="AZ5285" s="46">
        <f t="shared" si="249"/>
        <v>0</v>
      </c>
    </row>
    <row r="5286" spans="50:52">
      <c r="AX5286" s="46">
        <f t="shared" si="247"/>
        <v>0</v>
      </c>
      <c r="AY5286" s="46">
        <f t="shared" si="248"/>
        <v>0</v>
      </c>
      <c r="AZ5286" s="46">
        <f t="shared" si="249"/>
        <v>0</v>
      </c>
    </row>
    <row r="5287" spans="50:52">
      <c r="AX5287" s="46">
        <f t="shared" si="247"/>
        <v>0</v>
      </c>
      <c r="AY5287" s="46">
        <f t="shared" si="248"/>
        <v>0</v>
      </c>
      <c r="AZ5287" s="46">
        <f t="shared" si="249"/>
        <v>0</v>
      </c>
    </row>
    <row r="5288" spans="50:52">
      <c r="AX5288" s="46">
        <f t="shared" si="247"/>
        <v>0</v>
      </c>
      <c r="AY5288" s="46">
        <f t="shared" si="248"/>
        <v>0</v>
      </c>
      <c r="AZ5288" s="46">
        <f t="shared" si="249"/>
        <v>0</v>
      </c>
    </row>
    <row r="5289" spans="50:52">
      <c r="AX5289" s="46">
        <f t="shared" si="247"/>
        <v>0</v>
      </c>
      <c r="AY5289" s="46">
        <f t="shared" si="248"/>
        <v>0</v>
      </c>
      <c r="AZ5289" s="46">
        <f t="shared" si="249"/>
        <v>0</v>
      </c>
    </row>
    <row r="5290" spans="50:52">
      <c r="AX5290" s="46">
        <f t="shared" si="247"/>
        <v>0</v>
      </c>
      <c r="AY5290" s="46">
        <f t="shared" si="248"/>
        <v>0</v>
      </c>
      <c r="AZ5290" s="46">
        <f t="shared" si="249"/>
        <v>0</v>
      </c>
    </row>
    <row r="5291" spans="50:52">
      <c r="AX5291" s="46">
        <f t="shared" si="247"/>
        <v>0</v>
      </c>
      <c r="AY5291" s="46">
        <f t="shared" si="248"/>
        <v>0</v>
      </c>
      <c r="AZ5291" s="46">
        <f t="shared" si="249"/>
        <v>0</v>
      </c>
    </row>
    <row r="5292" spans="50:52">
      <c r="AX5292" s="46">
        <f t="shared" si="247"/>
        <v>0</v>
      </c>
      <c r="AY5292" s="46">
        <f t="shared" si="248"/>
        <v>0</v>
      </c>
      <c r="AZ5292" s="46">
        <f t="shared" si="249"/>
        <v>0</v>
      </c>
    </row>
    <row r="5293" spans="50:52">
      <c r="AX5293" s="46">
        <f t="shared" si="247"/>
        <v>0</v>
      </c>
      <c r="AY5293" s="46">
        <f t="shared" si="248"/>
        <v>0</v>
      </c>
      <c r="AZ5293" s="46">
        <f t="shared" si="249"/>
        <v>0</v>
      </c>
    </row>
    <row r="5294" spans="50:52">
      <c r="AX5294" s="46">
        <f t="shared" si="247"/>
        <v>0</v>
      </c>
      <c r="AY5294" s="46">
        <f t="shared" si="248"/>
        <v>0</v>
      </c>
      <c r="AZ5294" s="46">
        <f t="shared" si="249"/>
        <v>0</v>
      </c>
    </row>
    <row r="5295" spans="50:52">
      <c r="AX5295" s="46">
        <f t="shared" si="247"/>
        <v>0</v>
      </c>
      <c r="AY5295" s="46">
        <f t="shared" si="248"/>
        <v>0</v>
      </c>
      <c r="AZ5295" s="46">
        <f t="shared" si="249"/>
        <v>0</v>
      </c>
    </row>
    <row r="5296" spans="50:52">
      <c r="AX5296" s="46">
        <f t="shared" si="247"/>
        <v>0</v>
      </c>
      <c r="AY5296" s="46">
        <f t="shared" si="248"/>
        <v>0</v>
      </c>
      <c r="AZ5296" s="46">
        <f t="shared" si="249"/>
        <v>0</v>
      </c>
    </row>
    <row r="5297" spans="50:52">
      <c r="AX5297" s="46">
        <f t="shared" si="247"/>
        <v>0</v>
      </c>
      <c r="AY5297" s="46">
        <f t="shared" si="248"/>
        <v>0</v>
      </c>
      <c r="AZ5297" s="46">
        <f t="shared" si="249"/>
        <v>0</v>
      </c>
    </row>
    <row r="5298" spans="50:52">
      <c r="AX5298" s="46">
        <f t="shared" si="247"/>
        <v>0</v>
      </c>
      <c r="AY5298" s="46">
        <f t="shared" si="248"/>
        <v>0</v>
      </c>
      <c r="AZ5298" s="46">
        <f t="shared" si="249"/>
        <v>0</v>
      </c>
    </row>
    <row r="5299" spans="50:52">
      <c r="AX5299" s="46">
        <f t="shared" si="247"/>
        <v>0</v>
      </c>
      <c r="AY5299" s="46">
        <f t="shared" si="248"/>
        <v>0</v>
      </c>
      <c r="AZ5299" s="46">
        <f t="shared" si="249"/>
        <v>0</v>
      </c>
    </row>
    <row r="5300" spans="50:52">
      <c r="AX5300" s="46">
        <f t="shared" si="247"/>
        <v>0</v>
      </c>
      <c r="AY5300" s="46">
        <f t="shared" si="248"/>
        <v>0</v>
      </c>
      <c r="AZ5300" s="46">
        <f t="shared" si="249"/>
        <v>0</v>
      </c>
    </row>
    <row r="5301" spans="50:52">
      <c r="AX5301" s="46">
        <f t="shared" si="247"/>
        <v>0</v>
      </c>
      <c r="AY5301" s="46">
        <f t="shared" si="248"/>
        <v>0</v>
      </c>
      <c r="AZ5301" s="46">
        <f t="shared" si="249"/>
        <v>0</v>
      </c>
    </row>
    <row r="5302" spans="50:52">
      <c r="AX5302" s="46">
        <f t="shared" si="247"/>
        <v>0</v>
      </c>
      <c r="AY5302" s="46">
        <f t="shared" si="248"/>
        <v>0</v>
      </c>
      <c r="AZ5302" s="46">
        <f t="shared" si="249"/>
        <v>0</v>
      </c>
    </row>
    <row r="5303" spans="50:52">
      <c r="AX5303" s="46">
        <f t="shared" si="247"/>
        <v>0</v>
      </c>
      <c r="AY5303" s="46">
        <f t="shared" si="248"/>
        <v>0</v>
      </c>
      <c r="AZ5303" s="46">
        <f t="shared" si="249"/>
        <v>0</v>
      </c>
    </row>
    <row r="5304" spans="50:52">
      <c r="AX5304" s="46">
        <f t="shared" si="247"/>
        <v>0</v>
      </c>
      <c r="AY5304" s="46">
        <f t="shared" si="248"/>
        <v>0</v>
      </c>
      <c r="AZ5304" s="46">
        <f t="shared" si="249"/>
        <v>0</v>
      </c>
    </row>
    <row r="5305" spans="50:52">
      <c r="AX5305" s="46">
        <f t="shared" si="247"/>
        <v>0</v>
      </c>
      <c r="AY5305" s="46">
        <f t="shared" si="248"/>
        <v>0</v>
      </c>
      <c r="AZ5305" s="46">
        <f t="shared" si="249"/>
        <v>0</v>
      </c>
    </row>
    <row r="5306" spans="50:52">
      <c r="AX5306" s="46">
        <f t="shared" si="247"/>
        <v>0</v>
      </c>
      <c r="AY5306" s="46">
        <f t="shared" si="248"/>
        <v>0</v>
      </c>
      <c r="AZ5306" s="46">
        <f t="shared" si="249"/>
        <v>0</v>
      </c>
    </row>
    <row r="5307" spans="50:52">
      <c r="AX5307" s="46">
        <f t="shared" si="247"/>
        <v>0</v>
      </c>
      <c r="AY5307" s="46">
        <f t="shared" si="248"/>
        <v>0</v>
      </c>
      <c r="AZ5307" s="46">
        <f t="shared" si="249"/>
        <v>0</v>
      </c>
    </row>
    <row r="5308" spans="50:52">
      <c r="AX5308" s="46">
        <f t="shared" si="247"/>
        <v>0</v>
      </c>
      <c r="AY5308" s="46">
        <f t="shared" si="248"/>
        <v>0</v>
      </c>
      <c r="AZ5308" s="46">
        <f t="shared" si="249"/>
        <v>0</v>
      </c>
    </row>
    <row r="5309" spans="50:52">
      <c r="AX5309" s="46">
        <f t="shared" si="247"/>
        <v>0</v>
      </c>
      <c r="AY5309" s="46">
        <f t="shared" si="248"/>
        <v>0</v>
      </c>
      <c r="AZ5309" s="46">
        <f t="shared" si="249"/>
        <v>0</v>
      </c>
    </row>
    <row r="5310" spans="50:52">
      <c r="AX5310" s="46">
        <f t="shared" si="247"/>
        <v>0</v>
      </c>
      <c r="AY5310" s="46">
        <f t="shared" si="248"/>
        <v>0</v>
      </c>
      <c r="AZ5310" s="46">
        <f t="shared" si="249"/>
        <v>0</v>
      </c>
    </row>
    <row r="5311" spans="50:52">
      <c r="AX5311" s="46">
        <f t="shared" si="247"/>
        <v>0</v>
      </c>
      <c r="AY5311" s="46">
        <f t="shared" si="248"/>
        <v>0</v>
      </c>
      <c r="AZ5311" s="46">
        <f t="shared" si="249"/>
        <v>0</v>
      </c>
    </row>
    <row r="5312" spans="50:52">
      <c r="AX5312" s="46">
        <f t="shared" si="247"/>
        <v>0</v>
      </c>
      <c r="AY5312" s="46">
        <f t="shared" si="248"/>
        <v>0</v>
      </c>
      <c r="AZ5312" s="46">
        <f t="shared" si="249"/>
        <v>0</v>
      </c>
    </row>
    <row r="5313" spans="50:52">
      <c r="AX5313" s="46">
        <f t="shared" si="247"/>
        <v>0</v>
      </c>
      <c r="AY5313" s="46">
        <f t="shared" si="248"/>
        <v>0</v>
      </c>
      <c r="AZ5313" s="46">
        <f t="shared" si="249"/>
        <v>0</v>
      </c>
    </row>
    <row r="5314" spans="50:52">
      <c r="AX5314" s="46">
        <f t="shared" si="247"/>
        <v>0</v>
      </c>
      <c r="AY5314" s="46">
        <f t="shared" si="248"/>
        <v>0</v>
      </c>
      <c r="AZ5314" s="46">
        <f t="shared" si="249"/>
        <v>0</v>
      </c>
    </row>
    <row r="5315" spans="50:52">
      <c r="AX5315" s="46">
        <f t="shared" si="247"/>
        <v>0</v>
      </c>
      <c r="AY5315" s="46">
        <f t="shared" si="248"/>
        <v>0</v>
      </c>
      <c r="AZ5315" s="46">
        <f t="shared" si="249"/>
        <v>0</v>
      </c>
    </row>
    <row r="5316" spans="50:52">
      <c r="AX5316" s="46">
        <f t="shared" si="247"/>
        <v>0</v>
      </c>
      <c r="AY5316" s="46">
        <f t="shared" si="248"/>
        <v>0</v>
      </c>
      <c r="AZ5316" s="46">
        <f t="shared" si="249"/>
        <v>0</v>
      </c>
    </row>
    <row r="5317" spans="50:52">
      <c r="AX5317" s="46">
        <f t="shared" si="247"/>
        <v>0</v>
      </c>
      <c r="AY5317" s="46">
        <f t="shared" si="248"/>
        <v>0</v>
      </c>
      <c r="AZ5317" s="46">
        <f t="shared" si="249"/>
        <v>0</v>
      </c>
    </row>
    <row r="5318" spans="50:52">
      <c r="AX5318" s="46">
        <f t="shared" si="247"/>
        <v>0</v>
      </c>
      <c r="AY5318" s="46">
        <f t="shared" si="248"/>
        <v>0</v>
      </c>
      <c r="AZ5318" s="46">
        <f t="shared" si="249"/>
        <v>0</v>
      </c>
    </row>
    <row r="5319" spans="50:52">
      <c r="AX5319" s="46">
        <f t="shared" si="247"/>
        <v>0</v>
      </c>
      <c r="AY5319" s="46">
        <f t="shared" si="248"/>
        <v>0</v>
      </c>
      <c r="AZ5319" s="46">
        <f t="shared" si="249"/>
        <v>0</v>
      </c>
    </row>
    <row r="5320" spans="50:52">
      <c r="AX5320" s="46">
        <f t="shared" si="247"/>
        <v>0</v>
      </c>
      <c r="AY5320" s="46">
        <f t="shared" si="248"/>
        <v>0</v>
      </c>
      <c r="AZ5320" s="46">
        <f t="shared" si="249"/>
        <v>0</v>
      </c>
    </row>
    <row r="5321" spans="50:52">
      <c r="AX5321" s="46">
        <f t="shared" si="247"/>
        <v>0</v>
      </c>
      <c r="AY5321" s="46">
        <f t="shared" si="248"/>
        <v>0</v>
      </c>
      <c r="AZ5321" s="46">
        <f t="shared" si="249"/>
        <v>0</v>
      </c>
    </row>
    <row r="5322" spans="50:52">
      <c r="AX5322" s="46">
        <f t="shared" si="247"/>
        <v>0</v>
      </c>
      <c r="AY5322" s="46">
        <f t="shared" si="248"/>
        <v>0</v>
      </c>
      <c r="AZ5322" s="46">
        <f t="shared" si="249"/>
        <v>0</v>
      </c>
    </row>
    <row r="5323" spans="50:52">
      <c r="AX5323" s="46">
        <f t="shared" ref="AX5323:AX5386" si="250">IFERROR(SUM(Q5323:AS5323)-SUM(AT5323:AU5323)+AV5323,"-")</f>
        <v>0</v>
      </c>
      <c r="AY5323" s="46">
        <f t="shared" ref="AY5323:AY5386" si="251">IFERROR(SUM(Q5323:AS5323)-SUM(AT5323:AT5323),"-")</f>
        <v>0</v>
      </c>
      <c r="AZ5323" s="46">
        <f t="shared" ref="AZ5323:AZ5386" si="252">SUM(Q5323:AS5323)</f>
        <v>0</v>
      </c>
    </row>
    <row r="5324" spans="50:52">
      <c r="AX5324" s="46">
        <f t="shared" si="250"/>
        <v>0</v>
      </c>
      <c r="AY5324" s="46">
        <f t="shared" si="251"/>
        <v>0</v>
      </c>
      <c r="AZ5324" s="46">
        <f t="shared" si="252"/>
        <v>0</v>
      </c>
    </row>
    <row r="5325" spans="50:52">
      <c r="AX5325" s="46">
        <f t="shared" si="250"/>
        <v>0</v>
      </c>
      <c r="AY5325" s="46">
        <f t="shared" si="251"/>
        <v>0</v>
      </c>
      <c r="AZ5325" s="46">
        <f t="shared" si="252"/>
        <v>0</v>
      </c>
    </row>
    <row r="5326" spans="50:52">
      <c r="AX5326" s="46">
        <f t="shared" si="250"/>
        <v>0</v>
      </c>
      <c r="AY5326" s="46">
        <f t="shared" si="251"/>
        <v>0</v>
      </c>
      <c r="AZ5326" s="46">
        <f t="shared" si="252"/>
        <v>0</v>
      </c>
    </row>
    <row r="5327" spans="50:52">
      <c r="AX5327" s="46">
        <f t="shared" si="250"/>
        <v>0</v>
      </c>
      <c r="AY5327" s="46">
        <f t="shared" si="251"/>
        <v>0</v>
      </c>
      <c r="AZ5327" s="46">
        <f t="shared" si="252"/>
        <v>0</v>
      </c>
    </row>
    <row r="5328" spans="50:52">
      <c r="AX5328" s="46">
        <f t="shared" si="250"/>
        <v>0</v>
      </c>
      <c r="AY5328" s="46">
        <f t="shared" si="251"/>
        <v>0</v>
      </c>
      <c r="AZ5328" s="46">
        <f t="shared" si="252"/>
        <v>0</v>
      </c>
    </row>
    <row r="5329" spans="50:52">
      <c r="AX5329" s="46">
        <f t="shared" si="250"/>
        <v>0</v>
      </c>
      <c r="AY5329" s="46">
        <f t="shared" si="251"/>
        <v>0</v>
      </c>
      <c r="AZ5329" s="46">
        <f t="shared" si="252"/>
        <v>0</v>
      </c>
    </row>
    <row r="5330" spans="50:52">
      <c r="AX5330" s="46">
        <f t="shared" si="250"/>
        <v>0</v>
      </c>
      <c r="AY5330" s="46">
        <f t="shared" si="251"/>
        <v>0</v>
      </c>
      <c r="AZ5330" s="46">
        <f t="shared" si="252"/>
        <v>0</v>
      </c>
    </row>
    <row r="5331" spans="50:52">
      <c r="AX5331" s="46">
        <f t="shared" si="250"/>
        <v>0</v>
      </c>
      <c r="AY5331" s="46">
        <f t="shared" si="251"/>
        <v>0</v>
      </c>
      <c r="AZ5331" s="46">
        <f t="shared" si="252"/>
        <v>0</v>
      </c>
    </row>
    <row r="5332" spans="50:52">
      <c r="AX5332" s="46">
        <f t="shared" si="250"/>
        <v>0</v>
      </c>
      <c r="AY5332" s="46">
        <f t="shared" si="251"/>
        <v>0</v>
      </c>
      <c r="AZ5332" s="46">
        <f t="shared" si="252"/>
        <v>0</v>
      </c>
    </row>
    <row r="5333" spans="50:52">
      <c r="AX5333" s="46">
        <f t="shared" si="250"/>
        <v>0</v>
      </c>
      <c r="AY5333" s="46">
        <f t="shared" si="251"/>
        <v>0</v>
      </c>
      <c r="AZ5333" s="46">
        <f t="shared" si="252"/>
        <v>0</v>
      </c>
    </row>
    <row r="5334" spans="50:52">
      <c r="AX5334" s="46">
        <f t="shared" si="250"/>
        <v>0</v>
      </c>
      <c r="AY5334" s="46">
        <f t="shared" si="251"/>
        <v>0</v>
      </c>
      <c r="AZ5334" s="46">
        <f t="shared" si="252"/>
        <v>0</v>
      </c>
    </row>
    <row r="5335" spans="50:52">
      <c r="AX5335" s="46">
        <f t="shared" si="250"/>
        <v>0</v>
      </c>
      <c r="AY5335" s="46">
        <f t="shared" si="251"/>
        <v>0</v>
      </c>
      <c r="AZ5335" s="46">
        <f t="shared" si="252"/>
        <v>0</v>
      </c>
    </row>
    <row r="5336" spans="50:52">
      <c r="AX5336" s="46">
        <f t="shared" si="250"/>
        <v>0</v>
      </c>
      <c r="AY5336" s="46">
        <f t="shared" si="251"/>
        <v>0</v>
      </c>
      <c r="AZ5336" s="46">
        <f t="shared" si="252"/>
        <v>0</v>
      </c>
    </row>
    <row r="5337" spans="50:52">
      <c r="AX5337" s="46">
        <f t="shared" si="250"/>
        <v>0</v>
      </c>
      <c r="AY5337" s="46">
        <f t="shared" si="251"/>
        <v>0</v>
      </c>
      <c r="AZ5337" s="46">
        <f t="shared" si="252"/>
        <v>0</v>
      </c>
    </row>
    <row r="5338" spans="50:52">
      <c r="AX5338" s="46">
        <f t="shared" si="250"/>
        <v>0</v>
      </c>
      <c r="AY5338" s="46">
        <f t="shared" si="251"/>
        <v>0</v>
      </c>
      <c r="AZ5338" s="46">
        <f t="shared" si="252"/>
        <v>0</v>
      </c>
    </row>
    <row r="5339" spans="50:52">
      <c r="AX5339" s="46">
        <f t="shared" si="250"/>
        <v>0</v>
      </c>
      <c r="AY5339" s="46">
        <f t="shared" si="251"/>
        <v>0</v>
      </c>
      <c r="AZ5339" s="46">
        <f t="shared" si="252"/>
        <v>0</v>
      </c>
    </row>
    <row r="5340" spans="50:52">
      <c r="AX5340" s="46">
        <f t="shared" si="250"/>
        <v>0</v>
      </c>
      <c r="AY5340" s="46">
        <f t="shared" si="251"/>
        <v>0</v>
      </c>
      <c r="AZ5340" s="46">
        <f t="shared" si="252"/>
        <v>0</v>
      </c>
    </row>
    <row r="5341" spans="50:52">
      <c r="AX5341" s="46">
        <f t="shared" si="250"/>
        <v>0</v>
      </c>
      <c r="AY5341" s="46">
        <f t="shared" si="251"/>
        <v>0</v>
      </c>
      <c r="AZ5341" s="46">
        <f t="shared" si="252"/>
        <v>0</v>
      </c>
    </row>
    <row r="5342" spans="50:52">
      <c r="AX5342" s="46">
        <f t="shared" si="250"/>
        <v>0</v>
      </c>
      <c r="AY5342" s="46">
        <f t="shared" si="251"/>
        <v>0</v>
      </c>
      <c r="AZ5342" s="46">
        <f t="shared" si="252"/>
        <v>0</v>
      </c>
    </row>
    <row r="5343" spans="50:52">
      <c r="AX5343" s="46">
        <f t="shared" si="250"/>
        <v>0</v>
      </c>
      <c r="AY5343" s="46">
        <f t="shared" si="251"/>
        <v>0</v>
      </c>
      <c r="AZ5343" s="46">
        <f t="shared" si="252"/>
        <v>0</v>
      </c>
    </row>
    <row r="5344" spans="50:52">
      <c r="AX5344" s="46">
        <f t="shared" si="250"/>
        <v>0</v>
      </c>
      <c r="AY5344" s="46">
        <f t="shared" si="251"/>
        <v>0</v>
      </c>
      <c r="AZ5344" s="46">
        <f t="shared" si="252"/>
        <v>0</v>
      </c>
    </row>
    <row r="5345" spans="50:52">
      <c r="AX5345" s="46">
        <f t="shared" si="250"/>
        <v>0</v>
      </c>
      <c r="AY5345" s="46">
        <f t="shared" si="251"/>
        <v>0</v>
      </c>
      <c r="AZ5345" s="46">
        <f t="shared" si="252"/>
        <v>0</v>
      </c>
    </row>
    <row r="5346" spans="50:52">
      <c r="AX5346" s="46">
        <f t="shared" si="250"/>
        <v>0</v>
      </c>
      <c r="AY5346" s="46">
        <f t="shared" si="251"/>
        <v>0</v>
      </c>
      <c r="AZ5346" s="46">
        <f t="shared" si="252"/>
        <v>0</v>
      </c>
    </row>
    <row r="5347" spans="50:52">
      <c r="AX5347" s="46">
        <f t="shared" si="250"/>
        <v>0</v>
      </c>
      <c r="AY5347" s="46">
        <f t="shared" si="251"/>
        <v>0</v>
      </c>
      <c r="AZ5347" s="46">
        <f t="shared" si="252"/>
        <v>0</v>
      </c>
    </row>
    <row r="5348" spans="50:52">
      <c r="AX5348" s="46">
        <f t="shared" si="250"/>
        <v>0</v>
      </c>
      <c r="AY5348" s="46">
        <f t="shared" si="251"/>
        <v>0</v>
      </c>
      <c r="AZ5348" s="46">
        <f t="shared" si="252"/>
        <v>0</v>
      </c>
    </row>
    <row r="5349" spans="50:52">
      <c r="AX5349" s="46">
        <f t="shared" si="250"/>
        <v>0</v>
      </c>
      <c r="AY5349" s="46">
        <f t="shared" si="251"/>
        <v>0</v>
      </c>
      <c r="AZ5349" s="46">
        <f t="shared" si="252"/>
        <v>0</v>
      </c>
    </row>
    <row r="5350" spans="50:52">
      <c r="AX5350" s="46">
        <f t="shared" si="250"/>
        <v>0</v>
      </c>
      <c r="AY5350" s="46">
        <f t="shared" si="251"/>
        <v>0</v>
      </c>
      <c r="AZ5350" s="46">
        <f t="shared" si="252"/>
        <v>0</v>
      </c>
    </row>
    <row r="5351" spans="50:52">
      <c r="AX5351" s="46">
        <f t="shared" si="250"/>
        <v>0</v>
      </c>
      <c r="AY5351" s="46">
        <f t="shared" si="251"/>
        <v>0</v>
      </c>
      <c r="AZ5351" s="46">
        <f t="shared" si="252"/>
        <v>0</v>
      </c>
    </row>
    <row r="5352" spans="50:52">
      <c r="AX5352" s="46">
        <f t="shared" si="250"/>
        <v>0</v>
      </c>
      <c r="AY5352" s="46">
        <f t="shared" si="251"/>
        <v>0</v>
      </c>
      <c r="AZ5352" s="46">
        <f t="shared" si="252"/>
        <v>0</v>
      </c>
    </row>
    <row r="5353" spans="50:52">
      <c r="AX5353" s="46">
        <f t="shared" si="250"/>
        <v>0</v>
      </c>
      <c r="AY5353" s="46">
        <f t="shared" si="251"/>
        <v>0</v>
      </c>
      <c r="AZ5353" s="46">
        <f t="shared" si="252"/>
        <v>0</v>
      </c>
    </row>
    <row r="5354" spans="50:52">
      <c r="AX5354" s="46">
        <f t="shared" si="250"/>
        <v>0</v>
      </c>
      <c r="AY5354" s="46">
        <f t="shared" si="251"/>
        <v>0</v>
      </c>
      <c r="AZ5354" s="46">
        <f t="shared" si="252"/>
        <v>0</v>
      </c>
    </row>
    <row r="5355" spans="50:52">
      <c r="AX5355" s="46">
        <f t="shared" si="250"/>
        <v>0</v>
      </c>
      <c r="AY5355" s="46">
        <f t="shared" si="251"/>
        <v>0</v>
      </c>
      <c r="AZ5355" s="46">
        <f t="shared" si="252"/>
        <v>0</v>
      </c>
    </row>
    <row r="5356" spans="50:52">
      <c r="AX5356" s="46">
        <f t="shared" si="250"/>
        <v>0</v>
      </c>
      <c r="AY5356" s="46">
        <f t="shared" si="251"/>
        <v>0</v>
      </c>
      <c r="AZ5356" s="46">
        <f t="shared" si="252"/>
        <v>0</v>
      </c>
    </row>
    <row r="5357" spans="50:52">
      <c r="AX5357" s="46">
        <f t="shared" si="250"/>
        <v>0</v>
      </c>
      <c r="AY5357" s="46">
        <f t="shared" si="251"/>
        <v>0</v>
      </c>
      <c r="AZ5357" s="46">
        <f t="shared" si="252"/>
        <v>0</v>
      </c>
    </row>
    <row r="5358" spans="50:52">
      <c r="AX5358" s="46">
        <f t="shared" si="250"/>
        <v>0</v>
      </c>
      <c r="AY5358" s="46">
        <f t="shared" si="251"/>
        <v>0</v>
      </c>
      <c r="AZ5358" s="46">
        <f t="shared" si="252"/>
        <v>0</v>
      </c>
    </row>
    <row r="5359" spans="50:52">
      <c r="AX5359" s="46">
        <f t="shared" si="250"/>
        <v>0</v>
      </c>
      <c r="AY5359" s="46">
        <f t="shared" si="251"/>
        <v>0</v>
      </c>
      <c r="AZ5359" s="46">
        <f t="shared" si="252"/>
        <v>0</v>
      </c>
    </row>
    <row r="5360" spans="50:52">
      <c r="AX5360" s="46">
        <f t="shared" si="250"/>
        <v>0</v>
      </c>
      <c r="AY5360" s="46">
        <f t="shared" si="251"/>
        <v>0</v>
      </c>
      <c r="AZ5360" s="46">
        <f t="shared" si="252"/>
        <v>0</v>
      </c>
    </row>
    <row r="5361" spans="50:52">
      <c r="AX5361" s="46">
        <f t="shared" si="250"/>
        <v>0</v>
      </c>
      <c r="AY5361" s="46">
        <f t="shared" si="251"/>
        <v>0</v>
      </c>
      <c r="AZ5361" s="46">
        <f t="shared" si="252"/>
        <v>0</v>
      </c>
    </row>
    <row r="5362" spans="50:52">
      <c r="AX5362" s="46">
        <f t="shared" si="250"/>
        <v>0</v>
      </c>
      <c r="AY5362" s="46">
        <f t="shared" si="251"/>
        <v>0</v>
      </c>
      <c r="AZ5362" s="46">
        <f t="shared" si="252"/>
        <v>0</v>
      </c>
    </row>
    <row r="5363" spans="50:52">
      <c r="AX5363" s="46">
        <f t="shared" si="250"/>
        <v>0</v>
      </c>
      <c r="AY5363" s="46">
        <f t="shared" si="251"/>
        <v>0</v>
      </c>
      <c r="AZ5363" s="46">
        <f t="shared" si="252"/>
        <v>0</v>
      </c>
    </row>
    <row r="5364" spans="50:52">
      <c r="AX5364" s="46">
        <f t="shared" si="250"/>
        <v>0</v>
      </c>
      <c r="AY5364" s="46">
        <f t="shared" si="251"/>
        <v>0</v>
      </c>
      <c r="AZ5364" s="46">
        <f t="shared" si="252"/>
        <v>0</v>
      </c>
    </row>
    <row r="5365" spans="50:52">
      <c r="AX5365" s="46">
        <f t="shared" si="250"/>
        <v>0</v>
      </c>
      <c r="AY5365" s="46">
        <f t="shared" si="251"/>
        <v>0</v>
      </c>
      <c r="AZ5365" s="46">
        <f t="shared" si="252"/>
        <v>0</v>
      </c>
    </row>
    <row r="5366" spans="50:52">
      <c r="AX5366" s="46">
        <f t="shared" si="250"/>
        <v>0</v>
      </c>
      <c r="AY5366" s="46">
        <f t="shared" si="251"/>
        <v>0</v>
      </c>
      <c r="AZ5366" s="46">
        <f t="shared" si="252"/>
        <v>0</v>
      </c>
    </row>
    <row r="5367" spans="50:52">
      <c r="AX5367" s="46">
        <f t="shared" si="250"/>
        <v>0</v>
      </c>
      <c r="AY5367" s="46">
        <f t="shared" si="251"/>
        <v>0</v>
      </c>
      <c r="AZ5367" s="46">
        <f t="shared" si="252"/>
        <v>0</v>
      </c>
    </row>
    <row r="5368" spans="50:52">
      <c r="AX5368" s="46">
        <f t="shared" si="250"/>
        <v>0</v>
      </c>
      <c r="AY5368" s="46">
        <f t="shared" si="251"/>
        <v>0</v>
      </c>
      <c r="AZ5368" s="46">
        <f t="shared" si="252"/>
        <v>0</v>
      </c>
    </row>
    <row r="5369" spans="50:52">
      <c r="AX5369" s="46">
        <f t="shared" si="250"/>
        <v>0</v>
      </c>
      <c r="AY5369" s="46">
        <f t="shared" si="251"/>
        <v>0</v>
      </c>
      <c r="AZ5369" s="46">
        <f t="shared" si="252"/>
        <v>0</v>
      </c>
    </row>
    <row r="5370" spans="50:52">
      <c r="AX5370" s="46">
        <f t="shared" si="250"/>
        <v>0</v>
      </c>
      <c r="AY5370" s="46">
        <f t="shared" si="251"/>
        <v>0</v>
      </c>
      <c r="AZ5370" s="46">
        <f t="shared" si="252"/>
        <v>0</v>
      </c>
    </row>
    <row r="5371" spans="50:52">
      <c r="AX5371" s="46">
        <f t="shared" si="250"/>
        <v>0</v>
      </c>
      <c r="AY5371" s="46">
        <f t="shared" si="251"/>
        <v>0</v>
      </c>
      <c r="AZ5371" s="46">
        <f t="shared" si="252"/>
        <v>0</v>
      </c>
    </row>
    <row r="5372" spans="50:52">
      <c r="AX5372" s="46">
        <f t="shared" si="250"/>
        <v>0</v>
      </c>
      <c r="AY5372" s="46">
        <f t="shared" si="251"/>
        <v>0</v>
      </c>
      <c r="AZ5372" s="46">
        <f t="shared" si="252"/>
        <v>0</v>
      </c>
    </row>
    <row r="5373" spans="50:52">
      <c r="AX5373" s="46">
        <f t="shared" si="250"/>
        <v>0</v>
      </c>
      <c r="AY5373" s="46">
        <f t="shared" si="251"/>
        <v>0</v>
      </c>
      <c r="AZ5373" s="46">
        <f t="shared" si="252"/>
        <v>0</v>
      </c>
    </row>
    <row r="5374" spans="50:52">
      <c r="AX5374" s="46">
        <f t="shared" si="250"/>
        <v>0</v>
      </c>
      <c r="AY5374" s="46">
        <f t="shared" si="251"/>
        <v>0</v>
      </c>
      <c r="AZ5374" s="46">
        <f t="shared" si="252"/>
        <v>0</v>
      </c>
    </row>
    <row r="5375" spans="50:52">
      <c r="AX5375" s="46">
        <f t="shared" si="250"/>
        <v>0</v>
      </c>
      <c r="AY5375" s="46">
        <f t="shared" si="251"/>
        <v>0</v>
      </c>
      <c r="AZ5375" s="46">
        <f t="shared" si="252"/>
        <v>0</v>
      </c>
    </row>
    <row r="5376" spans="50:52">
      <c r="AX5376" s="46">
        <f t="shared" si="250"/>
        <v>0</v>
      </c>
      <c r="AY5376" s="46">
        <f t="shared" si="251"/>
        <v>0</v>
      </c>
      <c r="AZ5376" s="46">
        <f t="shared" si="252"/>
        <v>0</v>
      </c>
    </row>
    <row r="5377" spans="50:52">
      <c r="AX5377" s="46">
        <f t="shared" si="250"/>
        <v>0</v>
      </c>
      <c r="AY5377" s="46">
        <f t="shared" si="251"/>
        <v>0</v>
      </c>
      <c r="AZ5377" s="46">
        <f t="shared" si="252"/>
        <v>0</v>
      </c>
    </row>
    <row r="5378" spans="50:52">
      <c r="AX5378" s="46">
        <f t="shared" si="250"/>
        <v>0</v>
      </c>
      <c r="AY5378" s="46">
        <f t="shared" si="251"/>
        <v>0</v>
      </c>
      <c r="AZ5378" s="46">
        <f t="shared" si="252"/>
        <v>0</v>
      </c>
    </row>
    <row r="5379" spans="50:52">
      <c r="AX5379" s="46">
        <f t="shared" si="250"/>
        <v>0</v>
      </c>
      <c r="AY5379" s="46">
        <f t="shared" si="251"/>
        <v>0</v>
      </c>
      <c r="AZ5379" s="46">
        <f t="shared" si="252"/>
        <v>0</v>
      </c>
    </row>
    <row r="5380" spans="50:52">
      <c r="AX5380" s="46">
        <f t="shared" si="250"/>
        <v>0</v>
      </c>
      <c r="AY5380" s="46">
        <f t="shared" si="251"/>
        <v>0</v>
      </c>
      <c r="AZ5380" s="46">
        <f t="shared" si="252"/>
        <v>0</v>
      </c>
    </row>
    <row r="5381" spans="50:52">
      <c r="AX5381" s="46">
        <f t="shared" si="250"/>
        <v>0</v>
      </c>
      <c r="AY5381" s="46">
        <f t="shared" si="251"/>
        <v>0</v>
      </c>
      <c r="AZ5381" s="46">
        <f t="shared" si="252"/>
        <v>0</v>
      </c>
    </row>
    <row r="5382" spans="50:52">
      <c r="AX5382" s="46">
        <f t="shared" si="250"/>
        <v>0</v>
      </c>
      <c r="AY5382" s="46">
        <f t="shared" si="251"/>
        <v>0</v>
      </c>
      <c r="AZ5382" s="46">
        <f t="shared" si="252"/>
        <v>0</v>
      </c>
    </row>
    <row r="5383" spans="50:52">
      <c r="AX5383" s="46">
        <f t="shared" si="250"/>
        <v>0</v>
      </c>
      <c r="AY5383" s="46">
        <f t="shared" si="251"/>
        <v>0</v>
      </c>
      <c r="AZ5383" s="46">
        <f t="shared" si="252"/>
        <v>0</v>
      </c>
    </row>
    <row r="5384" spans="50:52">
      <c r="AX5384" s="46">
        <f t="shared" si="250"/>
        <v>0</v>
      </c>
      <c r="AY5384" s="46">
        <f t="shared" si="251"/>
        <v>0</v>
      </c>
      <c r="AZ5384" s="46">
        <f t="shared" si="252"/>
        <v>0</v>
      </c>
    </row>
    <row r="5385" spans="50:52">
      <c r="AX5385" s="46">
        <f t="shared" si="250"/>
        <v>0</v>
      </c>
      <c r="AY5385" s="46">
        <f t="shared" si="251"/>
        <v>0</v>
      </c>
      <c r="AZ5385" s="46">
        <f t="shared" si="252"/>
        <v>0</v>
      </c>
    </row>
    <row r="5386" spans="50:52">
      <c r="AX5386" s="46">
        <f t="shared" si="250"/>
        <v>0</v>
      </c>
      <c r="AY5386" s="46">
        <f t="shared" si="251"/>
        <v>0</v>
      </c>
      <c r="AZ5386" s="46">
        <f t="shared" si="252"/>
        <v>0</v>
      </c>
    </row>
    <row r="5387" spans="50:52">
      <c r="AX5387" s="46">
        <f t="shared" ref="AX5387:AX5450" si="253">IFERROR(SUM(Q5387:AS5387)-SUM(AT5387:AU5387)+AV5387,"-")</f>
        <v>0</v>
      </c>
      <c r="AY5387" s="46">
        <f t="shared" ref="AY5387:AY5450" si="254">IFERROR(SUM(Q5387:AS5387)-SUM(AT5387:AT5387),"-")</f>
        <v>0</v>
      </c>
      <c r="AZ5387" s="46">
        <f t="shared" ref="AZ5387:AZ5450" si="255">SUM(Q5387:AS5387)</f>
        <v>0</v>
      </c>
    </row>
    <row r="5388" spans="50:52">
      <c r="AX5388" s="46">
        <f t="shared" si="253"/>
        <v>0</v>
      </c>
      <c r="AY5388" s="46">
        <f t="shared" si="254"/>
        <v>0</v>
      </c>
      <c r="AZ5388" s="46">
        <f t="shared" si="255"/>
        <v>0</v>
      </c>
    </row>
    <row r="5389" spans="50:52">
      <c r="AX5389" s="46">
        <f t="shared" si="253"/>
        <v>0</v>
      </c>
      <c r="AY5389" s="46">
        <f t="shared" si="254"/>
        <v>0</v>
      </c>
      <c r="AZ5389" s="46">
        <f t="shared" si="255"/>
        <v>0</v>
      </c>
    </row>
    <row r="5390" spans="50:52">
      <c r="AX5390" s="46">
        <f t="shared" si="253"/>
        <v>0</v>
      </c>
      <c r="AY5390" s="46">
        <f t="shared" si="254"/>
        <v>0</v>
      </c>
      <c r="AZ5390" s="46">
        <f t="shared" si="255"/>
        <v>0</v>
      </c>
    </row>
    <row r="5391" spans="50:52">
      <c r="AX5391" s="46">
        <f t="shared" si="253"/>
        <v>0</v>
      </c>
      <c r="AY5391" s="46">
        <f t="shared" si="254"/>
        <v>0</v>
      </c>
      <c r="AZ5391" s="46">
        <f t="shared" si="255"/>
        <v>0</v>
      </c>
    </row>
    <row r="5392" spans="50:52">
      <c r="AX5392" s="46">
        <f t="shared" si="253"/>
        <v>0</v>
      </c>
      <c r="AY5392" s="46">
        <f t="shared" si="254"/>
        <v>0</v>
      </c>
      <c r="AZ5392" s="46">
        <f t="shared" si="255"/>
        <v>0</v>
      </c>
    </row>
    <row r="5393" spans="50:52">
      <c r="AX5393" s="46">
        <f t="shared" si="253"/>
        <v>0</v>
      </c>
      <c r="AY5393" s="46">
        <f t="shared" si="254"/>
        <v>0</v>
      </c>
      <c r="AZ5393" s="46">
        <f t="shared" si="255"/>
        <v>0</v>
      </c>
    </row>
    <row r="5394" spans="50:52">
      <c r="AX5394" s="46">
        <f t="shared" si="253"/>
        <v>0</v>
      </c>
      <c r="AY5394" s="46">
        <f t="shared" si="254"/>
        <v>0</v>
      </c>
      <c r="AZ5394" s="46">
        <f t="shared" si="255"/>
        <v>0</v>
      </c>
    </row>
    <row r="5395" spans="50:52">
      <c r="AX5395" s="46">
        <f t="shared" si="253"/>
        <v>0</v>
      </c>
      <c r="AY5395" s="46">
        <f t="shared" si="254"/>
        <v>0</v>
      </c>
      <c r="AZ5395" s="46">
        <f t="shared" si="255"/>
        <v>0</v>
      </c>
    </row>
    <row r="5396" spans="50:52">
      <c r="AX5396" s="46">
        <f t="shared" si="253"/>
        <v>0</v>
      </c>
      <c r="AY5396" s="46">
        <f t="shared" si="254"/>
        <v>0</v>
      </c>
      <c r="AZ5396" s="46">
        <f t="shared" si="255"/>
        <v>0</v>
      </c>
    </row>
    <row r="5397" spans="50:52">
      <c r="AX5397" s="46">
        <f t="shared" si="253"/>
        <v>0</v>
      </c>
      <c r="AY5397" s="46">
        <f t="shared" si="254"/>
        <v>0</v>
      </c>
      <c r="AZ5397" s="46">
        <f t="shared" si="255"/>
        <v>0</v>
      </c>
    </row>
    <row r="5398" spans="50:52">
      <c r="AX5398" s="46">
        <f t="shared" si="253"/>
        <v>0</v>
      </c>
      <c r="AY5398" s="46">
        <f t="shared" si="254"/>
        <v>0</v>
      </c>
      <c r="AZ5398" s="46">
        <f t="shared" si="255"/>
        <v>0</v>
      </c>
    </row>
    <row r="5399" spans="50:52">
      <c r="AX5399" s="46">
        <f t="shared" si="253"/>
        <v>0</v>
      </c>
      <c r="AY5399" s="46">
        <f t="shared" si="254"/>
        <v>0</v>
      </c>
      <c r="AZ5399" s="46">
        <f t="shared" si="255"/>
        <v>0</v>
      </c>
    </row>
    <row r="5400" spans="50:52">
      <c r="AX5400" s="46">
        <f t="shared" si="253"/>
        <v>0</v>
      </c>
      <c r="AY5400" s="46">
        <f t="shared" si="254"/>
        <v>0</v>
      </c>
      <c r="AZ5400" s="46">
        <f t="shared" si="255"/>
        <v>0</v>
      </c>
    </row>
    <row r="5401" spans="50:52">
      <c r="AX5401" s="46">
        <f t="shared" si="253"/>
        <v>0</v>
      </c>
      <c r="AY5401" s="46">
        <f t="shared" si="254"/>
        <v>0</v>
      </c>
      <c r="AZ5401" s="46">
        <f t="shared" si="255"/>
        <v>0</v>
      </c>
    </row>
    <row r="5402" spans="50:52">
      <c r="AX5402" s="46">
        <f t="shared" si="253"/>
        <v>0</v>
      </c>
      <c r="AY5402" s="46">
        <f t="shared" si="254"/>
        <v>0</v>
      </c>
      <c r="AZ5402" s="46">
        <f t="shared" si="255"/>
        <v>0</v>
      </c>
    </row>
    <row r="5403" spans="50:52">
      <c r="AX5403" s="46">
        <f t="shared" si="253"/>
        <v>0</v>
      </c>
      <c r="AY5403" s="46">
        <f t="shared" si="254"/>
        <v>0</v>
      </c>
      <c r="AZ5403" s="46">
        <f t="shared" si="255"/>
        <v>0</v>
      </c>
    </row>
    <row r="5404" spans="50:52">
      <c r="AX5404" s="46">
        <f t="shared" si="253"/>
        <v>0</v>
      </c>
      <c r="AY5404" s="46">
        <f t="shared" si="254"/>
        <v>0</v>
      </c>
      <c r="AZ5404" s="46">
        <f t="shared" si="255"/>
        <v>0</v>
      </c>
    </row>
    <row r="5405" spans="50:52">
      <c r="AX5405" s="46">
        <f t="shared" si="253"/>
        <v>0</v>
      </c>
      <c r="AY5405" s="46">
        <f t="shared" si="254"/>
        <v>0</v>
      </c>
      <c r="AZ5405" s="46">
        <f t="shared" si="255"/>
        <v>0</v>
      </c>
    </row>
    <row r="5406" spans="50:52">
      <c r="AX5406" s="46">
        <f t="shared" si="253"/>
        <v>0</v>
      </c>
      <c r="AY5406" s="46">
        <f t="shared" si="254"/>
        <v>0</v>
      </c>
      <c r="AZ5406" s="46">
        <f t="shared" si="255"/>
        <v>0</v>
      </c>
    </row>
    <row r="5407" spans="50:52">
      <c r="AX5407" s="46">
        <f t="shared" si="253"/>
        <v>0</v>
      </c>
      <c r="AY5407" s="46">
        <f t="shared" si="254"/>
        <v>0</v>
      </c>
      <c r="AZ5407" s="46">
        <f t="shared" si="255"/>
        <v>0</v>
      </c>
    </row>
    <row r="5408" spans="50:52">
      <c r="AX5408" s="46">
        <f t="shared" si="253"/>
        <v>0</v>
      </c>
      <c r="AY5408" s="46">
        <f t="shared" si="254"/>
        <v>0</v>
      </c>
      <c r="AZ5408" s="46">
        <f t="shared" si="255"/>
        <v>0</v>
      </c>
    </row>
    <row r="5409" spans="50:52">
      <c r="AX5409" s="46">
        <f t="shared" si="253"/>
        <v>0</v>
      </c>
      <c r="AY5409" s="46">
        <f t="shared" si="254"/>
        <v>0</v>
      </c>
      <c r="AZ5409" s="46">
        <f t="shared" si="255"/>
        <v>0</v>
      </c>
    </row>
    <row r="5410" spans="50:52">
      <c r="AX5410" s="46">
        <f t="shared" si="253"/>
        <v>0</v>
      </c>
      <c r="AY5410" s="46">
        <f t="shared" si="254"/>
        <v>0</v>
      </c>
      <c r="AZ5410" s="46">
        <f t="shared" si="255"/>
        <v>0</v>
      </c>
    </row>
    <row r="5411" spans="50:52">
      <c r="AX5411" s="46">
        <f t="shared" si="253"/>
        <v>0</v>
      </c>
      <c r="AY5411" s="46">
        <f t="shared" si="254"/>
        <v>0</v>
      </c>
      <c r="AZ5411" s="46">
        <f t="shared" si="255"/>
        <v>0</v>
      </c>
    </row>
    <row r="5412" spans="50:52">
      <c r="AX5412" s="46">
        <f t="shared" si="253"/>
        <v>0</v>
      </c>
      <c r="AY5412" s="46">
        <f t="shared" si="254"/>
        <v>0</v>
      </c>
      <c r="AZ5412" s="46">
        <f t="shared" si="255"/>
        <v>0</v>
      </c>
    </row>
    <row r="5413" spans="50:52">
      <c r="AX5413" s="46">
        <f t="shared" si="253"/>
        <v>0</v>
      </c>
      <c r="AY5413" s="46">
        <f t="shared" si="254"/>
        <v>0</v>
      </c>
      <c r="AZ5413" s="46">
        <f t="shared" si="255"/>
        <v>0</v>
      </c>
    </row>
    <row r="5414" spans="50:52">
      <c r="AX5414" s="46">
        <f t="shared" si="253"/>
        <v>0</v>
      </c>
      <c r="AY5414" s="46">
        <f t="shared" si="254"/>
        <v>0</v>
      </c>
      <c r="AZ5414" s="46">
        <f t="shared" si="255"/>
        <v>0</v>
      </c>
    </row>
    <row r="5415" spans="50:52">
      <c r="AX5415" s="46">
        <f t="shared" si="253"/>
        <v>0</v>
      </c>
      <c r="AY5415" s="46">
        <f t="shared" si="254"/>
        <v>0</v>
      </c>
      <c r="AZ5415" s="46">
        <f t="shared" si="255"/>
        <v>0</v>
      </c>
    </row>
    <row r="5416" spans="50:52">
      <c r="AX5416" s="46">
        <f t="shared" si="253"/>
        <v>0</v>
      </c>
      <c r="AY5416" s="46">
        <f t="shared" si="254"/>
        <v>0</v>
      </c>
      <c r="AZ5416" s="46">
        <f t="shared" si="255"/>
        <v>0</v>
      </c>
    </row>
    <row r="5417" spans="50:52">
      <c r="AX5417" s="46">
        <f t="shared" si="253"/>
        <v>0</v>
      </c>
      <c r="AY5417" s="46">
        <f t="shared" si="254"/>
        <v>0</v>
      </c>
      <c r="AZ5417" s="46">
        <f t="shared" si="255"/>
        <v>0</v>
      </c>
    </row>
    <row r="5418" spans="50:52">
      <c r="AX5418" s="46">
        <f t="shared" si="253"/>
        <v>0</v>
      </c>
      <c r="AY5418" s="46">
        <f t="shared" si="254"/>
        <v>0</v>
      </c>
      <c r="AZ5418" s="46">
        <f t="shared" si="255"/>
        <v>0</v>
      </c>
    </row>
    <row r="5419" spans="50:52">
      <c r="AX5419" s="46">
        <f t="shared" si="253"/>
        <v>0</v>
      </c>
      <c r="AY5419" s="46">
        <f t="shared" si="254"/>
        <v>0</v>
      </c>
      <c r="AZ5419" s="46">
        <f t="shared" si="255"/>
        <v>0</v>
      </c>
    </row>
    <row r="5420" spans="50:52">
      <c r="AX5420" s="46">
        <f t="shared" si="253"/>
        <v>0</v>
      </c>
      <c r="AY5420" s="46">
        <f t="shared" si="254"/>
        <v>0</v>
      </c>
      <c r="AZ5420" s="46">
        <f t="shared" si="255"/>
        <v>0</v>
      </c>
    </row>
    <row r="5421" spans="50:52">
      <c r="AX5421" s="46">
        <f t="shared" si="253"/>
        <v>0</v>
      </c>
      <c r="AY5421" s="46">
        <f t="shared" si="254"/>
        <v>0</v>
      </c>
      <c r="AZ5421" s="46">
        <f t="shared" si="255"/>
        <v>0</v>
      </c>
    </row>
    <row r="5422" spans="50:52">
      <c r="AX5422" s="46">
        <f t="shared" si="253"/>
        <v>0</v>
      </c>
      <c r="AY5422" s="46">
        <f t="shared" si="254"/>
        <v>0</v>
      </c>
      <c r="AZ5422" s="46">
        <f t="shared" si="255"/>
        <v>0</v>
      </c>
    </row>
    <row r="5423" spans="50:52">
      <c r="AX5423" s="46">
        <f t="shared" si="253"/>
        <v>0</v>
      </c>
      <c r="AY5423" s="46">
        <f t="shared" si="254"/>
        <v>0</v>
      </c>
      <c r="AZ5423" s="46">
        <f t="shared" si="255"/>
        <v>0</v>
      </c>
    </row>
    <row r="5424" spans="50:52">
      <c r="AX5424" s="46">
        <f t="shared" si="253"/>
        <v>0</v>
      </c>
      <c r="AY5424" s="46">
        <f t="shared" si="254"/>
        <v>0</v>
      </c>
      <c r="AZ5424" s="46">
        <f t="shared" si="255"/>
        <v>0</v>
      </c>
    </row>
    <row r="5425" spans="50:52">
      <c r="AX5425" s="46">
        <f t="shared" si="253"/>
        <v>0</v>
      </c>
      <c r="AY5425" s="46">
        <f t="shared" si="254"/>
        <v>0</v>
      </c>
      <c r="AZ5425" s="46">
        <f t="shared" si="255"/>
        <v>0</v>
      </c>
    </row>
    <row r="5426" spans="50:52">
      <c r="AX5426" s="46">
        <f t="shared" si="253"/>
        <v>0</v>
      </c>
      <c r="AY5426" s="46">
        <f t="shared" si="254"/>
        <v>0</v>
      </c>
      <c r="AZ5426" s="46">
        <f t="shared" si="255"/>
        <v>0</v>
      </c>
    </row>
    <row r="5427" spans="50:52">
      <c r="AX5427" s="46">
        <f t="shared" si="253"/>
        <v>0</v>
      </c>
      <c r="AY5427" s="46">
        <f t="shared" si="254"/>
        <v>0</v>
      </c>
      <c r="AZ5427" s="46">
        <f t="shared" si="255"/>
        <v>0</v>
      </c>
    </row>
    <row r="5428" spans="50:52">
      <c r="AX5428" s="46">
        <f t="shared" si="253"/>
        <v>0</v>
      </c>
      <c r="AY5428" s="46">
        <f t="shared" si="254"/>
        <v>0</v>
      </c>
      <c r="AZ5428" s="46">
        <f t="shared" si="255"/>
        <v>0</v>
      </c>
    </row>
    <row r="5429" spans="50:52">
      <c r="AX5429" s="46">
        <f t="shared" si="253"/>
        <v>0</v>
      </c>
      <c r="AY5429" s="46">
        <f t="shared" si="254"/>
        <v>0</v>
      </c>
      <c r="AZ5429" s="46">
        <f t="shared" si="255"/>
        <v>0</v>
      </c>
    </row>
    <row r="5430" spans="50:52">
      <c r="AX5430" s="46">
        <f t="shared" si="253"/>
        <v>0</v>
      </c>
      <c r="AY5430" s="46">
        <f t="shared" si="254"/>
        <v>0</v>
      </c>
      <c r="AZ5430" s="46">
        <f t="shared" si="255"/>
        <v>0</v>
      </c>
    </row>
    <row r="5431" spans="50:52">
      <c r="AX5431" s="46">
        <f t="shared" si="253"/>
        <v>0</v>
      </c>
      <c r="AY5431" s="46">
        <f t="shared" si="254"/>
        <v>0</v>
      </c>
      <c r="AZ5431" s="46">
        <f t="shared" si="255"/>
        <v>0</v>
      </c>
    </row>
    <row r="5432" spans="50:52">
      <c r="AX5432" s="46">
        <f t="shared" si="253"/>
        <v>0</v>
      </c>
      <c r="AY5432" s="46">
        <f t="shared" si="254"/>
        <v>0</v>
      </c>
      <c r="AZ5432" s="46">
        <f t="shared" si="255"/>
        <v>0</v>
      </c>
    </row>
    <row r="5433" spans="50:52">
      <c r="AX5433" s="46">
        <f t="shared" si="253"/>
        <v>0</v>
      </c>
      <c r="AY5433" s="46">
        <f t="shared" si="254"/>
        <v>0</v>
      </c>
      <c r="AZ5433" s="46">
        <f t="shared" si="255"/>
        <v>0</v>
      </c>
    </row>
    <row r="5434" spans="50:52">
      <c r="AX5434" s="46">
        <f t="shared" si="253"/>
        <v>0</v>
      </c>
      <c r="AY5434" s="46">
        <f t="shared" si="254"/>
        <v>0</v>
      </c>
      <c r="AZ5434" s="46">
        <f t="shared" si="255"/>
        <v>0</v>
      </c>
    </row>
    <row r="5435" spans="50:52">
      <c r="AX5435" s="46">
        <f t="shared" si="253"/>
        <v>0</v>
      </c>
      <c r="AY5435" s="46">
        <f t="shared" si="254"/>
        <v>0</v>
      </c>
      <c r="AZ5435" s="46">
        <f t="shared" si="255"/>
        <v>0</v>
      </c>
    </row>
    <row r="5436" spans="50:52">
      <c r="AX5436" s="46">
        <f t="shared" si="253"/>
        <v>0</v>
      </c>
      <c r="AY5436" s="46">
        <f t="shared" si="254"/>
        <v>0</v>
      </c>
      <c r="AZ5436" s="46">
        <f t="shared" si="255"/>
        <v>0</v>
      </c>
    </row>
    <row r="5437" spans="50:52">
      <c r="AX5437" s="46">
        <f t="shared" si="253"/>
        <v>0</v>
      </c>
      <c r="AY5437" s="46">
        <f t="shared" si="254"/>
        <v>0</v>
      </c>
      <c r="AZ5437" s="46">
        <f t="shared" si="255"/>
        <v>0</v>
      </c>
    </row>
    <row r="5438" spans="50:52">
      <c r="AX5438" s="46">
        <f t="shared" si="253"/>
        <v>0</v>
      </c>
      <c r="AY5438" s="46">
        <f t="shared" si="254"/>
        <v>0</v>
      </c>
      <c r="AZ5438" s="46">
        <f t="shared" si="255"/>
        <v>0</v>
      </c>
    </row>
    <row r="5439" spans="50:52">
      <c r="AX5439" s="46">
        <f t="shared" si="253"/>
        <v>0</v>
      </c>
      <c r="AY5439" s="46">
        <f t="shared" si="254"/>
        <v>0</v>
      </c>
      <c r="AZ5439" s="46">
        <f t="shared" si="255"/>
        <v>0</v>
      </c>
    </row>
    <row r="5440" spans="50:52">
      <c r="AX5440" s="46">
        <f t="shared" si="253"/>
        <v>0</v>
      </c>
      <c r="AY5440" s="46">
        <f t="shared" si="254"/>
        <v>0</v>
      </c>
      <c r="AZ5440" s="46">
        <f t="shared" si="255"/>
        <v>0</v>
      </c>
    </row>
    <row r="5441" spans="50:52">
      <c r="AX5441" s="46">
        <f t="shared" si="253"/>
        <v>0</v>
      </c>
      <c r="AY5441" s="46">
        <f t="shared" si="254"/>
        <v>0</v>
      </c>
      <c r="AZ5441" s="46">
        <f t="shared" si="255"/>
        <v>0</v>
      </c>
    </row>
    <row r="5442" spans="50:52">
      <c r="AX5442" s="46">
        <f t="shared" si="253"/>
        <v>0</v>
      </c>
      <c r="AY5442" s="46">
        <f t="shared" si="254"/>
        <v>0</v>
      </c>
      <c r="AZ5442" s="46">
        <f t="shared" si="255"/>
        <v>0</v>
      </c>
    </row>
    <row r="5443" spans="50:52">
      <c r="AX5443" s="46">
        <f t="shared" si="253"/>
        <v>0</v>
      </c>
      <c r="AY5443" s="46">
        <f t="shared" si="254"/>
        <v>0</v>
      </c>
      <c r="AZ5443" s="46">
        <f t="shared" si="255"/>
        <v>0</v>
      </c>
    </row>
    <row r="5444" spans="50:52">
      <c r="AX5444" s="46">
        <f t="shared" si="253"/>
        <v>0</v>
      </c>
      <c r="AY5444" s="46">
        <f t="shared" si="254"/>
        <v>0</v>
      </c>
      <c r="AZ5444" s="46">
        <f t="shared" si="255"/>
        <v>0</v>
      </c>
    </row>
    <row r="5445" spans="50:52">
      <c r="AX5445" s="46">
        <f t="shared" si="253"/>
        <v>0</v>
      </c>
      <c r="AY5445" s="46">
        <f t="shared" si="254"/>
        <v>0</v>
      </c>
      <c r="AZ5445" s="46">
        <f t="shared" si="255"/>
        <v>0</v>
      </c>
    </row>
    <row r="5446" spans="50:52">
      <c r="AX5446" s="46">
        <f t="shared" si="253"/>
        <v>0</v>
      </c>
      <c r="AY5446" s="46">
        <f t="shared" si="254"/>
        <v>0</v>
      </c>
      <c r="AZ5446" s="46">
        <f t="shared" si="255"/>
        <v>0</v>
      </c>
    </row>
    <row r="5447" spans="50:52">
      <c r="AX5447" s="46">
        <f t="shared" si="253"/>
        <v>0</v>
      </c>
      <c r="AY5447" s="46">
        <f t="shared" si="254"/>
        <v>0</v>
      </c>
      <c r="AZ5447" s="46">
        <f t="shared" si="255"/>
        <v>0</v>
      </c>
    </row>
    <row r="5448" spans="50:52">
      <c r="AX5448" s="46">
        <f t="shared" si="253"/>
        <v>0</v>
      </c>
      <c r="AY5448" s="46">
        <f t="shared" si="254"/>
        <v>0</v>
      </c>
      <c r="AZ5448" s="46">
        <f t="shared" si="255"/>
        <v>0</v>
      </c>
    </row>
    <row r="5449" spans="50:52">
      <c r="AX5449" s="46">
        <f t="shared" si="253"/>
        <v>0</v>
      </c>
      <c r="AY5449" s="46">
        <f t="shared" si="254"/>
        <v>0</v>
      </c>
      <c r="AZ5449" s="46">
        <f t="shared" si="255"/>
        <v>0</v>
      </c>
    </row>
    <row r="5450" spans="50:52">
      <c r="AX5450" s="46">
        <f t="shared" si="253"/>
        <v>0</v>
      </c>
      <c r="AY5450" s="46">
        <f t="shared" si="254"/>
        <v>0</v>
      </c>
      <c r="AZ5450" s="46">
        <f t="shared" si="255"/>
        <v>0</v>
      </c>
    </row>
    <row r="5451" spans="50:52">
      <c r="AX5451" s="46">
        <f t="shared" ref="AX5451:AX5514" si="256">IFERROR(SUM(Q5451:AS5451)-SUM(AT5451:AU5451)+AV5451,"-")</f>
        <v>0</v>
      </c>
      <c r="AY5451" s="46">
        <f t="shared" ref="AY5451:AY5514" si="257">IFERROR(SUM(Q5451:AS5451)-SUM(AT5451:AT5451),"-")</f>
        <v>0</v>
      </c>
      <c r="AZ5451" s="46">
        <f t="shared" ref="AZ5451:AZ5514" si="258">SUM(Q5451:AS5451)</f>
        <v>0</v>
      </c>
    </row>
    <row r="5452" spans="50:52">
      <c r="AX5452" s="46">
        <f t="shared" si="256"/>
        <v>0</v>
      </c>
      <c r="AY5452" s="46">
        <f t="shared" si="257"/>
        <v>0</v>
      </c>
      <c r="AZ5452" s="46">
        <f t="shared" si="258"/>
        <v>0</v>
      </c>
    </row>
    <row r="5453" spans="50:52">
      <c r="AX5453" s="46">
        <f t="shared" si="256"/>
        <v>0</v>
      </c>
      <c r="AY5453" s="46">
        <f t="shared" si="257"/>
        <v>0</v>
      </c>
      <c r="AZ5453" s="46">
        <f t="shared" si="258"/>
        <v>0</v>
      </c>
    </row>
    <row r="5454" spans="50:52">
      <c r="AX5454" s="46">
        <f t="shared" si="256"/>
        <v>0</v>
      </c>
      <c r="AY5454" s="46">
        <f t="shared" si="257"/>
        <v>0</v>
      </c>
      <c r="AZ5454" s="46">
        <f t="shared" si="258"/>
        <v>0</v>
      </c>
    </row>
    <row r="5455" spans="50:52">
      <c r="AX5455" s="46">
        <f t="shared" si="256"/>
        <v>0</v>
      </c>
      <c r="AY5455" s="46">
        <f t="shared" si="257"/>
        <v>0</v>
      </c>
      <c r="AZ5455" s="46">
        <f t="shared" si="258"/>
        <v>0</v>
      </c>
    </row>
    <row r="5456" spans="50:52">
      <c r="AX5456" s="46">
        <f t="shared" si="256"/>
        <v>0</v>
      </c>
      <c r="AY5456" s="46">
        <f t="shared" si="257"/>
        <v>0</v>
      </c>
      <c r="AZ5456" s="46">
        <f t="shared" si="258"/>
        <v>0</v>
      </c>
    </row>
    <row r="5457" spans="50:52">
      <c r="AX5457" s="46">
        <f t="shared" si="256"/>
        <v>0</v>
      </c>
      <c r="AY5457" s="46">
        <f t="shared" si="257"/>
        <v>0</v>
      </c>
      <c r="AZ5457" s="46">
        <f t="shared" si="258"/>
        <v>0</v>
      </c>
    </row>
    <row r="5458" spans="50:52">
      <c r="AX5458" s="46">
        <f t="shared" si="256"/>
        <v>0</v>
      </c>
      <c r="AY5458" s="46">
        <f t="shared" si="257"/>
        <v>0</v>
      </c>
      <c r="AZ5458" s="46">
        <f t="shared" si="258"/>
        <v>0</v>
      </c>
    </row>
    <row r="5459" spans="50:52">
      <c r="AX5459" s="46">
        <f t="shared" si="256"/>
        <v>0</v>
      </c>
      <c r="AY5459" s="46">
        <f t="shared" si="257"/>
        <v>0</v>
      </c>
      <c r="AZ5459" s="46">
        <f t="shared" si="258"/>
        <v>0</v>
      </c>
    </row>
    <row r="5460" spans="50:52">
      <c r="AX5460" s="46">
        <f t="shared" si="256"/>
        <v>0</v>
      </c>
      <c r="AY5460" s="46">
        <f t="shared" si="257"/>
        <v>0</v>
      </c>
      <c r="AZ5460" s="46">
        <f t="shared" si="258"/>
        <v>0</v>
      </c>
    </row>
    <row r="5461" spans="50:52">
      <c r="AX5461" s="46">
        <f t="shared" si="256"/>
        <v>0</v>
      </c>
      <c r="AY5461" s="46">
        <f t="shared" si="257"/>
        <v>0</v>
      </c>
      <c r="AZ5461" s="46">
        <f t="shared" si="258"/>
        <v>0</v>
      </c>
    </row>
    <row r="5462" spans="50:52">
      <c r="AX5462" s="46">
        <f t="shared" si="256"/>
        <v>0</v>
      </c>
      <c r="AY5462" s="46">
        <f t="shared" si="257"/>
        <v>0</v>
      </c>
      <c r="AZ5462" s="46">
        <f t="shared" si="258"/>
        <v>0</v>
      </c>
    </row>
    <row r="5463" spans="50:52">
      <c r="AX5463" s="46">
        <f t="shared" si="256"/>
        <v>0</v>
      </c>
      <c r="AY5463" s="46">
        <f t="shared" si="257"/>
        <v>0</v>
      </c>
      <c r="AZ5463" s="46">
        <f t="shared" si="258"/>
        <v>0</v>
      </c>
    </row>
    <row r="5464" spans="50:52">
      <c r="AX5464" s="46">
        <f t="shared" si="256"/>
        <v>0</v>
      </c>
      <c r="AY5464" s="46">
        <f t="shared" si="257"/>
        <v>0</v>
      </c>
      <c r="AZ5464" s="46">
        <f t="shared" si="258"/>
        <v>0</v>
      </c>
    </row>
    <row r="5465" spans="50:52">
      <c r="AX5465" s="46">
        <f t="shared" si="256"/>
        <v>0</v>
      </c>
      <c r="AY5465" s="46">
        <f t="shared" si="257"/>
        <v>0</v>
      </c>
      <c r="AZ5465" s="46">
        <f t="shared" si="258"/>
        <v>0</v>
      </c>
    </row>
    <row r="5466" spans="50:52">
      <c r="AX5466" s="46">
        <f t="shared" si="256"/>
        <v>0</v>
      </c>
      <c r="AY5466" s="46">
        <f t="shared" si="257"/>
        <v>0</v>
      </c>
      <c r="AZ5466" s="46">
        <f t="shared" si="258"/>
        <v>0</v>
      </c>
    </row>
    <row r="5467" spans="50:52">
      <c r="AX5467" s="46">
        <f t="shared" si="256"/>
        <v>0</v>
      </c>
      <c r="AY5467" s="46">
        <f t="shared" si="257"/>
        <v>0</v>
      </c>
      <c r="AZ5467" s="46">
        <f t="shared" si="258"/>
        <v>0</v>
      </c>
    </row>
    <row r="5468" spans="50:52">
      <c r="AX5468" s="46">
        <f t="shared" si="256"/>
        <v>0</v>
      </c>
      <c r="AY5468" s="46">
        <f t="shared" si="257"/>
        <v>0</v>
      </c>
      <c r="AZ5468" s="46">
        <f t="shared" si="258"/>
        <v>0</v>
      </c>
    </row>
    <row r="5469" spans="50:52">
      <c r="AX5469" s="46">
        <f t="shared" si="256"/>
        <v>0</v>
      </c>
      <c r="AY5469" s="46">
        <f t="shared" si="257"/>
        <v>0</v>
      </c>
      <c r="AZ5469" s="46">
        <f t="shared" si="258"/>
        <v>0</v>
      </c>
    </row>
    <row r="5470" spans="50:52">
      <c r="AX5470" s="46">
        <f t="shared" si="256"/>
        <v>0</v>
      </c>
      <c r="AY5470" s="46">
        <f t="shared" si="257"/>
        <v>0</v>
      </c>
      <c r="AZ5470" s="46">
        <f t="shared" si="258"/>
        <v>0</v>
      </c>
    </row>
    <row r="5471" spans="50:52">
      <c r="AX5471" s="46">
        <f t="shared" si="256"/>
        <v>0</v>
      </c>
      <c r="AY5471" s="46">
        <f t="shared" si="257"/>
        <v>0</v>
      </c>
      <c r="AZ5471" s="46">
        <f t="shared" si="258"/>
        <v>0</v>
      </c>
    </row>
    <row r="5472" spans="50:52">
      <c r="AX5472" s="46">
        <f t="shared" si="256"/>
        <v>0</v>
      </c>
      <c r="AY5472" s="46">
        <f t="shared" si="257"/>
        <v>0</v>
      </c>
      <c r="AZ5472" s="46">
        <f t="shared" si="258"/>
        <v>0</v>
      </c>
    </row>
    <row r="5473" spans="50:52">
      <c r="AX5473" s="46">
        <f t="shared" si="256"/>
        <v>0</v>
      </c>
      <c r="AY5473" s="46">
        <f t="shared" si="257"/>
        <v>0</v>
      </c>
      <c r="AZ5473" s="46">
        <f t="shared" si="258"/>
        <v>0</v>
      </c>
    </row>
    <row r="5474" spans="50:52">
      <c r="AX5474" s="46">
        <f t="shared" si="256"/>
        <v>0</v>
      </c>
      <c r="AY5474" s="46">
        <f t="shared" si="257"/>
        <v>0</v>
      </c>
      <c r="AZ5474" s="46">
        <f t="shared" si="258"/>
        <v>0</v>
      </c>
    </row>
    <row r="5475" spans="50:52">
      <c r="AX5475" s="46">
        <f t="shared" si="256"/>
        <v>0</v>
      </c>
      <c r="AY5475" s="46">
        <f t="shared" si="257"/>
        <v>0</v>
      </c>
      <c r="AZ5475" s="46">
        <f t="shared" si="258"/>
        <v>0</v>
      </c>
    </row>
    <row r="5476" spans="50:52">
      <c r="AX5476" s="46">
        <f t="shared" si="256"/>
        <v>0</v>
      </c>
      <c r="AY5476" s="46">
        <f t="shared" si="257"/>
        <v>0</v>
      </c>
      <c r="AZ5476" s="46">
        <f t="shared" si="258"/>
        <v>0</v>
      </c>
    </row>
    <row r="5477" spans="50:52">
      <c r="AX5477" s="46">
        <f t="shared" si="256"/>
        <v>0</v>
      </c>
      <c r="AY5477" s="46">
        <f t="shared" si="257"/>
        <v>0</v>
      </c>
      <c r="AZ5477" s="46">
        <f t="shared" si="258"/>
        <v>0</v>
      </c>
    </row>
    <row r="5478" spans="50:52">
      <c r="AX5478" s="46">
        <f t="shared" si="256"/>
        <v>0</v>
      </c>
      <c r="AY5478" s="46">
        <f t="shared" si="257"/>
        <v>0</v>
      </c>
      <c r="AZ5478" s="46">
        <f t="shared" si="258"/>
        <v>0</v>
      </c>
    </row>
    <row r="5479" spans="50:52">
      <c r="AX5479" s="46">
        <f t="shared" si="256"/>
        <v>0</v>
      </c>
      <c r="AY5479" s="46">
        <f t="shared" si="257"/>
        <v>0</v>
      </c>
      <c r="AZ5479" s="46">
        <f t="shared" si="258"/>
        <v>0</v>
      </c>
    </row>
    <row r="5480" spans="50:52">
      <c r="AX5480" s="46">
        <f t="shared" si="256"/>
        <v>0</v>
      </c>
      <c r="AY5480" s="46">
        <f t="shared" si="257"/>
        <v>0</v>
      </c>
      <c r="AZ5480" s="46">
        <f t="shared" si="258"/>
        <v>0</v>
      </c>
    </row>
    <row r="5481" spans="50:52">
      <c r="AX5481" s="46">
        <f t="shared" si="256"/>
        <v>0</v>
      </c>
      <c r="AY5481" s="46">
        <f t="shared" si="257"/>
        <v>0</v>
      </c>
      <c r="AZ5481" s="46">
        <f t="shared" si="258"/>
        <v>0</v>
      </c>
    </row>
    <row r="5482" spans="50:52">
      <c r="AX5482" s="46">
        <f t="shared" si="256"/>
        <v>0</v>
      </c>
      <c r="AY5482" s="46">
        <f t="shared" si="257"/>
        <v>0</v>
      </c>
      <c r="AZ5482" s="46">
        <f t="shared" si="258"/>
        <v>0</v>
      </c>
    </row>
    <row r="5483" spans="50:52">
      <c r="AX5483" s="46">
        <f t="shared" si="256"/>
        <v>0</v>
      </c>
      <c r="AY5483" s="46">
        <f t="shared" si="257"/>
        <v>0</v>
      </c>
      <c r="AZ5483" s="46">
        <f t="shared" si="258"/>
        <v>0</v>
      </c>
    </row>
    <row r="5484" spans="50:52">
      <c r="AX5484" s="46">
        <f t="shared" si="256"/>
        <v>0</v>
      </c>
      <c r="AY5484" s="46">
        <f t="shared" si="257"/>
        <v>0</v>
      </c>
      <c r="AZ5484" s="46">
        <f t="shared" si="258"/>
        <v>0</v>
      </c>
    </row>
    <row r="5485" spans="50:52">
      <c r="AX5485" s="46">
        <f t="shared" si="256"/>
        <v>0</v>
      </c>
      <c r="AY5485" s="46">
        <f t="shared" si="257"/>
        <v>0</v>
      </c>
      <c r="AZ5485" s="46">
        <f t="shared" si="258"/>
        <v>0</v>
      </c>
    </row>
    <row r="5486" spans="50:52">
      <c r="AX5486" s="46">
        <f t="shared" si="256"/>
        <v>0</v>
      </c>
      <c r="AY5486" s="46">
        <f t="shared" si="257"/>
        <v>0</v>
      </c>
      <c r="AZ5486" s="46">
        <f t="shared" si="258"/>
        <v>0</v>
      </c>
    </row>
    <row r="5487" spans="50:52">
      <c r="AX5487" s="46">
        <f t="shared" si="256"/>
        <v>0</v>
      </c>
      <c r="AY5487" s="46">
        <f t="shared" si="257"/>
        <v>0</v>
      </c>
      <c r="AZ5487" s="46">
        <f t="shared" si="258"/>
        <v>0</v>
      </c>
    </row>
    <row r="5488" spans="50:52">
      <c r="AX5488" s="46">
        <f t="shared" si="256"/>
        <v>0</v>
      </c>
      <c r="AY5488" s="46">
        <f t="shared" si="257"/>
        <v>0</v>
      </c>
      <c r="AZ5488" s="46">
        <f t="shared" si="258"/>
        <v>0</v>
      </c>
    </row>
    <row r="5489" spans="50:52">
      <c r="AX5489" s="46">
        <f t="shared" si="256"/>
        <v>0</v>
      </c>
      <c r="AY5489" s="46">
        <f t="shared" si="257"/>
        <v>0</v>
      </c>
      <c r="AZ5489" s="46">
        <f t="shared" si="258"/>
        <v>0</v>
      </c>
    </row>
    <row r="5490" spans="50:52">
      <c r="AX5490" s="46">
        <f t="shared" si="256"/>
        <v>0</v>
      </c>
      <c r="AY5490" s="46">
        <f t="shared" si="257"/>
        <v>0</v>
      </c>
      <c r="AZ5490" s="46">
        <f t="shared" si="258"/>
        <v>0</v>
      </c>
    </row>
    <row r="5491" spans="50:52">
      <c r="AX5491" s="46">
        <f t="shared" si="256"/>
        <v>0</v>
      </c>
      <c r="AY5491" s="46">
        <f t="shared" si="257"/>
        <v>0</v>
      </c>
      <c r="AZ5491" s="46">
        <f t="shared" si="258"/>
        <v>0</v>
      </c>
    </row>
    <row r="5492" spans="50:52">
      <c r="AX5492" s="46">
        <f t="shared" si="256"/>
        <v>0</v>
      </c>
      <c r="AY5492" s="46">
        <f t="shared" si="257"/>
        <v>0</v>
      </c>
      <c r="AZ5492" s="46">
        <f t="shared" si="258"/>
        <v>0</v>
      </c>
    </row>
    <row r="5493" spans="50:52">
      <c r="AX5493" s="46">
        <f t="shared" si="256"/>
        <v>0</v>
      </c>
      <c r="AY5493" s="46">
        <f t="shared" si="257"/>
        <v>0</v>
      </c>
      <c r="AZ5493" s="46">
        <f t="shared" si="258"/>
        <v>0</v>
      </c>
    </row>
    <row r="5494" spans="50:52">
      <c r="AX5494" s="46">
        <f t="shared" si="256"/>
        <v>0</v>
      </c>
      <c r="AY5494" s="46">
        <f t="shared" si="257"/>
        <v>0</v>
      </c>
      <c r="AZ5494" s="46">
        <f t="shared" si="258"/>
        <v>0</v>
      </c>
    </row>
    <row r="5495" spans="50:52">
      <c r="AX5495" s="46">
        <f t="shared" si="256"/>
        <v>0</v>
      </c>
      <c r="AY5495" s="46">
        <f t="shared" si="257"/>
        <v>0</v>
      </c>
      <c r="AZ5495" s="46">
        <f t="shared" si="258"/>
        <v>0</v>
      </c>
    </row>
    <row r="5496" spans="50:52">
      <c r="AX5496" s="46">
        <f t="shared" si="256"/>
        <v>0</v>
      </c>
      <c r="AY5496" s="46">
        <f t="shared" si="257"/>
        <v>0</v>
      </c>
      <c r="AZ5496" s="46">
        <f t="shared" si="258"/>
        <v>0</v>
      </c>
    </row>
    <row r="5497" spans="50:52">
      <c r="AX5497" s="46">
        <f t="shared" si="256"/>
        <v>0</v>
      </c>
      <c r="AY5497" s="46">
        <f t="shared" si="257"/>
        <v>0</v>
      </c>
      <c r="AZ5497" s="46">
        <f t="shared" si="258"/>
        <v>0</v>
      </c>
    </row>
    <row r="5498" spans="50:52">
      <c r="AX5498" s="46">
        <f t="shared" si="256"/>
        <v>0</v>
      </c>
      <c r="AY5498" s="46">
        <f t="shared" si="257"/>
        <v>0</v>
      </c>
      <c r="AZ5498" s="46">
        <f t="shared" si="258"/>
        <v>0</v>
      </c>
    </row>
    <row r="5499" spans="50:52">
      <c r="AX5499" s="46">
        <f t="shared" si="256"/>
        <v>0</v>
      </c>
      <c r="AY5499" s="46">
        <f t="shared" si="257"/>
        <v>0</v>
      </c>
      <c r="AZ5499" s="46">
        <f t="shared" si="258"/>
        <v>0</v>
      </c>
    </row>
    <row r="5500" spans="50:52">
      <c r="AX5500" s="46">
        <f t="shared" si="256"/>
        <v>0</v>
      </c>
      <c r="AY5500" s="46">
        <f t="shared" si="257"/>
        <v>0</v>
      </c>
      <c r="AZ5500" s="46">
        <f t="shared" si="258"/>
        <v>0</v>
      </c>
    </row>
    <row r="5501" spans="50:52">
      <c r="AX5501" s="46">
        <f t="shared" si="256"/>
        <v>0</v>
      </c>
      <c r="AY5501" s="46">
        <f t="shared" si="257"/>
        <v>0</v>
      </c>
      <c r="AZ5501" s="46">
        <f t="shared" si="258"/>
        <v>0</v>
      </c>
    </row>
    <row r="5502" spans="50:52">
      <c r="AX5502" s="46">
        <f t="shared" si="256"/>
        <v>0</v>
      </c>
      <c r="AY5502" s="46">
        <f t="shared" si="257"/>
        <v>0</v>
      </c>
      <c r="AZ5502" s="46">
        <f t="shared" si="258"/>
        <v>0</v>
      </c>
    </row>
    <row r="5503" spans="50:52">
      <c r="AX5503" s="46">
        <f t="shared" si="256"/>
        <v>0</v>
      </c>
      <c r="AY5503" s="46">
        <f t="shared" si="257"/>
        <v>0</v>
      </c>
      <c r="AZ5503" s="46">
        <f t="shared" si="258"/>
        <v>0</v>
      </c>
    </row>
    <row r="5504" spans="50:52">
      <c r="AX5504" s="46">
        <f t="shared" si="256"/>
        <v>0</v>
      </c>
      <c r="AY5504" s="46">
        <f t="shared" si="257"/>
        <v>0</v>
      </c>
      <c r="AZ5504" s="46">
        <f t="shared" si="258"/>
        <v>0</v>
      </c>
    </row>
    <row r="5505" spans="50:52">
      <c r="AX5505" s="46">
        <f t="shared" si="256"/>
        <v>0</v>
      </c>
      <c r="AY5505" s="46">
        <f t="shared" si="257"/>
        <v>0</v>
      </c>
      <c r="AZ5505" s="46">
        <f t="shared" si="258"/>
        <v>0</v>
      </c>
    </row>
    <row r="5506" spans="50:52">
      <c r="AX5506" s="46">
        <f t="shared" si="256"/>
        <v>0</v>
      </c>
      <c r="AY5506" s="46">
        <f t="shared" si="257"/>
        <v>0</v>
      </c>
      <c r="AZ5506" s="46">
        <f t="shared" si="258"/>
        <v>0</v>
      </c>
    </row>
    <row r="5507" spans="50:52">
      <c r="AX5507" s="46">
        <f t="shared" si="256"/>
        <v>0</v>
      </c>
      <c r="AY5507" s="46">
        <f t="shared" si="257"/>
        <v>0</v>
      </c>
      <c r="AZ5507" s="46">
        <f t="shared" si="258"/>
        <v>0</v>
      </c>
    </row>
    <row r="5508" spans="50:52">
      <c r="AX5508" s="46">
        <f t="shared" si="256"/>
        <v>0</v>
      </c>
      <c r="AY5508" s="46">
        <f t="shared" si="257"/>
        <v>0</v>
      </c>
      <c r="AZ5508" s="46">
        <f t="shared" si="258"/>
        <v>0</v>
      </c>
    </row>
    <row r="5509" spans="50:52">
      <c r="AX5509" s="46">
        <f t="shared" si="256"/>
        <v>0</v>
      </c>
      <c r="AY5509" s="46">
        <f t="shared" si="257"/>
        <v>0</v>
      </c>
      <c r="AZ5509" s="46">
        <f t="shared" si="258"/>
        <v>0</v>
      </c>
    </row>
    <row r="5510" spans="50:52">
      <c r="AX5510" s="46">
        <f t="shared" si="256"/>
        <v>0</v>
      </c>
      <c r="AY5510" s="46">
        <f t="shared" si="257"/>
        <v>0</v>
      </c>
      <c r="AZ5510" s="46">
        <f t="shared" si="258"/>
        <v>0</v>
      </c>
    </row>
    <row r="5511" spans="50:52">
      <c r="AX5511" s="46">
        <f t="shared" si="256"/>
        <v>0</v>
      </c>
      <c r="AY5511" s="46">
        <f t="shared" si="257"/>
        <v>0</v>
      </c>
      <c r="AZ5511" s="46">
        <f t="shared" si="258"/>
        <v>0</v>
      </c>
    </row>
    <row r="5512" spans="50:52">
      <c r="AX5512" s="46">
        <f t="shared" si="256"/>
        <v>0</v>
      </c>
      <c r="AY5512" s="46">
        <f t="shared" si="257"/>
        <v>0</v>
      </c>
      <c r="AZ5512" s="46">
        <f t="shared" si="258"/>
        <v>0</v>
      </c>
    </row>
    <row r="5513" spans="50:52">
      <c r="AX5513" s="46">
        <f t="shared" si="256"/>
        <v>0</v>
      </c>
      <c r="AY5513" s="46">
        <f t="shared" si="257"/>
        <v>0</v>
      </c>
      <c r="AZ5513" s="46">
        <f t="shared" si="258"/>
        <v>0</v>
      </c>
    </row>
    <row r="5514" spans="50:52">
      <c r="AX5514" s="46">
        <f t="shared" si="256"/>
        <v>0</v>
      </c>
      <c r="AY5514" s="46">
        <f t="shared" si="257"/>
        <v>0</v>
      </c>
      <c r="AZ5514" s="46">
        <f t="shared" si="258"/>
        <v>0</v>
      </c>
    </row>
    <row r="5515" spans="50:52">
      <c r="AX5515" s="46">
        <f t="shared" ref="AX5515:AX5578" si="259">IFERROR(SUM(Q5515:AS5515)-SUM(AT5515:AU5515)+AV5515,"-")</f>
        <v>0</v>
      </c>
      <c r="AY5515" s="46">
        <f t="shared" ref="AY5515:AY5578" si="260">IFERROR(SUM(Q5515:AS5515)-SUM(AT5515:AT5515),"-")</f>
        <v>0</v>
      </c>
      <c r="AZ5515" s="46">
        <f t="shared" ref="AZ5515:AZ5578" si="261">SUM(Q5515:AS5515)</f>
        <v>0</v>
      </c>
    </row>
    <row r="5516" spans="50:52">
      <c r="AX5516" s="46">
        <f t="shared" si="259"/>
        <v>0</v>
      </c>
      <c r="AY5516" s="46">
        <f t="shared" si="260"/>
        <v>0</v>
      </c>
      <c r="AZ5516" s="46">
        <f t="shared" si="261"/>
        <v>0</v>
      </c>
    </row>
    <row r="5517" spans="50:52">
      <c r="AX5517" s="46">
        <f t="shared" si="259"/>
        <v>0</v>
      </c>
      <c r="AY5517" s="46">
        <f t="shared" si="260"/>
        <v>0</v>
      </c>
      <c r="AZ5517" s="46">
        <f t="shared" si="261"/>
        <v>0</v>
      </c>
    </row>
    <row r="5518" spans="50:52">
      <c r="AX5518" s="46">
        <f t="shared" si="259"/>
        <v>0</v>
      </c>
      <c r="AY5518" s="46">
        <f t="shared" si="260"/>
        <v>0</v>
      </c>
      <c r="AZ5518" s="46">
        <f t="shared" si="261"/>
        <v>0</v>
      </c>
    </row>
    <row r="5519" spans="50:52">
      <c r="AX5519" s="46">
        <f t="shared" si="259"/>
        <v>0</v>
      </c>
      <c r="AY5519" s="46">
        <f t="shared" si="260"/>
        <v>0</v>
      </c>
      <c r="AZ5519" s="46">
        <f t="shared" si="261"/>
        <v>0</v>
      </c>
    </row>
    <row r="5520" spans="50:52">
      <c r="AX5520" s="46">
        <f t="shared" si="259"/>
        <v>0</v>
      </c>
      <c r="AY5520" s="46">
        <f t="shared" si="260"/>
        <v>0</v>
      </c>
      <c r="AZ5520" s="46">
        <f t="shared" si="261"/>
        <v>0</v>
      </c>
    </row>
    <row r="5521" spans="50:52">
      <c r="AX5521" s="46">
        <f t="shared" si="259"/>
        <v>0</v>
      </c>
      <c r="AY5521" s="46">
        <f t="shared" si="260"/>
        <v>0</v>
      </c>
      <c r="AZ5521" s="46">
        <f t="shared" si="261"/>
        <v>0</v>
      </c>
    </row>
    <row r="5522" spans="50:52">
      <c r="AX5522" s="46">
        <f t="shared" si="259"/>
        <v>0</v>
      </c>
      <c r="AY5522" s="46">
        <f t="shared" si="260"/>
        <v>0</v>
      </c>
      <c r="AZ5522" s="46">
        <f t="shared" si="261"/>
        <v>0</v>
      </c>
    </row>
    <row r="5523" spans="50:52">
      <c r="AX5523" s="46">
        <f t="shared" si="259"/>
        <v>0</v>
      </c>
      <c r="AY5523" s="46">
        <f t="shared" si="260"/>
        <v>0</v>
      </c>
      <c r="AZ5523" s="46">
        <f t="shared" si="261"/>
        <v>0</v>
      </c>
    </row>
    <row r="5524" spans="50:52">
      <c r="AX5524" s="46">
        <f t="shared" si="259"/>
        <v>0</v>
      </c>
      <c r="AY5524" s="46">
        <f t="shared" si="260"/>
        <v>0</v>
      </c>
      <c r="AZ5524" s="46">
        <f t="shared" si="261"/>
        <v>0</v>
      </c>
    </row>
    <row r="5525" spans="50:52">
      <c r="AX5525" s="46">
        <f t="shared" si="259"/>
        <v>0</v>
      </c>
      <c r="AY5525" s="46">
        <f t="shared" si="260"/>
        <v>0</v>
      </c>
      <c r="AZ5525" s="46">
        <f t="shared" si="261"/>
        <v>0</v>
      </c>
    </row>
    <row r="5526" spans="50:52">
      <c r="AX5526" s="46">
        <f t="shared" si="259"/>
        <v>0</v>
      </c>
      <c r="AY5526" s="46">
        <f t="shared" si="260"/>
        <v>0</v>
      </c>
      <c r="AZ5526" s="46">
        <f t="shared" si="261"/>
        <v>0</v>
      </c>
    </row>
    <row r="5527" spans="50:52">
      <c r="AX5527" s="46">
        <f t="shared" si="259"/>
        <v>0</v>
      </c>
      <c r="AY5527" s="46">
        <f t="shared" si="260"/>
        <v>0</v>
      </c>
      <c r="AZ5527" s="46">
        <f t="shared" si="261"/>
        <v>0</v>
      </c>
    </row>
    <row r="5528" spans="50:52">
      <c r="AX5528" s="46">
        <f t="shared" si="259"/>
        <v>0</v>
      </c>
      <c r="AY5528" s="46">
        <f t="shared" si="260"/>
        <v>0</v>
      </c>
      <c r="AZ5528" s="46">
        <f t="shared" si="261"/>
        <v>0</v>
      </c>
    </row>
    <row r="5529" spans="50:52">
      <c r="AX5529" s="46">
        <f t="shared" si="259"/>
        <v>0</v>
      </c>
      <c r="AY5529" s="46">
        <f t="shared" si="260"/>
        <v>0</v>
      </c>
      <c r="AZ5529" s="46">
        <f t="shared" si="261"/>
        <v>0</v>
      </c>
    </row>
    <row r="5530" spans="50:52">
      <c r="AX5530" s="46">
        <f t="shared" si="259"/>
        <v>0</v>
      </c>
      <c r="AY5530" s="46">
        <f t="shared" si="260"/>
        <v>0</v>
      </c>
      <c r="AZ5530" s="46">
        <f t="shared" si="261"/>
        <v>0</v>
      </c>
    </row>
    <row r="5531" spans="50:52">
      <c r="AX5531" s="46">
        <f t="shared" si="259"/>
        <v>0</v>
      </c>
      <c r="AY5531" s="46">
        <f t="shared" si="260"/>
        <v>0</v>
      </c>
      <c r="AZ5531" s="46">
        <f t="shared" si="261"/>
        <v>0</v>
      </c>
    </row>
    <row r="5532" spans="50:52">
      <c r="AX5532" s="46">
        <f t="shared" si="259"/>
        <v>0</v>
      </c>
      <c r="AY5532" s="46">
        <f t="shared" si="260"/>
        <v>0</v>
      </c>
      <c r="AZ5532" s="46">
        <f t="shared" si="261"/>
        <v>0</v>
      </c>
    </row>
    <row r="5533" spans="50:52">
      <c r="AX5533" s="46">
        <f t="shared" si="259"/>
        <v>0</v>
      </c>
      <c r="AY5533" s="46">
        <f t="shared" si="260"/>
        <v>0</v>
      </c>
      <c r="AZ5533" s="46">
        <f t="shared" si="261"/>
        <v>0</v>
      </c>
    </row>
    <row r="5534" spans="50:52">
      <c r="AX5534" s="46">
        <f t="shared" si="259"/>
        <v>0</v>
      </c>
      <c r="AY5534" s="46">
        <f t="shared" si="260"/>
        <v>0</v>
      </c>
      <c r="AZ5534" s="46">
        <f t="shared" si="261"/>
        <v>0</v>
      </c>
    </row>
    <row r="5535" spans="50:52">
      <c r="AX5535" s="46">
        <f t="shared" si="259"/>
        <v>0</v>
      </c>
      <c r="AY5535" s="46">
        <f t="shared" si="260"/>
        <v>0</v>
      </c>
      <c r="AZ5535" s="46">
        <f t="shared" si="261"/>
        <v>0</v>
      </c>
    </row>
    <row r="5536" spans="50:52">
      <c r="AX5536" s="46">
        <f t="shared" si="259"/>
        <v>0</v>
      </c>
      <c r="AY5536" s="46">
        <f t="shared" si="260"/>
        <v>0</v>
      </c>
      <c r="AZ5536" s="46">
        <f t="shared" si="261"/>
        <v>0</v>
      </c>
    </row>
    <row r="5537" spans="50:52">
      <c r="AX5537" s="46">
        <f t="shared" si="259"/>
        <v>0</v>
      </c>
      <c r="AY5537" s="46">
        <f t="shared" si="260"/>
        <v>0</v>
      </c>
      <c r="AZ5537" s="46">
        <f t="shared" si="261"/>
        <v>0</v>
      </c>
    </row>
    <row r="5538" spans="50:52">
      <c r="AX5538" s="46">
        <f t="shared" si="259"/>
        <v>0</v>
      </c>
      <c r="AY5538" s="46">
        <f t="shared" si="260"/>
        <v>0</v>
      </c>
      <c r="AZ5538" s="46">
        <f t="shared" si="261"/>
        <v>0</v>
      </c>
    </row>
    <row r="5539" spans="50:52">
      <c r="AX5539" s="46">
        <f t="shared" si="259"/>
        <v>0</v>
      </c>
      <c r="AY5539" s="46">
        <f t="shared" si="260"/>
        <v>0</v>
      </c>
      <c r="AZ5539" s="46">
        <f t="shared" si="261"/>
        <v>0</v>
      </c>
    </row>
    <row r="5540" spans="50:52">
      <c r="AX5540" s="46">
        <f t="shared" si="259"/>
        <v>0</v>
      </c>
      <c r="AY5540" s="46">
        <f t="shared" si="260"/>
        <v>0</v>
      </c>
      <c r="AZ5540" s="46">
        <f t="shared" si="261"/>
        <v>0</v>
      </c>
    </row>
    <row r="5541" spans="50:52">
      <c r="AX5541" s="46">
        <f t="shared" si="259"/>
        <v>0</v>
      </c>
      <c r="AY5541" s="46">
        <f t="shared" si="260"/>
        <v>0</v>
      </c>
      <c r="AZ5541" s="46">
        <f t="shared" si="261"/>
        <v>0</v>
      </c>
    </row>
    <row r="5542" spans="50:52">
      <c r="AX5542" s="46">
        <f t="shared" si="259"/>
        <v>0</v>
      </c>
      <c r="AY5542" s="46">
        <f t="shared" si="260"/>
        <v>0</v>
      </c>
      <c r="AZ5542" s="46">
        <f t="shared" si="261"/>
        <v>0</v>
      </c>
    </row>
    <row r="5543" spans="50:52">
      <c r="AX5543" s="46">
        <f t="shared" si="259"/>
        <v>0</v>
      </c>
      <c r="AY5543" s="46">
        <f t="shared" si="260"/>
        <v>0</v>
      </c>
      <c r="AZ5543" s="46">
        <f t="shared" si="261"/>
        <v>0</v>
      </c>
    </row>
    <row r="5544" spans="50:52">
      <c r="AX5544" s="46">
        <f t="shared" si="259"/>
        <v>0</v>
      </c>
      <c r="AY5544" s="46">
        <f t="shared" si="260"/>
        <v>0</v>
      </c>
      <c r="AZ5544" s="46">
        <f t="shared" si="261"/>
        <v>0</v>
      </c>
    </row>
    <row r="5545" spans="50:52">
      <c r="AX5545" s="46">
        <f t="shared" si="259"/>
        <v>0</v>
      </c>
      <c r="AY5545" s="46">
        <f t="shared" si="260"/>
        <v>0</v>
      </c>
      <c r="AZ5545" s="46">
        <f t="shared" si="261"/>
        <v>0</v>
      </c>
    </row>
    <row r="5546" spans="50:52">
      <c r="AX5546" s="46">
        <f t="shared" si="259"/>
        <v>0</v>
      </c>
      <c r="AY5546" s="46">
        <f t="shared" si="260"/>
        <v>0</v>
      </c>
      <c r="AZ5546" s="46">
        <f t="shared" si="261"/>
        <v>0</v>
      </c>
    </row>
    <row r="5547" spans="50:52">
      <c r="AX5547" s="46">
        <f t="shared" si="259"/>
        <v>0</v>
      </c>
      <c r="AY5547" s="46">
        <f t="shared" si="260"/>
        <v>0</v>
      </c>
      <c r="AZ5547" s="46">
        <f t="shared" si="261"/>
        <v>0</v>
      </c>
    </row>
    <row r="5548" spans="50:52">
      <c r="AX5548" s="46">
        <f t="shared" si="259"/>
        <v>0</v>
      </c>
      <c r="AY5548" s="46">
        <f t="shared" si="260"/>
        <v>0</v>
      </c>
      <c r="AZ5548" s="46">
        <f t="shared" si="261"/>
        <v>0</v>
      </c>
    </row>
    <row r="5549" spans="50:52">
      <c r="AX5549" s="46">
        <f t="shared" si="259"/>
        <v>0</v>
      </c>
      <c r="AY5549" s="46">
        <f t="shared" si="260"/>
        <v>0</v>
      </c>
      <c r="AZ5549" s="46">
        <f t="shared" si="261"/>
        <v>0</v>
      </c>
    </row>
    <row r="5550" spans="50:52">
      <c r="AX5550" s="46">
        <f t="shared" si="259"/>
        <v>0</v>
      </c>
      <c r="AY5550" s="46">
        <f t="shared" si="260"/>
        <v>0</v>
      </c>
      <c r="AZ5550" s="46">
        <f t="shared" si="261"/>
        <v>0</v>
      </c>
    </row>
    <row r="5551" spans="50:52">
      <c r="AX5551" s="46">
        <f t="shared" si="259"/>
        <v>0</v>
      </c>
      <c r="AY5551" s="46">
        <f t="shared" si="260"/>
        <v>0</v>
      </c>
      <c r="AZ5551" s="46">
        <f t="shared" si="261"/>
        <v>0</v>
      </c>
    </row>
    <row r="5552" spans="50:52">
      <c r="AX5552" s="46">
        <f t="shared" si="259"/>
        <v>0</v>
      </c>
      <c r="AY5552" s="46">
        <f t="shared" si="260"/>
        <v>0</v>
      </c>
      <c r="AZ5552" s="46">
        <f t="shared" si="261"/>
        <v>0</v>
      </c>
    </row>
    <row r="5553" spans="50:52">
      <c r="AX5553" s="46">
        <f t="shared" si="259"/>
        <v>0</v>
      </c>
      <c r="AY5553" s="46">
        <f t="shared" si="260"/>
        <v>0</v>
      </c>
      <c r="AZ5553" s="46">
        <f t="shared" si="261"/>
        <v>0</v>
      </c>
    </row>
    <row r="5554" spans="50:52">
      <c r="AX5554" s="46">
        <f t="shared" si="259"/>
        <v>0</v>
      </c>
      <c r="AY5554" s="46">
        <f t="shared" si="260"/>
        <v>0</v>
      </c>
      <c r="AZ5554" s="46">
        <f t="shared" si="261"/>
        <v>0</v>
      </c>
    </row>
    <row r="5555" spans="50:52">
      <c r="AX5555" s="46">
        <f t="shared" si="259"/>
        <v>0</v>
      </c>
      <c r="AY5555" s="46">
        <f t="shared" si="260"/>
        <v>0</v>
      </c>
      <c r="AZ5555" s="46">
        <f t="shared" si="261"/>
        <v>0</v>
      </c>
    </row>
    <row r="5556" spans="50:52">
      <c r="AX5556" s="46">
        <f t="shared" si="259"/>
        <v>0</v>
      </c>
      <c r="AY5556" s="46">
        <f t="shared" si="260"/>
        <v>0</v>
      </c>
      <c r="AZ5556" s="46">
        <f t="shared" si="261"/>
        <v>0</v>
      </c>
    </row>
    <row r="5557" spans="50:52">
      <c r="AX5557" s="46">
        <f t="shared" si="259"/>
        <v>0</v>
      </c>
      <c r="AY5557" s="46">
        <f t="shared" si="260"/>
        <v>0</v>
      </c>
      <c r="AZ5557" s="46">
        <f t="shared" si="261"/>
        <v>0</v>
      </c>
    </row>
    <row r="5558" spans="50:52">
      <c r="AX5558" s="46">
        <f t="shared" si="259"/>
        <v>0</v>
      </c>
      <c r="AY5558" s="46">
        <f t="shared" si="260"/>
        <v>0</v>
      </c>
      <c r="AZ5558" s="46">
        <f t="shared" si="261"/>
        <v>0</v>
      </c>
    </row>
    <row r="5559" spans="50:52">
      <c r="AX5559" s="46">
        <f t="shared" si="259"/>
        <v>0</v>
      </c>
      <c r="AY5559" s="46">
        <f t="shared" si="260"/>
        <v>0</v>
      </c>
      <c r="AZ5559" s="46">
        <f t="shared" si="261"/>
        <v>0</v>
      </c>
    </row>
    <row r="5560" spans="50:52">
      <c r="AX5560" s="46">
        <f t="shared" si="259"/>
        <v>0</v>
      </c>
      <c r="AY5560" s="46">
        <f t="shared" si="260"/>
        <v>0</v>
      </c>
      <c r="AZ5560" s="46">
        <f t="shared" si="261"/>
        <v>0</v>
      </c>
    </row>
    <row r="5561" spans="50:52">
      <c r="AX5561" s="46">
        <f t="shared" si="259"/>
        <v>0</v>
      </c>
      <c r="AY5561" s="46">
        <f t="shared" si="260"/>
        <v>0</v>
      </c>
      <c r="AZ5561" s="46">
        <f t="shared" si="261"/>
        <v>0</v>
      </c>
    </row>
    <row r="5562" spans="50:52">
      <c r="AX5562" s="46">
        <f t="shared" si="259"/>
        <v>0</v>
      </c>
      <c r="AY5562" s="46">
        <f t="shared" si="260"/>
        <v>0</v>
      </c>
      <c r="AZ5562" s="46">
        <f t="shared" si="261"/>
        <v>0</v>
      </c>
    </row>
    <row r="5563" spans="50:52">
      <c r="AX5563" s="46">
        <f t="shared" si="259"/>
        <v>0</v>
      </c>
      <c r="AY5563" s="46">
        <f t="shared" si="260"/>
        <v>0</v>
      </c>
      <c r="AZ5563" s="46">
        <f t="shared" si="261"/>
        <v>0</v>
      </c>
    </row>
    <row r="5564" spans="50:52">
      <c r="AX5564" s="46">
        <f t="shared" si="259"/>
        <v>0</v>
      </c>
      <c r="AY5564" s="46">
        <f t="shared" si="260"/>
        <v>0</v>
      </c>
      <c r="AZ5564" s="46">
        <f t="shared" si="261"/>
        <v>0</v>
      </c>
    </row>
    <row r="5565" spans="50:52">
      <c r="AX5565" s="46">
        <f t="shared" si="259"/>
        <v>0</v>
      </c>
      <c r="AY5565" s="46">
        <f t="shared" si="260"/>
        <v>0</v>
      </c>
      <c r="AZ5565" s="46">
        <f t="shared" si="261"/>
        <v>0</v>
      </c>
    </row>
    <row r="5566" spans="50:52">
      <c r="AX5566" s="46">
        <f t="shared" si="259"/>
        <v>0</v>
      </c>
      <c r="AY5566" s="46">
        <f t="shared" si="260"/>
        <v>0</v>
      </c>
      <c r="AZ5566" s="46">
        <f t="shared" si="261"/>
        <v>0</v>
      </c>
    </row>
    <row r="5567" spans="50:52">
      <c r="AX5567" s="46">
        <f t="shared" si="259"/>
        <v>0</v>
      </c>
      <c r="AY5567" s="46">
        <f t="shared" si="260"/>
        <v>0</v>
      </c>
      <c r="AZ5567" s="46">
        <f t="shared" si="261"/>
        <v>0</v>
      </c>
    </row>
    <row r="5568" spans="50:52">
      <c r="AX5568" s="46">
        <f t="shared" si="259"/>
        <v>0</v>
      </c>
      <c r="AY5568" s="46">
        <f t="shared" si="260"/>
        <v>0</v>
      </c>
      <c r="AZ5568" s="46">
        <f t="shared" si="261"/>
        <v>0</v>
      </c>
    </row>
    <row r="5569" spans="50:52">
      <c r="AX5569" s="46">
        <f t="shared" si="259"/>
        <v>0</v>
      </c>
      <c r="AY5569" s="46">
        <f t="shared" si="260"/>
        <v>0</v>
      </c>
      <c r="AZ5569" s="46">
        <f t="shared" si="261"/>
        <v>0</v>
      </c>
    </row>
    <row r="5570" spans="50:52">
      <c r="AX5570" s="46">
        <f t="shared" si="259"/>
        <v>0</v>
      </c>
      <c r="AY5570" s="46">
        <f t="shared" si="260"/>
        <v>0</v>
      </c>
      <c r="AZ5570" s="46">
        <f t="shared" si="261"/>
        <v>0</v>
      </c>
    </row>
    <row r="5571" spans="50:52">
      <c r="AX5571" s="46">
        <f t="shared" si="259"/>
        <v>0</v>
      </c>
      <c r="AY5571" s="46">
        <f t="shared" si="260"/>
        <v>0</v>
      </c>
      <c r="AZ5571" s="46">
        <f t="shared" si="261"/>
        <v>0</v>
      </c>
    </row>
    <row r="5572" spans="50:52">
      <c r="AX5572" s="46">
        <f t="shared" si="259"/>
        <v>0</v>
      </c>
      <c r="AY5572" s="46">
        <f t="shared" si="260"/>
        <v>0</v>
      </c>
      <c r="AZ5572" s="46">
        <f t="shared" si="261"/>
        <v>0</v>
      </c>
    </row>
    <row r="5573" spans="50:52">
      <c r="AX5573" s="46">
        <f t="shared" si="259"/>
        <v>0</v>
      </c>
      <c r="AY5573" s="46">
        <f t="shared" si="260"/>
        <v>0</v>
      </c>
      <c r="AZ5573" s="46">
        <f t="shared" si="261"/>
        <v>0</v>
      </c>
    </row>
    <row r="5574" spans="50:52">
      <c r="AX5574" s="46">
        <f t="shared" si="259"/>
        <v>0</v>
      </c>
      <c r="AY5574" s="46">
        <f t="shared" si="260"/>
        <v>0</v>
      </c>
      <c r="AZ5574" s="46">
        <f t="shared" si="261"/>
        <v>0</v>
      </c>
    </row>
    <row r="5575" spans="50:52">
      <c r="AX5575" s="46">
        <f t="shared" si="259"/>
        <v>0</v>
      </c>
      <c r="AY5575" s="46">
        <f t="shared" si="260"/>
        <v>0</v>
      </c>
      <c r="AZ5575" s="46">
        <f t="shared" si="261"/>
        <v>0</v>
      </c>
    </row>
    <row r="5576" spans="50:52">
      <c r="AX5576" s="46">
        <f t="shared" si="259"/>
        <v>0</v>
      </c>
      <c r="AY5576" s="46">
        <f t="shared" si="260"/>
        <v>0</v>
      </c>
      <c r="AZ5576" s="46">
        <f t="shared" si="261"/>
        <v>0</v>
      </c>
    </row>
    <row r="5577" spans="50:52">
      <c r="AX5577" s="46">
        <f t="shared" si="259"/>
        <v>0</v>
      </c>
      <c r="AY5577" s="46">
        <f t="shared" si="260"/>
        <v>0</v>
      </c>
      <c r="AZ5577" s="46">
        <f t="shared" si="261"/>
        <v>0</v>
      </c>
    </row>
    <row r="5578" spans="50:52">
      <c r="AX5578" s="46">
        <f t="shared" si="259"/>
        <v>0</v>
      </c>
      <c r="AY5578" s="46">
        <f t="shared" si="260"/>
        <v>0</v>
      </c>
      <c r="AZ5578" s="46">
        <f t="shared" si="261"/>
        <v>0</v>
      </c>
    </row>
    <row r="5579" spans="50:52">
      <c r="AX5579" s="46">
        <f t="shared" ref="AX5579:AX5642" si="262">IFERROR(SUM(Q5579:AS5579)-SUM(AT5579:AU5579)+AV5579,"-")</f>
        <v>0</v>
      </c>
      <c r="AY5579" s="46">
        <f t="shared" ref="AY5579:AY5642" si="263">IFERROR(SUM(Q5579:AS5579)-SUM(AT5579:AT5579),"-")</f>
        <v>0</v>
      </c>
      <c r="AZ5579" s="46">
        <f t="shared" ref="AZ5579:AZ5642" si="264">SUM(Q5579:AS5579)</f>
        <v>0</v>
      </c>
    </row>
    <row r="5580" spans="50:52">
      <c r="AX5580" s="46">
        <f t="shared" si="262"/>
        <v>0</v>
      </c>
      <c r="AY5580" s="46">
        <f t="shared" si="263"/>
        <v>0</v>
      </c>
      <c r="AZ5580" s="46">
        <f t="shared" si="264"/>
        <v>0</v>
      </c>
    </row>
    <row r="5581" spans="50:52">
      <c r="AX5581" s="46">
        <f t="shared" si="262"/>
        <v>0</v>
      </c>
      <c r="AY5581" s="46">
        <f t="shared" si="263"/>
        <v>0</v>
      </c>
      <c r="AZ5581" s="46">
        <f t="shared" si="264"/>
        <v>0</v>
      </c>
    </row>
    <row r="5582" spans="50:52">
      <c r="AX5582" s="46">
        <f t="shared" si="262"/>
        <v>0</v>
      </c>
      <c r="AY5582" s="46">
        <f t="shared" si="263"/>
        <v>0</v>
      </c>
      <c r="AZ5582" s="46">
        <f t="shared" si="264"/>
        <v>0</v>
      </c>
    </row>
    <row r="5583" spans="50:52">
      <c r="AX5583" s="46">
        <f t="shared" si="262"/>
        <v>0</v>
      </c>
      <c r="AY5583" s="46">
        <f t="shared" si="263"/>
        <v>0</v>
      </c>
      <c r="AZ5583" s="46">
        <f t="shared" si="264"/>
        <v>0</v>
      </c>
    </row>
    <row r="5584" spans="50:52">
      <c r="AX5584" s="46">
        <f t="shared" si="262"/>
        <v>0</v>
      </c>
      <c r="AY5584" s="46">
        <f t="shared" si="263"/>
        <v>0</v>
      </c>
      <c r="AZ5584" s="46">
        <f t="shared" si="264"/>
        <v>0</v>
      </c>
    </row>
    <row r="5585" spans="50:52">
      <c r="AX5585" s="46">
        <f t="shared" si="262"/>
        <v>0</v>
      </c>
      <c r="AY5585" s="46">
        <f t="shared" si="263"/>
        <v>0</v>
      </c>
      <c r="AZ5585" s="46">
        <f t="shared" si="264"/>
        <v>0</v>
      </c>
    </row>
    <row r="5586" spans="50:52">
      <c r="AX5586" s="46">
        <f t="shared" si="262"/>
        <v>0</v>
      </c>
      <c r="AY5586" s="46">
        <f t="shared" si="263"/>
        <v>0</v>
      </c>
      <c r="AZ5586" s="46">
        <f t="shared" si="264"/>
        <v>0</v>
      </c>
    </row>
    <row r="5587" spans="50:52">
      <c r="AX5587" s="46">
        <f t="shared" si="262"/>
        <v>0</v>
      </c>
      <c r="AY5587" s="46">
        <f t="shared" si="263"/>
        <v>0</v>
      </c>
      <c r="AZ5587" s="46">
        <f t="shared" si="264"/>
        <v>0</v>
      </c>
    </row>
    <row r="5588" spans="50:52">
      <c r="AX5588" s="46">
        <f t="shared" si="262"/>
        <v>0</v>
      </c>
      <c r="AY5588" s="46">
        <f t="shared" si="263"/>
        <v>0</v>
      </c>
      <c r="AZ5588" s="46">
        <f t="shared" si="264"/>
        <v>0</v>
      </c>
    </row>
    <row r="5589" spans="50:52">
      <c r="AX5589" s="46">
        <f t="shared" si="262"/>
        <v>0</v>
      </c>
      <c r="AY5589" s="46">
        <f t="shared" si="263"/>
        <v>0</v>
      </c>
      <c r="AZ5589" s="46">
        <f t="shared" si="264"/>
        <v>0</v>
      </c>
    </row>
    <row r="5590" spans="50:52">
      <c r="AX5590" s="46">
        <f t="shared" si="262"/>
        <v>0</v>
      </c>
      <c r="AY5590" s="46">
        <f t="shared" si="263"/>
        <v>0</v>
      </c>
      <c r="AZ5590" s="46">
        <f t="shared" si="264"/>
        <v>0</v>
      </c>
    </row>
    <row r="5591" spans="50:52">
      <c r="AX5591" s="46">
        <f t="shared" si="262"/>
        <v>0</v>
      </c>
      <c r="AY5591" s="46">
        <f t="shared" si="263"/>
        <v>0</v>
      </c>
      <c r="AZ5591" s="46">
        <f t="shared" si="264"/>
        <v>0</v>
      </c>
    </row>
    <row r="5592" spans="50:52">
      <c r="AX5592" s="46">
        <f t="shared" si="262"/>
        <v>0</v>
      </c>
      <c r="AY5592" s="46">
        <f t="shared" si="263"/>
        <v>0</v>
      </c>
      <c r="AZ5592" s="46">
        <f t="shared" si="264"/>
        <v>0</v>
      </c>
    </row>
    <row r="5593" spans="50:52">
      <c r="AX5593" s="46">
        <f t="shared" si="262"/>
        <v>0</v>
      </c>
      <c r="AY5593" s="46">
        <f t="shared" si="263"/>
        <v>0</v>
      </c>
      <c r="AZ5593" s="46">
        <f t="shared" si="264"/>
        <v>0</v>
      </c>
    </row>
    <row r="5594" spans="50:52">
      <c r="AX5594" s="46">
        <f t="shared" si="262"/>
        <v>0</v>
      </c>
      <c r="AY5594" s="46">
        <f t="shared" si="263"/>
        <v>0</v>
      </c>
      <c r="AZ5594" s="46">
        <f t="shared" si="264"/>
        <v>0</v>
      </c>
    </row>
    <row r="5595" spans="50:52">
      <c r="AX5595" s="46">
        <f t="shared" si="262"/>
        <v>0</v>
      </c>
      <c r="AY5595" s="46">
        <f t="shared" si="263"/>
        <v>0</v>
      </c>
      <c r="AZ5595" s="46">
        <f t="shared" si="264"/>
        <v>0</v>
      </c>
    </row>
    <row r="5596" spans="50:52">
      <c r="AX5596" s="46">
        <f t="shared" si="262"/>
        <v>0</v>
      </c>
      <c r="AY5596" s="46">
        <f t="shared" si="263"/>
        <v>0</v>
      </c>
      <c r="AZ5596" s="46">
        <f t="shared" si="264"/>
        <v>0</v>
      </c>
    </row>
    <row r="5597" spans="50:52">
      <c r="AX5597" s="46">
        <f t="shared" si="262"/>
        <v>0</v>
      </c>
      <c r="AY5597" s="46">
        <f t="shared" si="263"/>
        <v>0</v>
      </c>
      <c r="AZ5597" s="46">
        <f t="shared" si="264"/>
        <v>0</v>
      </c>
    </row>
    <row r="5598" spans="50:52">
      <c r="AX5598" s="46">
        <f t="shared" si="262"/>
        <v>0</v>
      </c>
      <c r="AY5598" s="46">
        <f t="shared" si="263"/>
        <v>0</v>
      </c>
      <c r="AZ5598" s="46">
        <f t="shared" si="264"/>
        <v>0</v>
      </c>
    </row>
    <row r="5599" spans="50:52">
      <c r="AX5599" s="46">
        <f t="shared" si="262"/>
        <v>0</v>
      </c>
      <c r="AY5599" s="46">
        <f t="shared" si="263"/>
        <v>0</v>
      </c>
      <c r="AZ5599" s="46">
        <f t="shared" si="264"/>
        <v>0</v>
      </c>
    </row>
    <row r="5600" spans="50:52">
      <c r="AX5600" s="46">
        <f t="shared" si="262"/>
        <v>0</v>
      </c>
      <c r="AY5600" s="46">
        <f t="shared" si="263"/>
        <v>0</v>
      </c>
      <c r="AZ5600" s="46">
        <f t="shared" si="264"/>
        <v>0</v>
      </c>
    </row>
    <row r="5601" spans="50:52">
      <c r="AX5601" s="46">
        <f t="shared" si="262"/>
        <v>0</v>
      </c>
      <c r="AY5601" s="46">
        <f t="shared" si="263"/>
        <v>0</v>
      </c>
      <c r="AZ5601" s="46">
        <f t="shared" si="264"/>
        <v>0</v>
      </c>
    </row>
    <row r="5602" spans="50:52">
      <c r="AX5602" s="46">
        <f t="shared" si="262"/>
        <v>0</v>
      </c>
      <c r="AY5602" s="46">
        <f t="shared" si="263"/>
        <v>0</v>
      </c>
      <c r="AZ5602" s="46">
        <f t="shared" si="264"/>
        <v>0</v>
      </c>
    </row>
    <row r="5603" spans="50:52">
      <c r="AX5603" s="46">
        <f t="shared" si="262"/>
        <v>0</v>
      </c>
      <c r="AY5603" s="46">
        <f t="shared" si="263"/>
        <v>0</v>
      </c>
      <c r="AZ5603" s="46">
        <f t="shared" si="264"/>
        <v>0</v>
      </c>
    </row>
    <row r="5604" spans="50:52">
      <c r="AX5604" s="46">
        <f t="shared" si="262"/>
        <v>0</v>
      </c>
      <c r="AY5604" s="46">
        <f t="shared" si="263"/>
        <v>0</v>
      </c>
      <c r="AZ5604" s="46">
        <f t="shared" si="264"/>
        <v>0</v>
      </c>
    </row>
    <row r="5605" spans="50:52">
      <c r="AX5605" s="46">
        <f t="shared" si="262"/>
        <v>0</v>
      </c>
      <c r="AY5605" s="46">
        <f t="shared" si="263"/>
        <v>0</v>
      </c>
      <c r="AZ5605" s="46">
        <f t="shared" si="264"/>
        <v>0</v>
      </c>
    </row>
    <row r="5606" spans="50:52">
      <c r="AX5606" s="46">
        <f t="shared" si="262"/>
        <v>0</v>
      </c>
      <c r="AY5606" s="46">
        <f t="shared" si="263"/>
        <v>0</v>
      </c>
      <c r="AZ5606" s="46">
        <f t="shared" si="264"/>
        <v>0</v>
      </c>
    </row>
    <row r="5607" spans="50:52">
      <c r="AX5607" s="46">
        <f t="shared" si="262"/>
        <v>0</v>
      </c>
      <c r="AY5607" s="46">
        <f t="shared" si="263"/>
        <v>0</v>
      </c>
      <c r="AZ5607" s="46">
        <f t="shared" si="264"/>
        <v>0</v>
      </c>
    </row>
    <row r="5608" spans="50:52">
      <c r="AX5608" s="46">
        <f t="shared" si="262"/>
        <v>0</v>
      </c>
      <c r="AY5608" s="46">
        <f t="shared" si="263"/>
        <v>0</v>
      </c>
      <c r="AZ5608" s="46">
        <f t="shared" si="264"/>
        <v>0</v>
      </c>
    </row>
    <row r="5609" spans="50:52">
      <c r="AX5609" s="46">
        <f t="shared" si="262"/>
        <v>0</v>
      </c>
      <c r="AY5609" s="46">
        <f t="shared" si="263"/>
        <v>0</v>
      </c>
      <c r="AZ5609" s="46">
        <f t="shared" si="264"/>
        <v>0</v>
      </c>
    </row>
    <row r="5610" spans="50:52">
      <c r="AX5610" s="46">
        <f t="shared" si="262"/>
        <v>0</v>
      </c>
      <c r="AY5610" s="46">
        <f t="shared" si="263"/>
        <v>0</v>
      </c>
      <c r="AZ5610" s="46">
        <f t="shared" si="264"/>
        <v>0</v>
      </c>
    </row>
    <row r="5611" spans="50:52">
      <c r="AX5611" s="46">
        <f t="shared" si="262"/>
        <v>0</v>
      </c>
      <c r="AY5611" s="46">
        <f t="shared" si="263"/>
        <v>0</v>
      </c>
      <c r="AZ5611" s="46">
        <f t="shared" si="264"/>
        <v>0</v>
      </c>
    </row>
    <row r="5612" spans="50:52">
      <c r="AX5612" s="46">
        <f t="shared" si="262"/>
        <v>0</v>
      </c>
      <c r="AY5612" s="46">
        <f t="shared" si="263"/>
        <v>0</v>
      </c>
      <c r="AZ5612" s="46">
        <f t="shared" si="264"/>
        <v>0</v>
      </c>
    </row>
    <row r="5613" spans="50:52">
      <c r="AX5613" s="46">
        <f t="shared" si="262"/>
        <v>0</v>
      </c>
      <c r="AY5613" s="46">
        <f t="shared" si="263"/>
        <v>0</v>
      </c>
      <c r="AZ5613" s="46">
        <f t="shared" si="264"/>
        <v>0</v>
      </c>
    </row>
    <row r="5614" spans="50:52">
      <c r="AX5614" s="46">
        <f t="shared" si="262"/>
        <v>0</v>
      </c>
      <c r="AY5614" s="46">
        <f t="shared" si="263"/>
        <v>0</v>
      </c>
      <c r="AZ5614" s="46">
        <f t="shared" si="264"/>
        <v>0</v>
      </c>
    </row>
    <row r="5615" spans="50:52">
      <c r="AX5615" s="46">
        <f t="shared" si="262"/>
        <v>0</v>
      </c>
      <c r="AY5615" s="46">
        <f t="shared" si="263"/>
        <v>0</v>
      </c>
      <c r="AZ5615" s="46">
        <f t="shared" si="264"/>
        <v>0</v>
      </c>
    </row>
    <row r="5616" spans="50:52">
      <c r="AX5616" s="46">
        <f t="shared" si="262"/>
        <v>0</v>
      </c>
      <c r="AY5616" s="46">
        <f t="shared" si="263"/>
        <v>0</v>
      </c>
      <c r="AZ5616" s="46">
        <f t="shared" si="264"/>
        <v>0</v>
      </c>
    </row>
    <row r="5617" spans="50:52">
      <c r="AX5617" s="46">
        <f t="shared" si="262"/>
        <v>0</v>
      </c>
      <c r="AY5617" s="46">
        <f t="shared" si="263"/>
        <v>0</v>
      </c>
      <c r="AZ5617" s="46">
        <f t="shared" si="264"/>
        <v>0</v>
      </c>
    </row>
    <row r="5618" spans="50:52">
      <c r="AX5618" s="46">
        <f t="shared" si="262"/>
        <v>0</v>
      </c>
      <c r="AY5618" s="46">
        <f t="shared" si="263"/>
        <v>0</v>
      </c>
      <c r="AZ5618" s="46">
        <f t="shared" si="264"/>
        <v>0</v>
      </c>
    </row>
    <row r="5619" spans="50:52">
      <c r="AX5619" s="46">
        <f t="shared" si="262"/>
        <v>0</v>
      </c>
      <c r="AY5619" s="46">
        <f t="shared" si="263"/>
        <v>0</v>
      </c>
      <c r="AZ5619" s="46">
        <f t="shared" si="264"/>
        <v>0</v>
      </c>
    </row>
    <row r="5620" spans="50:52">
      <c r="AX5620" s="46">
        <f t="shared" si="262"/>
        <v>0</v>
      </c>
      <c r="AY5620" s="46">
        <f t="shared" si="263"/>
        <v>0</v>
      </c>
      <c r="AZ5620" s="46">
        <f t="shared" si="264"/>
        <v>0</v>
      </c>
    </row>
    <row r="5621" spans="50:52">
      <c r="AX5621" s="46">
        <f t="shared" si="262"/>
        <v>0</v>
      </c>
      <c r="AY5621" s="46">
        <f t="shared" si="263"/>
        <v>0</v>
      </c>
      <c r="AZ5621" s="46">
        <f t="shared" si="264"/>
        <v>0</v>
      </c>
    </row>
    <row r="5622" spans="50:52">
      <c r="AX5622" s="46">
        <f t="shared" si="262"/>
        <v>0</v>
      </c>
      <c r="AY5622" s="46">
        <f t="shared" si="263"/>
        <v>0</v>
      </c>
      <c r="AZ5622" s="46">
        <f t="shared" si="264"/>
        <v>0</v>
      </c>
    </row>
    <row r="5623" spans="50:52">
      <c r="AX5623" s="46">
        <f t="shared" si="262"/>
        <v>0</v>
      </c>
      <c r="AY5623" s="46">
        <f t="shared" si="263"/>
        <v>0</v>
      </c>
      <c r="AZ5623" s="46">
        <f t="shared" si="264"/>
        <v>0</v>
      </c>
    </row>
    <row r="5624" spans="50:52">
      <c r="AX5624" s="46">
        <f t="shared" si="262"/>
        <v>0</v>
      </c>
      <c r="AY5624" s="46">
        <f t="shared" si="263"/>
        <v>0</v>
      </c>
      <c r="AZ5624" s="46">
        <f t="shared" si="264"/>
        <v>0</v>
      </c>
    </row>
    <row r="5625" spans="50:52">
      <c r="AX5625" s="46">
        <f t="shared" si="262"/>
        <v>0</v>
      </c>
      <c r="AY5625" s="46">
        <f t="shared" si="263"/>
        <v>0</v>
      </c>
      <c r="AZ5625" s="46">
        <f t="shared" si="264"/>
        <v>0</v>
      </c>
    </row>
    <row r="5626" spans="50:52">
      <c r="AX5626" s="46">
        <f t="shared" si="262"/>
        <v>0</v>
      </c>
      <c r="AY5626" s="46">
        <f t="shared" si="263"/>
        <v>0</v>
      </c>
      <c r="AZ5626" s="46">
        <f t="shared" si="264"/>
        <v>0</v>
      </c>
    </row>
    <row r="5627" spans="50:52">
      <c r="AX5627" s="46">
        <f t="shared" si="262"/>
        <v>0</v>
      </c>
      <c r="AY5627" s="46">
        <f t="shared" si="263"/>
        <v>0</v>
      </c>
      <c r="AZ5627" s="46">
        <f t="shared" si="264"/>
        <v>0</v>
      </c>
    </row>
    <row r="5628" spans="50:52">
      <c r="AX5628" s="46">
        <f t="shared" si="262"/>
        <v>0</v>
      </c>
      <c r="AY5628" s="46">
        <f t="shared" si="263"/>
        <v>0</v>
      </c>
      <c r="AZ5628" s="46">
        <f t="shared" si="264"/>
        <v>0</v>
      </c>
    </row>
    <row r="5629" spans="50:52">
      <c r="AX5629" s="46">
        <f t="shared" si="262"/>
        <v>0</v>
      </c>
      <c r="AY5629" s="46">
        <f t="shared" si="263"/>
        <v>0</v>
      </c>
      <c r="AZ5629" s="46">
        <f t="shared" si="264"/>
        <v>0</v>
      </c>
    </row>
    <row r="5630" spans="50:52">
      <c r="AX5630" s="46">
        <f t="shared" si="262"/>
        <v>0</v>
      </c>
      <c r="AY5630" s="46">
        <f t="shared" si="263"/>
        <v>0</v>
      </c>
      <c r="AZ5630" s="46">
        <f t="shared" si="264"/>
        <v>0</v>
      </c>
    </row>
    <row r="5631" spans="50:52">
      <c r="AX5631" s="46">
        <f t="shared" si="262"/>
        <v>0</v>
      </c>
      <c r="AY5631" s="46">
        <f t="shared" si="263"/>
        <v>0</v>
      </c>
      <c r="AZ5631" s="46">
        <f t="shared" si="264"/>
        <v>0</v>
      </c>
    </row>
    <row r="5632" spans="50:52">
      <c r="AX5632" s="46">
        <f t="shared" si="262"/>
        <v>0</v>
      </c>
      <c r="AY5632" s="46">
        <f t="shared" si="263"/>
        <v>0</v>
      </c>
      <c r="AZ5632" s="46">
        <f t="shared" si="264"/>
        <v>0</v>
      </c>
    </row>
    <row r="5633" spans="50:52">
      <c r="AX5633" s="46">
        <f t="shared" si="262"/>
        <v>0</v>
      </c>
      <c r="AY5633" s="46">
        <f t="shared" si="263"/>
        <v>0</v>
      </c>
      <c r="AZ5633" s="46">
        <f t="shared" si="264"/>
        <v>0</v>
      </c>
    </row>
    <row r="5634" spans="50:52">
      <c r="AX5634" s="46">
        <f t="shared" si="262"/>
        <v>0</v>
      </c>
      <c r="AY5634" s="46">
        <f t="shared" si="263"/>
        <v>0</v>
      </c>
      <c r="AZ5634" s="46">
        <f t="shared" si="264"/>
        <v>0</v>
      </c>
    </row>
    <row r="5635" spans="50:52">
      <c r="AX5635" s="46">
        <f t="shared" si="262"/>
        <v>0</v>
      </c>
      <c r="AY5635" s="46">
        <f t="shared" si="263"/>
        <v>0</v>
      </c>
      <c r="AZ5635" s="46">
        <f t="shared" si="264"/>
        <v>0</v>
      </c>
    </row>
    <row r="5636" spans="50:52">
      <c r="AX5636" s="46">
        <f t="shared" si="262"/>
        <v>0</v>
      </c>
      <c r="AY5636" s="46">
        <f t="shared" si="263"/>
        <v>0</v>
      </c>
      <c r="AZ5636" s="46">
        <f t="shared" si="264"/>
        <v>0</v>
      </c>
    </row>
    <row r="5637" spans="50:52">
      <c r="AX5637" s="46">
        <f t="shared" si="262"/>
        <v>0</v>
      </c>
      <c r="AY5637" s="46">
        <f t="shared" si="263"/>
        <v>0</v>
      </c>
      <c r="AZ5637" s="46">
        <f t="shared" si="264"/>
        <v>0</v>
      </c>
    </row>
    <row r="5638" spans="50:52">
      <c r="AX5638" s="46">
        <f t="shared" si="262"/>
        <v>0</v>
      </c>
      <c r="AY5638" s="46">
        <f t="shared" si="263"/>
        <v>0</v>
      </c>
      <c r="AZ5638" s="46">
        <f t="shared" si="264"/>
        <v>0</v>
      </c>
    </row>
    <row r="5639" spans="50:52">
      <c r="AX5639" s="46">
        <f t="shared" si="262"/>
        <v>0</v>
      </c>
      <c r="AY5639" s="46">
        <f t="shared" si="263"/>
        <v>0</v>
      </c>
      <c r="AZ5639" s="46">
        <f t="shared" si="264"/>
        <v>0</v>
      </c>
    </row>
    <row r="5640" spans="50:52">
      <c r="AX5640" s="46">
        <f t="shared" si="262"/>
        <v>0</v>
      </c>
      <c r="AY5640" s="46">
        <f t="shared" si="263"/>
        <v>0</v>
      </c>
      <c r="AZ5640" s="46">
        <f t="shared" si="264"/>
        <v>0</v>
      </c>
    </row>
    <row r="5641" spans="50:52">
      <c r="AX5641" s="46">
        <f t="shared" si="262"/>
        <v>0</v>
      </c>
      <c r="AY5641" s="46">
        <f t="shared" si="263"/>
        <v>0</v>
      </c>
      <c r="AZ5641" s="46">
        <f t="shared" si="264"/>
        <v>0</v>
      </c>
    </row>
    <row r="5642" spans="50:52">
      <c r="AX5642" s="46">
        <f t="shared" si="262"/>
        <v>0</v>
      </c>
      <c r="AY5642" s="46">
        <f t="shared" si="263"/>
        <v>0</v>
      </c>
      <c r="AZ5642" s="46">
        <f t="shared" si="264"/>
        <v>0</v>
      </c>
    </row>
    <row r="5643" spans="50:52">
      <c r="AX5643" s="46">
        <f t="shared" ref="AX5643:AX5706" si="265">IFERROR(SUM(Q5643:AS5643)-SUM(AT5643:AU5643)+AV5643,"-")</f>
        <v>0</v>
      </c>
      <c r="AY5643" s="46">
        <f t="shared" ref="AY5643:AY5706" si="266">IFERROR(SUM(Q5643:AS5643)-SUM(AT5643:AT5643),"-")</f>
        <v>0</v>
      </c>
      <c r="AZ5643" s="46">
        <f t="shared" ref="AZ5643:AZ5706" si="267">SUM(Q5643:AS5643)</f>
        <v>0</v>
      </c>
    </row>
    <row r="5644" spans="50:52">
      <c r="AX5644" s="46">
        <f t="shared" si="265"/>
        <v>0</v>
      </c>
      <c r="AY5644" s="46">
        <f t="shared" si="266"/>
        <v>0</v>
      </c>
      <c r="AZ5644" s="46">
        <f t="shared" si="267"/>
        <v>0</v>
      </c>
    </row>
    <row r="5645" spans="50:52">
      <c r="AX5645" s="46">
        <f t="shared" si="265"/>
        <v>0</v>
      </c>
      <c r="AY5645" s="46">
        <f t="shared" si="266"/>
        <v>0</v>
      </c>
      <c r="AZ5645" s="46">
        <f t="shared" si="267"/>
        <v>0</v>
      </c>
    </row>
    <row r="5646" spans="50:52">
      <c r="AX5646" s="46">
        <f t="shared" si="265"/>
        <v>0</v>
      </c>
      <c r="AY5646" s="46">
        <f t="shared" si="266"/>
        <v>0</v>
      </c>
      <c r="AZ5646" s="46">
        <f t="shared" si="267"/>
        <v>0</v>
      </c>
    </row>
    <row r="5647" spans="50:52">
      <c r="AX5647" s="46">
        <f t="shared" si="265"/>
        <v>0</v>
      </c>
      <c r="AY5647" s="46">
        <f t="shared" si="266"/>
        <v>0</v>
      </c>
      <c r="AZ5647" s="46">
        <f t="shared" si="267"/>
        <v>0</v>
      </c>
    </row>
    <row r="5648" spans="50:52">
      <c r="AX5648" s="46">
        <f t="shared" si="265"/>
        <v>0</v>
      </c>
      <c r="AY5648" s="46">
        <f t="shared" si="266"/>
        <v>0</v>
      </c>
      <c r="AZ5648" s="46">
        <f t="shared" si="267"/>
        <v>0</v>
      </c>
    </row>
    <row r="5649" spans="50:52">
      <c r="AX5649" s="46">
        <f t="shared" si="265"/>
        <v>0</v>
      </c>
      <c r="AY5649" s="46">
        <f t="shared" si="266"/>
        <v>0</v>
      </c>
      <c r="AZ5649" s="46">
        <f t="shared" si="267"/>
        <v>0</v>
      </c>
    </row>
    <row r="5650" spans="50:52">
      <c r="AX5650" s="46">
        <f t="shared" si="265"/>
        <v>0</v>
      </c>
      <c r="AY5650" s="46">
        <f t="shared" si="266"/>
        <v>0</v>
      </c>
      <c r="AZ5650" s="46">
        <f t="shared" si="267"/>
        <v>0</v>
      </c>
    </row>
    <row r="5651" spans="50:52">
      <c r="AX5651" s="46">
        <f t="shared" si="265"/>
        <v>0</v>
      </c>
      <c r="AY5651" s="46">
        <f t="shared" si="266"/>
        <v>0</v>
      </c>
      <c r="AZ5651" s="46">
        <f t="shared" si="267"/>
        <v>0</v>
      </c>
    </row>
    <row r="5652" spans="50:52">
      <c r="AX5652" s="46">
        <f t="shared" si="265"/>
        <v>0</v>
      </c>
      <c r="AY5652" s="46">
        <f t="shared" si="266"/>
        <v>0</v>
      </c>
      <c r="AZ5652" s="46">
        <f t="shared" si="267"/>
        <v>0</v>
      </c>
    </row>
    <row r="5653" spans="50:52">
      <c r="AX5653" s="46">
        <f t="shared" si="265"/>
        <v>0</v>
      </c>
      <c r="AY5653" s="46">
        <f t="shared" si="266"/>
        <v>0</v>
      </c>
      <c r="AZ5653" s="46">
        <f t="shared" si="267"/>
        <v>0</v>
      </c>
    </row>
    <row r="5654" spans="50:52">
      <c r="AX5654" s="46">
        <f t="shared" si="265"/>
        <v>0</v>
      </c>
      <c r="AY5654" s="46">
        <f t="shared" si="266"/>
        <v>0</v>
      </c>
      <c r="AZ5654" s="46">
        <f t="shared" si="267"/>
        <v>0</v>
      </c>
    </row>
    <row r="5655" spans="50:52">
      <c r="AX5655" s="46">
        <f t="shared" si="265"/>
        <v>0</v>
      </c>
      <c r="AY5655" s="46">
        <f t="shared" si="266"/>
        <v>0</v>
      </c>
      <c r="AZ5655" s="46">
        <f t="shared" si="267"/>
        <v>0</v>
      </c>
    </row>
    <row r="5656" spans="50:52">
      <c r="AX5656" s="46">
        <f t="shared" si="265"/>
        <v>0</v>
      </c>
      <c r="AY5656" s="46">
        <f t="shared" si="266"/>
        <v>0</v>
      </c>
      <c r="AZ5656" s="46">
        <f t="shared" si="267"/>
        <v>0</v>
      </c>
    </row>
    <row r="5657" spans="50:52">
      <c r="AX5657" s="46">
        <f t="shared" si="265"/>
        <v>0</v>
      </c>
      <c r="AY5657" s="46">
        <f t="shared" si="266"/>
        <v>0</v>
      </c>
      <c r="AZ5657" s="46">
        <f t="shared" si="267"/>
        <v>0</v>
      </c>
    </row>
    <row r="5658" spans="50:52">
      <c r="AX5658" s="46">
        <f t="shared" si="265"/>
        <v>0</v>
      </c>
      <c r="AY5658" s="46">
        <f t="shared" si="266"/>
        <v>0</v>
      </c>
      <c r="AZ5658" s="46">
        <f t="shared" si="267"/>
        <v>0</v>
      </c>
    </row>
    <row r="5659" spans="50:52">
      <c r="AX5659" s="46">
        <f t="shared" si="265"/>
        <v>0</v>
      </c>
      <c r="AY5659" s="46">
        <f t="shared" si="266"/>
        <v>0</v>
      </c>
      <c r="AZ5659" s="46">
        <f t="shared" si="267"/>
        <v>0</v>
      </c>
    </row>
    <row r="5660" spans="50:52">
      <c r="AX5660" s="46">
        <f t="shared" si="265"/>
        <v>0</v>
      </c>
      <c r="AY5660" s="46">
        <f t="shared" si="266"/>
        <v>0</v>
      </c>
      <c r="AZ5660" s="46">
        <f t="shared" si="267"/>
        <v>0</v>
      </c>
    </row>
    <row r="5661" spans="50:52">
      <c r="AX5661" s="46">
        <f t="shared" si="265"/>
        <v>0</v>
      </c>
      <c r="AY5661" s="46">
        <f t="shared" si="266"/>
        <v>0</v>
      </c>
      <c r="AZ5661" s="46">
        <f t="shared" si="267"/>
        <v>0</v>
      </c>
    </row>
    <row r="5662" spans="50:52">
      <c r="AX5662" s="46">
        <f t="shared" si="265"/>
        <v>0</v>
      </c>
      <c r="AY5662" s="46">
        <f t="shared" si="266"/>
        <v>0</v>
      </c>
      <c r="AZ5662" s="46">
        <f t="shared" si="267"/>
        <v>0</v>
      </c>
    </row>
    <row r="5663" spans="50:52">
      <c r="AX5663" s="46">
        <f t="shared" si="265"/>
        <v>0</v>
      </c>
      <c r="AY5663" s="46">
        <f t="shared" si="266"/>
        <v>0</v>
      </c>
      <c r="AZ5663" s="46">
        <f t="shared" si="267"/>
        <v>0</v>
      </c>
    </row>
    <row r="5664" spans="50:52">
      <c r="AX5664" s="46">
        <f t="shared" si="265"/>
        <v>0</v>
      </c>
      <c r="AY5664" s="46">
        <f t="shared" si="266"/>
        <v>0</v>
      </c>
      <c r="AZ5664" s="46">
        <f t="shared" si="267"/>
        <v>0</v>
      </c>
    </row>
    <row r="5665" spans="50:52">
      <c r="AX5665" s="46">
        <f t="shared" si="265"/>
        <v>0</v>
      </c>
      <c r="AY5665" s="46">
        <f t="shared" si="266"/>
        <v>0</v>
      </c>
      <c r="AZ5665" s="46">
        <f t="shared" si="267"/>
        <v>0</v>
      </c>
    </row>
    <row r="5666" spans="50:52">
      <c r="AX5666" s="46">
        <f t="shared" si="265"/>
        <v>0</v>
      </c>
      <c r="AY5666" s="46">
        <f t="shared" si="266"/>
        <v>0</v>
      </c>
      <c r="AZ5666" s="46">
        <f t="shared" si="267"/>
        <v>0</v>
      </c>
    </row>
    <row r="5667" spans="50:52">
      <c r="AX5667" s="46">
        <f t="shared" si="265"/>
        <v>0</v>
      </c>
      <c r="AY5667" s="46">
        <f t="shared" si="266"/>
        <v>0</v>
      </c>
      <c r="AZ5667" s="46">
        <f t="shared" si="267"/>
        <v>0</v>
      </c>
    </row>
    <row r="5668" spans="50:52">
      <c r="AX5668" s="46">
        <f t="shared" si="265"/>
        <v>0</v>
      </c>
      <c r="AY5668" s="46">
        <f t="shared" si="266"/>
        <v>0</v>
      </c>
      <c r="AZ5668" s="46">
        <f t="shared" si="267"/>
        <v>0</v>
      </c>
    </row>
    <row r="5669" spans="50:52">
      <c r="AX5669" s="46">
        <f t="shared" si="265"/>
        <v>0</v>
      </c>
      <c r="AY5669" s="46">
        <f t="shared" si="266"/>
        <v>0</v>
      </c>
      <c r="AZ5669" s="46">
        <f t="shared" si="267"/>
        <v>0</v>
      </c>
    </row>
    <row r="5670" spans="50:52">
      <c r="AX5670" s="46">
        <f t="shared" si="265"/>
        <v>0</v>
      </c>
      <c r="AY5670" s="46">
        <f t="shared" si="266"/>
        <v>0</v>
      </c>
      <c r="AZ5670" s="46">
        <f t="shared" si="267"/>
        <v>0</v>
      </c>
    </row>
    <row r="5671" spans="50:52">
      <c r="AX5671" s="46">
        <f t="shared" si="265"/>
        <v>0</v>
      </c>
      <c r="AY5671" s="46">
        <f t="shared" si="266"/>
        <v>0</v>
      </c>
      <c r="AZ5671" s="46">
        <f t="shared" si="267"/>
        <v>0</v>
      </c>
    </row>
    <row r="5672" spans="50:52">
      <c r="AX5672" s="46">
        <f t="shared" si="265"/>
        <v>0</v>
      </c>
      <c r="AY5672" s="46">
        <f t="shared" si="266"/>
        <v>0</v>
      </c>
      <c r="AZ5672" s="46">
        <f t="shared" si="267"/>
        <v>0</v>
      </c>
    </row>
    <row r="5673" spans="50:52">
      <c r="AX5673" s="46">
        <f t="shared" si="265"/>
        <v>0</v>
      </c>
      <c r="AY5673" s="46">
        <f t="shared" si="266"/>
        <v>0</v>
      </c>
      <c r="AZ5673" s="46">
        <f t="shared" si="267"/>
        <v>0</v>
      </c>
    </row>
    <row r="5674" spans="50:52">
      <c r="AX5674" s="46">
        <f t="shared" si="265"/>
        <v>0</v>
      </c>
      <c r="AY5674" s="46">
        <f t="shared" si="266"/>
        <v>0</v>
      </c>
      <c r="AZ5674" s="46">
        <f t="shared" si="267"/>
        <v>0</v>
      </c>
    </row>
    <row r="5675" spans="50:52">
      <c r="AX5675" s="46">
        <f t="shared" si="265"/>
        <v>0</v>
      </c>
      <c r="AY5675" s="46">
        <f t="shared" si="266"/>
        <v>0</v>
      </c>
      <c r="AZ5675" s="46">
        <f t="shared" si="267"/>
        <v>0</v>
      </c>
    </row>
    <row r="5676" spans="50:52">
      <c r="AX5676" s="46">
        <f t="shared" si="265"/>
        <v>0</v>
      </c>
      <c r="AY5676" s="46">
        <f t="shared" si="266"/>
        <v>0</v>
      </c>
      <c r="AZ5676" s="46">
        <f t="shared" si="267"/>
        <v>0</v>
      </c>
    </row>
    <row r="5677" spans="50:52">
      <c r="AX5677" s="46">
        <f t="shared" si="265"/>
        <v>0</v>
      </c>
      <c r="AY5677" s="46">
        <f t="shared" si="266"/>
        <v>0</v>
      </c>
      <c r="AZ5677" s="46">
        <f t="shared" si="267"/>
        <v>0</v>
      </c>
    </row>
    <row r="5678" spans="50:52">
      <c r="AX5678" s="46">
        <f t="shared" si="265"/>
        <v>0</v>
      </c>
      <c r="AY5678" s="46">
        <f t="shared" si="266"/>
        <v>0</v>
      </c>
      <c r="AZ5678" s="46">
        <f t="shared" si="267"/>
        <v>0</v>
      </c>
    </row>
    <row r="5679" spans="50:52">
      <c r="AX5679" s="46">
        <f t="shared" si="265"/>
        <v>0</v>
      </c>
      <c r="AY5679" s="46">
        <f t="shared" si="266"/>
        <v>0</v>
      </c>
      <c r="AZ5679" s="46">
        <f t="shared" si="267"/>
        <v>0</v>
      </c>
    </row>
    <row r="5680" spans="50:52">
      <c r="AX5680" s="46">
        <f t="shared" si="265"/>
        <v>0</v>
      </c>
      <c r="AY5680" s="46">
        <f t="shared" si="266"/>
        <v>0</v>
      </c>
      <c r="AZ5680" s="46">
        <f t="shared" si="267"/>
        <v>0</v>
      </c>
    </row>
    <row r="5681" spans="50:52">
      <c r="AX5681" s="46">
        <f t="shared" si="265"/>
        <v>0</v>
      </c>
      <c r="AY5681" s="46">
        <f t="shared" si="266"/>
        <v>0</v>
      </c>
      <c r="AZ5681" s="46">
        <f t="shared" si="267"/>
        <v>0</v>
      </c>
    </row>
    <row r="5682" spans="50:52">
      <c r="AX5682" s="46">
        <f t="shared" si="265"/>
        <v>0</v>
      </c>
      <c r="AY5682" s="46">
        <f t="shared" si="266"/>
        <v>0</v>
      </c>
      <c r="AZ5682" s="46">
        <f t="shared" si="267"/>
        <v>0</v>
      </c>
    </row>
    <row r="5683" spans="50:52">
      <c r="AX5683" s="46">
        <f t="shared" si="265"/>
        <v>0</v>
      </c>
      <c r="AY5683" s="46">
        <f t="shared" si="266"/>
        <v>0</v>
      </c>
      <c r="AZ5683" s="46">
        <f t="shared" si="267"/>
        <v>0</v>
      </c>
    </row>
    <row r="5684" spans="50:52">
      <c r="AX5684" s="46">
        <f t="shared" si="265"/>
        <v>0</v>
      </c>
      <c r="AY5684" s="46">
        <f t="shared" si="266"/>
        <v>0</v>
      </c>
      <c r="AZ5684" s="46">
        <f t="shared" si="267"/>
        <v>0</v>
      </c>
    </row>
    <row r="5685" spans="50:52">
      <c r="AX5685" s="46">
        <f t="shared" si="265"/>
        <v>0</v>
      </c>
      <c r="AY5685" s="46">
        <f t="shared" si="266"/>
        <v>0</v>
      </c>
      <c r="AZ5685" s="46">
        <f t="shared" si="267"/>
        <v>0</v>
      </c>
    </row>
    <row r="5686" spans="50:52">
      <c r="AX5686" s="46">
        <f t="shared" si="265"/>
        <v>0</v>
      </c>
      <c r="AY5686" s="46">
        <f t="shared" si="266"/>
        <v>0</v>
      </c>
      <c r="AZ5686" s="46">
        <f t="shared" si="267"/>
        <v>0</v>
      </c>
    </row>
    <row r="5687" spans="50:52">
      <c r="AX5687" s="46">
        <f t="shared" si="265"/>
        <v>0</v>
      </c>
      <c r="AY5687" s="46">
        <f t="shared" si="266"/>
        <v>0</v>
      </c>
      <c r="AZ5687" s="46">
        <f t="shared" si="267"/>
        <v>0</v>
      </c>
    </row>
    <row r="5688" spans="50:52">
      <c r="AX5688" s="46">
        <f t="shared" si="265"/>
        <v>0</v>
      </c>
      <c r="AY5688" s="46">
        <f t="shared" si="266"/>
        <v>0</v>
      </c>
      <c r="AZ5688" s="46">
        <f t="shared" si="267"/>
        <v>0</v>
      </c>
    </row>
    <row r="5689" spans="50:52">
      <c r="AX5689" s="46">
        <f t="shared" si="265"/>
        <v>0</v>
      </c>
      <c r="AY5689" s="46">
        <f t="shared" si="266"/>
        <v>0</v>
      </c>
      <c r="AZ5689" s="46">
        <f t="shared" si="267"/>
        <v>0</v>
      </c>
    </row>
    <row r="5690" spans="50:52">
      <c r="AX5690" s="46">
        <f t="shared" si="265"/>
        <v>0</v>
      </c>
      <c r="AY5690" s="46">
        <f t="shared" si="266"/>
        <v>0</v>
      </c>
      <c r="AZ5690" s="46">
        <f t="shared" si="267"/>
        <v>0</v>
      </c>
    </row>
    <row r="5691" spans="50:52">
      <c r="AX5691" s="46">
        <f t="shared" si="265"/>
        <v>0</v>
      </c>
      <c r="AY5691" s="46">
        <f t="shared" si="266"/>
        <v>0</v>
      </c>
      <c r="AZ5691" s="46">
        <f t="shared" si="267"/>
        <v>0</v>
      </c>
    </row>
    <row r="5692" spans="50:52">
      <c r="AX5692" s="46">
        <f t="shared" si="265"/>
        <v>0</v>
      </c>
      <c r="AY5692" s="46">
        <f t="shared" si="266"/>
        <v>0</v>
      </c>
      <c r="AZ5692" s="46">
        <f t="shared" si="267"/>
        <v>0</v>
      </c>
    </row>
    <row r="5693" spans="50:52">
      <c r="AX5693" s="46">
        <f t="shared" si="265"/>
        <v>0</v>
      </c>
      <c r="AY5693" s="46">
        <f t="shared" si="266"/>
        <v>0</v>
      </c>
      <c r="AZ5693" s="46">
        <f t="shared" si="267"/>
        <v>0</v>
      </c>
    </row>
    <row r="5694" spans="50:52">
      <c r="AX5694" s="46">
        <f t="shared" si="265"/>
        <v>0</v>
      </c>
      <c r="AY5694" s="46">
        <f t="shared" si="266"/>
        <v>0</v>
      </c>
      <c r="AZ5694" s="46">
        <f t="shared" si="267"/>
        <v>0</v>
      </c>
    </row>
    <row r="5695" spans="50:52">
      <c r="AX5695" s="46">
        <f t="shared" si="265"/>
        <v>0</v>
      </c>
      <c r="AY5695" s="46">
        <f t="shared" si="266"/>
        <v>0</v>
      </c>
      <c r="AZ5695" s="46">
        <f t="shared" si="267"/>
        <v>0</v>
      </c>
    </row>
    <row r="5696" spans="50:52">
      <c r="AX5696" s="46">
        <f t="shared" si="265"/>
        <v>0</v>
      </c>
      <c r="AY5696" s="46">
        <f t="shared" si="266"/>
        <v>0</v>
      </c>
      <c r="AZ5696" s="46">
        <f t="shared" si="267"/>
        <v>0</v>
      </c>
    </row>
    <row r="5697" spans="50:52">
      <c r="AX5697" s="46">
        <f t="shared" si="265"/>
        <v>0</v>
      </c>
      <c r="AY5697" s="46">
        <f t="shared" si="266"/>
        <v>0</v>
      </c>
      <c r="AZ5697" s="46">
        <f t="shared" si="267"/>
        <v>0</v>
      </c>
    </row>
    <row r="5698" spans="50:52">
      <c r="AX5698" s="46">
        <f t="shared" si="265"/>
        <v>0</v>
      </c>
      <c r="AY5698" s="46">
        <f t="shared" si="266"/>
        <v>0</v>
      </c>
      <c r="AZ5698" s="46">
        <f t="shared" si="267"/>
        <v>0</v>
      </c>
    </row>
    <row r="5699" spans="50:52">
      <c r="AX5699" s="46">
        <f t="shared" si="265"/>
        <v>0</v>
      </c>
      <c r="AY5699" s="46">
        <f t="shared" si="266"/>
        <v>0</v>
      </c>
      <c r="AZ5699" s="46">
        <f t="shared" si="267"/>
        <v>0</v>
      </c>
    </row>
    <row r="5700" spans="50:52">
      <c r="AX5700" s="46">
        <f t="shared" si="265"/>
        <v>0</v>
      </c>
      <c r="AY5700" s="46">
        <f t="shared" si="266"/>
        <v>0</v>
      </c>
      <c r="AZ5700" s="46">
        <f t="shared" si="267"/>
        <v>0</v>
      </c>
    </row>
    <row r="5701" spans="50:52">
      <c r="AX5701" s="46">
        <f t="shared" si="265"/>
        <v>0</v>
      </c>
      <c r="AY5701" s="46">
        <f t="shared" si="266"/>
        <v>0</v>
      </c>
      <c r="AZ5701" s="46">
        <f t="shared" si="267"/>
        <v>0</v>
      </c>
    </row>
    <row r="5702" spans="50:52">
      <c r="AX5702" s="46">
        <f t="shared" si="265"/>
        <v>0</v>
      </c>
      <c r="AY5702" s="46">
        <f t="shared" si="266"/>
        <v>0</v>
      </c>
      <c r="AZ5702" s="46">
        <f t="shared" si="267"/>
        <v>0</v>
      </c>
    </row>
    <row r="5703" spans="50:52">
      <c r="AX5703" s="46">
        <f t="shared" si="265"/>
        <v>0</v>
      </c>
      <c r="AY5703" s="46">
        <f t="shared" si="266"/>
        <v>0</v>
      </c>
      <c r="AZ5703" s="46">
        <f t="shared" si="267"/>
        <v>0</v>
      </c>
    </row>
    <row r="5704" spans="50:52">
      <c r="AX5704" s="46">
        <f t="shared" si="265"/>
        <v>0</v>
      </c>
      <c r="AY5704" s="46">
        <f t="shared" si="266"/>
        <v>0</v>
      </c>
      <c r="AZ5704" s="46">
        <f t="shared" si="267"/>
        <v>0</v>
      </c>
    </row>
    <row r="5705" spans="50:52">
      <c r="AX5705" s="46">
        <f t="shared" si="265"/>
        <v>0</v>
      </c>
      <c r="AY5705" s="46">
        <f t="shared" si="266"/>
        <v>0</v>
      </c>
      <c r="AZ5705" s="46">
        <f t="shared" si="267"/>
        <v>0</v>
      </c>
    </row>
    <row r="5706" spans="50:52">
      <c r="AX5706" s="46">
        <f t="shared" si="265"/>
        <v>0</v>
      </c>
      <c r="AY5706" s="46">
        <f t="shared" si="266"/>
        <v>0</v>
      </c>
      <c r="AZ5706" s="46">
        <f t="shared" si="267"/>
        <v>0</v>
      </c>
    </row>
    <row r="5707" spans="50:52">
      <c r="AX5707" s="46">
        <f t="shared" ref="AX5707:AX5770" si="268">IFERROR(SUM(Q5707:AS5707)-SUM(AT5707:AU5707)+AV5707,"-")</f>
        <v>0</v>
      </c>
      <c r="AY5707" s="46">
        <f t="shared" ref="AY5707:AY5770" si="269">IFERROR(SUM(Q5707:AS5707)-SUM(AT5707:AT5707),"-")</f>
        <v>0</v>
      </c>
      <c r="AZ5707" s="46">
        <f t="shared" ref="AZ5707:AZ5770" si="270">SUM(Q5707:AS5707)</f>
        <v>0</v>
      </c>
    </row>
    <row r="5708" spans="50:52">
      <c r="AX5708" s="46">
        <f t="shared" si="268"/>
        <v>0</v>
      </c>
      <c r="AY5708" s="46">
        <f t="shared" si="269"/>
        <v>0</v>
      </c>
      <c r="AZ5708" s="46">
        <f t="shared" si="270"/>
        <v>0</v>
      </c>
    </row>
    <row r="5709" spans="50:52">
      <c r="AX5709" s="46">
        <f t="shared" si="268"/>
        <v>0</v>
      </c>
      <c r="AY5709" s="46">
        <f t="shared" si="269"/>
        <v>0</v>
      </c>
      <c r="AZ5709" s="46">
        <f t="shared" si="270"/>
        <v>0</v>
      </c>
    </row>
    <row r="5710" spans="50:52">
      <c r="AX5710" s="46">
        <f t="shared" si="268"/>
        <v>0</v>
      </c>
      <c r="AY5710" s="46">
        <f t="shared" si="269"/>
        <v>0</v>
      </c>
      <c r="AZ5710" s="46">
        <f t="shared" si="270"/>
        <v>0</v>
      </c>
    </row>
    <row r="5711" spans="50:52">
      <c r="AX5711" s="46">
        <f t="shared" si="268"/>
        <v>0</v>
      </c>
      <c r="AY5711" s="46">
        <f t="shared" si="269"/>
        <v>0</v>
      </c>
      <c r="AZ5711" s="46">
        <f t="shared" si="270"/>
        <v>0</v>
      </c>
    </row>
    <row r="5712" spans="50:52">
      <c r="AX5712" s="46">
        <f t="shared" si="268"/>
        <v>0</v>
      </c>
      <c r="AY5712" s="46">
        <f t="shared" si="269"/>
        <v>0</v>
      </c>
      <c r="AZ5712" s="46">
        <f t="shared" si="270"/>
        <v>0</v>
      </c>
    </row>
    <row r="5713" spans="50:52">
      <c r="AX5713" s="46">
        <f t="shared" si="268"/>
        <v>0</v>
      </c>
      <c r="AY5713" s="46">
        <f t="shared" si="269"/>
        <v>0</v>
      </c>
      <c r="AZ5713" s="46">
        <f t="shared" si="270"/>
        <v>0</v>
      </c>
    </row>
    <row r="5714" spans="50:52">
      <c r="AX5714" s="46">
        <f t="shared" si="268"/>
        <v>0</v>
      </c>
      <c r="AY5714" s="46">
        <f t="shared" si="269"/>
        <v>0</v>
      </c>
      <c r="AZ5714" s="46">
        <f t="shared" si="270"/>
        <v>0</v>
      </c>
    </row>
    <row r="5715" spans="50:52">
      <c r="AX5715" s="46">
        <f t="shared" si="268"/>
        <v>0</v>
      </c>
      <c r="AY5715" s="46">
        <f t="shared" si="269"/>
        <v>0</v>
      </c>
      <c r="AZ5715" s="46">
        <f t="shared" si="270"/>
        <v>0</v>
      </c>
    </row>
    <row r="5716" spans="50:52">
      <c r="AX5716" s="46">
        <f t="shared" si="268"/>
        <v>0</v>
      </c>
      <c r="AY5716" s="46">
        <f t="shared" si="269"/>
        <v>0</v>
      </c>
      <c r="AZ5716" s="46">
        <f t="shared" si="270"/>
        <v>0</v>
      </c>
    </row>
    <row r="5717" spans="50:52">
      <c r="AX5717" s="46">
        <f t="shared" si="268"/>
        <v>0</v>
      </c>
      <c r="AY5717" s="46">
        <f t="shared" si="269"/>
        <v>0</v>
      </c>
      <c r="AZ5717" s="46">
        <f t="shared" si="270"/>
        <v>0</v>
      </c>
    </row>
    <row r="5718" spans="50:52">
      <c r="AX5718" s="46">
        <f t="shared" si="268"/>
        <v>0</v>
      </c>
      <c r="AY5718" s="46">
        <f t="shared" si="269"/>
        <v>0</v>
      </c>
      <c r="AZ5718" s="46">
        <f t="shared" si="270"/>
        <v>0</v>
      </c>
    </row>
    <row r="5719" spans="50:52">
      <c r="AX5719" s="46">
        <f t="shared" si="268"/>
        <v>0</v>
      </c>
      <c r="AY5719" s="46">
        <f t="shared" si="269"/>
        <v>0</v>
      </c>
      <c r="AZ5719" s="46">
        <f t="shared" si="270"/>
        <v>0</v>
      </c>
    </row>
    <row r="5720" spans="50:52">
      <c r="AX5720" s="46">
        <f t="shared" si="268"/>
        <v>0</v>
      </c>
      <c r="AY5720" s="46">
        <f t="shared" si="269"/>
        <v>0</v>
      </c>
      <c r="AZ5720" s="46">
        <f t="shared" si="270"/>
        <v>0</v>
      </c>
    </row>
    <row r="5721" spans="50:52">
      <c r="AX5721" s="46">
        <f t="shared" si="268"/>
        <v>0</v>
      </c>
      <c r="AY5721" s="46">
        <f t="shared" si="269"/>
        <v>0</v>
      </c>
      <c r="AZ5721" s="46">
        <f t="shared" si="270"/>
        <v>0</v>
      </c>
    </row>
    <row r="5722" spans="50:52">
      <c r="AX5722" s="46">
        <f t="shared" si="268"/>
        <v>0</v>
      </c>
      <c r="AY5722" s="46">
        <f t="shared" si="269"/>
        <v>0</v>
      </c>
      <c r="AZ5722" s="46">
        <f t="shared" si="270"/>
        <v>0</v>
      </c>
    </row>
    <row r="5723" spans="50:52">
      <c r="AX5723" s="46">
        <f t="shared" si="268"/>
        <v>0</v>
      </c>
      <c r="AY5723" s="46">
        <f t="shared" si="269"/>
        <v>0</v>
      </c>
      <c r="AZ5723" s="46">
        <f t="shared" si="270"/>
        <v>0</v>
      </c>
    </row>
    <row r="5724" spans="50:52">
      <c r="AX5724" s="46">
        <f t="shared" si="268"/>
        <v>0</v>
      </c>
      <c r="AY5724" s="46">
        <f t="shared" si="269"/>
        <v>0</v>
      </c>
      <c r="AZ5724" s="46">
        <f t="shared" si="270"/>
        <v>0</v>
      </c>
    </row>
    <row r="5725" spans="50:52">
      <c r="AX5725" s="46">
        <f t="shared" si="268"/>
        <v>0</v>
      </c>
      <c r="AY5725" s="46">
        <f t="shared" si="269"/>
        <v>0</v>
      </c>
      <c r="AZ5725" s="46">
        <f t="shared" si="270"/>
        <v>0</v>
      </c>
    </row>
    <row r="5726" spans="50:52">
      <c r="AX5726" s="46">
        <f t="shared" si="268"/>
        <v>0</v>
      </c>
      <c r="AY5726" s="46">
        <f t="shared" si="269"/>
        <v>0</v>
      </c>
      <c r="AZ5726" s="46">
        <f t="shared" si="270"/>
        <v>0</v>
      </c>
    </row>
    <row r="5727" spans="50:52">
      <c r="AX5727" s="46">
        <f t="shared" si="268"/>
        <v>0</v>
      </c>
      <c r="AY5727" s="46">
        <f t="shared" si="269"/>
        <v>0</v>
      </c>
      <c r="AZ5727" s="46">
        <f t="shared" si="270"/>
        <v>0</v>
      </c>
    </row>
    <row r="5728" spans="50:52">
      <c r="AX5728" s="46">
        <f t="shared" si="268"/>
        <v>0</v>
      </c>
      <c r="AY5728" s="46">
        <f t="shared" si="269"/>
        <v>0</v>
      </c>
      <c r="AZ5728" s="46">
        <f t="shared" si="270"/>
        <v>0</v>
      </c>
    </row>
    <row r="5729" spans="50:52">
      <c r="AX5729" s="46">
        <f t="shared" si="268"/>
        <v>0</v>
      </c>
      <c r="AY5729" s="46">
        <f t="shared" si="269"/>
        <v>0</v>
      </c>
      <c r="AZ5729" s="46">
        <f t="shared" si="270"/>
        <v>0</v>
      </c>
    </row>
    <row r="5730" spans="50:52">
      <c r="AX5730" s="46">
        <f t="shared" si="268"/>
        <v>0</v>
      </c>
      <c r="AY5730" s="46">
        <f t="shared" si="269"/>
        <v>0</v>
      </c>
      <c r="AZ5730" s="46">
        <f t="shared" si="270"/>
        <v>0</v>
      </c>
    </row>
    <row r="5731" spans="50:52">
      <c r="AX5731" s="46">
        <f t="shared" si="268"/>
        <v>0</v>
      </c>
      <c r="AY5731" s="46">
        <f t="shared" si="269"/>
        <v>0</v>
      </c>
      <c r="AZ5731" s="46">
        <f t="shared" si="270"/>
        <v>0</v>
      </c>
    </row>
    <row r="5732" spans="50:52">
      <c r="AX5732" s="46">
        <f t="shared" si="268"/>
        <v>0</v>
      </c>
      <c r="AY5732" s="46">
        <f t="shared" si="269"/>
        <v>0</v>
      </c>
      <c r="AZ5732" s="46">
        <f t="shared" si="270"/>
        <v>0</v>
      </c>
    </row>
    <row r="5733" spans="50:52">
      <c r="AX5733" s="46">
        <f t="shared" si="268"/>
        <v>0</v>
      </c>
      <c r="AY5733" s="46">
        <f t="shared" si="269"/>
        <v>0</v>
      </c>
      <c r="AZ5733" s="46">
        <f t="shared" si="270"/>
        <v>0</v>
      </c>
    </row>
    <row r="5734" spans="50:52">
      <c r="AX5734" s="46">
        <f t="shared" si="268"/>
        <v>0</v>
      </c>
      <c r="AY5734" s="46">
        <f t="shared" si="269"/>
        <v>0</v>
      </c>
      <c r="AZ5734" s="46">
        <f t="shared" si="270"/>
        <v>0</v>
      </c>
    </row>
    <row r="5735" spans="50:52">
      <c r="AX5735" s="46">
        <f t="shared" si="268"/>
        <v>0</v>
      </c>
      <c r="AY5735" s="46">
        <f t="shared" si="269"/>
        <v>0</v>
      </c>
      <c r="AZ5735" s="46">
        <f t="shared" si="270"/>
        <v>0</v>
      </c>
    </row>
    <row r="5736" spans="50:52">
      <c r="AX5736" s="46">
        <f t="shared" si="268"/>
        <v>0</v>
      </c>
      <c r="AY5736" s="46">
        <f t="shared" si="269"/>
        <v>0</v>
      </c>
      <c r="AZ5736" s="46">
        <f t="shared" si="270"/>
        <v>0</v>
      </c>
    </row>
    <row r="5737" spans="50:52">
      <c r="AX5737" s="46">
        <f t="shared" si="268"/>
        <v>0</v>
      </c>
      <c r="AY5737" s="46">
        <f t="shared" si="269"/>
        <v>0</v>
      </c>
      <c r="AZ5737" s="46">
        <f t="shared" si="270"/>
        <v>0</v>
      </c>
    </row>
    <row r="5738" spans="50:52">
      <c r="AX5738" s="46">
        <f t="shared" si="268"/>
        <v>0</v>
      </c>
      <c r="AY5738" s="46">
        <f t="shared" si="269"/>
        <v>0</v>
      </c>
      <c r="AZ5738" s="46">
        <f t="shared" si="270"/>
        <v>0</v>
      </c>
    </row>
    <row r="5739" spans="50:52">
      <c r="AX5739" s="46">
        <f t="shared" si="268"/>
        <v>0</v>
      </c>
      <c r="AY5739" s="46">
        <f t="shared" si="269"/>
        <v>0</v>
      </c>
      <c r="AZ5739" s="46">
        <f t="shared" si="270"/>
        <v>0</v>
      </c>
    </row>
    <row r="5740" spans="50:52">
      <c r="AX5740" s="46">
        <f t="shared" si="268"/>
        <v>0</v>
      </c>
      <c r="AY5740" s="46">
        <f t="shared" si="269"/>
        <v>0</v>
      </c>
      <c r="AZ5740" s="46">
        <f t="shared" si="270"/>
        <v>0</v>
      </c>
    </row>
    <row r="5741" spans="50:52">
      <c r="AX5741" s="46">
        <f t="shared" si="268"/>
        <v>0</v>
      </c>
      <c r="AY5741" s="46">
        <f t="shared" si="269"/>
        <v>0</v>
      </c>
      <c r="AZ5741" s="46">
        <f t="shared" si="270"/>
        <v>0</v>
      </c>
    </row>
    <row r="5742" spans="50:52">
      <c r="AX5742" s="46">
        <f t="shared" si="268"/>
        <v>0</v>
      </c>
      <c r="AY5742" s="46">
        <f t="shared" si="269"/>
        <v>0</v>
      </c>
      <c r="AZ5742" s="46">
        <f t="shared" si="270"/>
        <v>0</v>
      </c>
    </row>
    <row r="5743" spans="50:52">
      <c r="AX5743" s="46">
        <f t="shared" si="268"/>
        <v>0</v>
      </c>
      <c r="AY5743" s="46">
        <f t="shared" si="269"/>
        <v>0</v>
      </c>
      <c r="AZ5743" s="46">
        <f t="shared" si="270"/>
        <v>0</v>
      </c>
    </row>
    <row r="5744" spans="50:52">
      <c r="AX5744" s="46">
        <f t="shared" si="268"/>
        <v>0</v>
      </c>
      <c r="AY5744" s="46">
        <f t="shared" si="269"/>
        <v>0</v>
      </c>
      <c r="AZ5744" s="46">
        <f t="shared" si="270"/>
        <v>0</v>
      </c>
    </row>
    <row r="5745" spans="50:52">
      <c r="AX5745" s="46">
        <f t="shared" si="268"/>
        <v>0</v>
      </c>
      <c r="AY5745" s="46">
        <f t="shared" si="269"/>
        <v>0</v>
      </c>
      <c r="AZ5745" s="46">
        <f t="shared" si="270"/>
        <v>0</v>
      </c>
    </row>
    <row r="5746" spans="50:52">
      <c r="AX5746" s="46">
        <f t="shared" si="268"/>
        <v>0</v>
      </c>
      <c r="AY5746" s="46">
        <f t="shared" si="269"/>
        <v>0</v>
      </c>
      <c r="AZ5746" s="46">
        <f t="shared" si="270"/>
        <v>0</v>
      </c>
    </row>
    <row r="5747" spans="50:52">
      <c r="AX5747" s="46">
        <f t="shared" si="268"/>
        <v>0</v>
      </c>
      <c r="AY5747" s="46">
        <f t="shared" si="269"/>
        <v>0</v>
      </c>
      <c r="AZ5747" s="46">
        <f t="shared" si="270"/>
        <v>0</v>
      </c>
    </row>
    <row r="5748" spans="50:52">
      <c r="AX5748" s="46">
        <f t="shared" si="268"/>
        <v>0</v>
      </c>
      <c r="AY5748" s="46">
        <f t="shared" si="269"/>
        <v>0</v>
      </c>
      <c r="AZ5748" s="46">
        <f t="shared" si="270"/>
        <v>0</v>
      </c>
    </row>
    <row r="5749" spans="50:52">
      <c r="AX5749" s="46">
        <f t="shared" si="268"/>
        <v>0</v>
      </c>
      <c r="AY5749" s="46">
        <f t="shared" si="269"/>
        <v>0</v>
      </c>
      <c r="AZ5749" s="46">
        <f t="shared" si="270"/>
        <v>0</v>
      </c>
    </row>
    <row r="5750" spans="50:52">
      <c r="AX5750" s="46">
        <f t="shared" si="268"/>
        <v>0</v>
      </c>
      <c r="AY5750" s="46">
        <f t="shared" si="269"/>
        <v>0</v>
      </c>
      <c r="AZ5750" s="46">
        <f t="shared" si="270"/>
        <v>0</v>
      </c>
    </row>
    <row r="5751" spans="50:52">
      <c r="AX5751" s="46">
        <f t="shared" si="268"/>
        <v>0</v>
      </c>
      <c r="AY5751" s="46">
        <f t="shared" si="269"/>
        <v>0</v>
      </c>
      <c r="AZ5751" s="46">
        <f t="shared" si="270"/>
        <v>0</v>
      </c>
    </row>
    <row r="5752" spans="50:52">
      <c r="AX5752" s="46">
        <f t="shared" si="268"/>
        <v>0</v>
      </c>
      <c r="AY5752" s="46">
        <f t="shared" si="269"/>
        <v>0</v>
      </c>
      <c r="AZ5752" s="46">
        <f t="shared" si="270"/>
        <v>0</v>
      </c>
    </row>
    <row r="5753" spans="50:52">
      <c r="AX5753" s="46">
        <f t="shared" si="268"/>
        <v>0</v>
      </c>
      <c r="AY5753" s="46">
        <f t="shared" si="269"/>
        <v>0</v>
      </c>
      <c r="AZ5753" s="46">
        <f t="shared" si="270"/>
        <v>0</v>
      </c>
    </row>
    <row r="5754" spans="50:52">
      <c r="AX5754" s="46">
        <f t="shared" si="268"/>
        <v>0</v>
      </c>
      <c r="AY5754" s="46">
        <f t="shared" si="269"/>
        <v>0</v>
      </c>
      <c r="AZ5754" s="46">
        <f t="shared" si="270"/>
        <v>0</v>
      </c>
    </row>
    <row r="5755" spans="50:52">
      <c r="AX5755" s="46">
        <f t="shared" si="268"/>
        <v>0</v>
      </c>
      <c r="AY5755" s="46">
        <f t="shared" si="269"/>
        <v>0</v>
      </c>
      <c r="AZ5755" s="46">
        <f t="shared" si="270"/>
        <v>0</v>
      </c>
    </row>
    <row r="5756" spans="50:52">
      <c r="AX5756" s="46">
        <f t="shared" si="268"/>
        <v>0</v>
      </c>
      <c r="AY5756" s="46">
        <f t="shared" si="269"/>
        <v>0</v>
      </c>
      <c r="AZ5756" s="46">
        <f t="shared" si="270"/>
        <v>0</v>
      </c>
    </row>
    <row r="5757" spans="50:52">
      <c r="AX5757" s="46">
        <f t="shared" si="268"/>
        <v>0</v>
      </c>
      <c r="AY5757" s="46">
        <f t="shared" si="269"/>
        <v>0</v>
      </c>
      <c r="AZ5757" s="46">
        <f t="shared" si="270"/>
        <v>0</v>
      </c>
    </row>
    <row r="5758" spans="50:52">
      <c r="AX5758" s="46">
        <f t="shared" si="268"/>
        <v>0</v>
      </c>
      <c r="AY5758" s="46">
        <f t="shared" si="269"/>
        <v>0</v>
      </c>
      <c r="AZ5758" s="46">
        <f t="shared" si="270"/>
        <v>0</v>
      </c>
    </row>
    <row r="5759" spans="50:52">
      <c r="AX5759" s="46">
        <f t="shared" si="268"/>
        <v>0</v>
      </c>
      <c r="AY5759" s="46">
        <f t="shared" si="269"/>
        <v>0</v>
      </c>
      <c r="AZ5759" s="46">
        <f t="shared" si="270"/>
        <v>0</v>
      </c>
    </row>
    <row r="5760" spans="50:52">
      <c r="AX5760" s="46">
        <f t="shared" si="268"/>
        <v>0</v>
      </c>
      <c r="AY5760" s="46">
        <f t="shared" si="269"/>
        <v>0</v>
      </c>
      <c r="AZ5760" s="46">
        <f t="shared" si="270"/>
        <v>0</v>
      </c>
    </row>
    <row r="5761" spans="50:52">
      <c r="AX5761" s="46">
        <f t="shared" si="268"/>
        <v>0</v>
      </c>
      <c r="AY5761" s="46">
        <f t="shared" si="269"/>
        <v>0</v>
      </c>
      <c r="AZ5761" s="46">
        <f t="shared" si="270"/>
        <v>0</v>
      </c>
    </row>
    <row r="5762" spans="50:52">
      <c r="AX5762" s="46">
        <f t="shared" si="268"/>
        <v>0</v>
      </c>
      <c r="AY5762" s="46">
        <f t="shared" si="269"/>
        <v>0</v>
      </c>
      <c r="AZ5762" s="46">
        <f t="shared" si="270"/>
        <v>0</v>
      </c>
    </row>
    <row r="5763" spans="50:52">
      <c r="AX5763" s="46">
        <f t="shared" si="268"/>
        <v>0</v>
      </c>
      <c r="AY5763" s="46">
        <f t="shared" si="269"/>
        <v>0</v>
      </c>
      <c r="AZ5763" s="46">
        <f t="shared" si="270"/>
        <v>0</v>
      </c>
    </row>
    <row r="5764" spans="50:52">
      <c r="AX5764" s="46">
        <f t="shared" si="268"/>
        <v>0</v>
      </c>
      <c r="AY5764" s="46">
        <f t="shared" si="269"/>
        <v>0</v>
      </c>
      <c r="AZ5764" s="46">
        <f t="shared" si="270"/>
        <v>0</v>
      </c>
    </row>
    <row r="5765" spans="50:52">
      <c r="AX5765" s="46">
        <f t="shared" si="268"/>
        <v>0</v>
      </c>
      <c r="AY5765" s="46">
        <f t="shared" si="269"/>
        <v>0</v>
      </c>
      <c r="AZ5765" s="46">
        <f t="shared" si="270"/>
        <v>0</v>
      </c>
    </row>
    <row r="5766" spans="50:52">
      <c r="AX5766" s="46">
        <f t="shared" si="268"/>
        <v>0</v>
      </c>
      <c r="AY5766" s="46">
        <f t="shared" si="269"/>
        <v>0</v>
      </c>
      <c r="AZ5766" s="46">
        <f t="shared" si="270"/>
        <v>0</v>
      </c>
    </row>
    <row r="5767" spans="50:52">
      <c r="AX5767" s="46">
        <f t="shared" si="268"/>
        <v>0</v>
      </c>
      <c r="AY5767" s="46">
        <f t="shared" si="269"/>
        <v>0</v>
      </c>
      <c r="AZ5767" s="46">
        <f t="shared" si="270"/>
        <v>0</v>
      </c>
    </row>
    <row r="5768" spans="50:52">
      <c r="AX5768" s="46">
        <f t="shared" si="268"/>
        <v>0</v>
      </c>
      <c r="AY5768" s="46">
        <f t="shared" si="269"/>
        <v>0</v>
      </c>
      <c r="AZ5768" s="46">
        <f t="shared" si="270"/>
        <v>0</v>
      </c>
    </row>
    <row r="5769" spans="50:52">
      <c r="AX5769" s="46">
        <f t="shared" si="268"/>
        <v>0</v>
      </c>
      <c r="AY5769" s="46">
        <f t="shared" si="269"/>
        <v>0</v>
      </c>
      <c r="AZ5769" s="46">
        <f t="shared" si="270"/>
        <v>0</v>
      </c>
    </row>
    <row r="5770" spans="50:52">
      <c r="AX5770" s="46">
        <f t="shared" si="268"/>
        <v>0</v>
      </c>
      <c r="AY5770" s="46">
        <f t="shared" si="269"/>
        <v>0</v>
      </c>
      <c r="AZ5770" s="46">
        <f t="shared" si="270"/>
        <v>0</v>
      </c>
    </row>
    <row r="5771" spans="50:52">
      <c r="AX5771" s="46">
        <f t="shared" ref="AX5771:AX5834" si="271">IFERROR(SUM(Q5771:AS5771)-SUM(AT5771:AU5771)+AV5771,"-")</f>
        <v>0</v>
      </c>
      <c r="AY5771" s="46">
        <f t="shared" ref="AY5771:AY5834" si="272">IFERROR(SUM(Q5771:AS5771)-SUM(AT5771:AT5771),"-")</f>
        <v>0</v>
      </c>
      <c r="AZ5771" s="46">
        <f t="shared" ref="AZ5771:AZ5834" si="273">SUM(Q5771:AS5771)</f>
        <v>0</v>
      </c>
    </row>
    <row r="5772" spans="50:52">
      <c r="AX5772" s="46">
        <f t="shared" si="271"/>
        <v>0</v>
      </c>
      <c r="AY5772" s="46">
        <f t="shared" si="272"/>
        <v>0</v>
      </c>
      <c r="AZ5772" s="46">
        <f t="shared" si="273"/>
        <v>0</v>
      </c>
    </row>
    <row r="5773" spans="50:52">
      <c r="AX5773" s="46">
        <f t="shared" si="271"/>
        <v>0</v>
      </c>
      <c r="AY5773" s="46">
        <f t="shared" si="272"/>
        <v>0</v>
      </c>
      <c r="AZ5773" s="46">
        <f t="shared" si="273"/>
        <v>0</v>
      </c>
    </row>
    <row r="5774" spans="50:52">
      <c r="AX5774" s="46">
        <f t="shared" si="271"/>
        <v>0</v>
      </c>
      <c r="AY5774" s="46">
        <f t="shared" si="272"/>
        <v>0</v>
      </c>
      <c r="AZ5774" s="46">
        <f t="shared" si="273"/>
        <v>0</v>
      </c>
    </row>
    <row r="5775" spans="50:52">
      <c r="AX5775" s="46">
        <f t="shared" si="271"/>
        <v>0</v>
      </c>
      <c r="AY5775" s="46">
        <f t="shared" si="272"/>
        <v>0</v>
      </c>
      <c r="AZ5775" s="46">
        <f t="shared" si="273"/>
        <v>0</v>
      </c>
    </row>
    <row r="5776" spans="50:52">
      <c r="AX5776" s="46">
        <f t="shared" si="271"/>
        <v>0</v>
      </c>
      <c r="AY5776" s="46">
        <f t="shared" si="272"/>
        <v>0</v>
      </c>
      <c r="AZ5776" s="46">
        <f t="shared" si="273"/>
        <v>0</v>
      </c>
    </row>
    <row r="5777" spans="50:52">
      <c r="AX5777" s="46">
        <f t="shared" si="271"/>
        <v>0</v>
      </c>
      <c r="AY5777" s="46">
        <f t="shared" si="272"/>
        <v>0</v>
      </c>
      <c r="AZ5777" s="46">
        <f t="shared" si="273"/>
        <v>0</v>
      </c>
    </row>
    <row r="5778" spans="50:52">
      <c r="AX5778" s="46">
        <f t="shared" si="271"/>
        <v>0</v>
      </c>
      <c r="AY5778" s="46">
        <f t="shared" si="272"/>
        <v>0</v>
      </c>
      <c r="AZ5778" s="46">
        <f t="shared" si="273"/>
        <v>0</v>
      </c>
    </row>
    <row r="5779" spans="50:52">
      <c r="AX5779" s="46">
        <f t="shared" si="271"/>
        <v>0</v>
      </c>
      <c r="AY5779" s="46">
        <f t="shared" si="272"/>
        <v>0</v>
      </c>
      <c r="AZ5779" s="46">
        <f t="shared" si="273"/>
        <v>0</v>
      </c>
    </row>
    <row r="5780" spans="50:52">
      <c r="AX5780" s="46">
        <f t="shared" si="271"/>
        <v>0</v>
      </c>
      <c r="AY5780" s="46">
        <f t="shared" si="272"/>
        <v>0</v>
      </c>
      <c r="AZ5780" s="46">
        <f t="shared" si="273"/>
        <v>0</v>
      </c>
    </row>
    <row r="5781" spans="50:52">
      <c r="AX5781" s="46">
        <f t="shared" si="271"/>
        <v>0</v>
      </c>
      <c r="AY5781" s="46">
        <f t="shared" si="272"/>
        <v>0</v>
      </c>
      <c r="AZ5781" s="46">
        <f t="shared" si="273"/>
        <v>0</v>
      </c>
    </row>
    <row r="5782" spans="50:52">
      <c r="AX5782" s="46">
        <f t="shared" si="271"/>
        <v>0</v>
      </c>
      <c r="AY5782" s="46">
        <f t="shared" si="272"/>
        <v>0</v>
      </c>
      <c r="AZ5782" s="46">
        <f t="shared" si="273"/>
        <v>0</v>
      </c>
    </row>
    <row r="5783" spans="50:52">
      <c r="AX5783" s="46">
        <f t="shared" si="271"/>
        <v>0</v>
      </c>
      <c r="AY5783" s="46">
        <f t="shared" si="272"/>
        <v>0</v>
      </c>
      <c r="AZ5783" s="46">
        <f t="shared" si="273"/>
        <v>0</v>
      </c>
    </row>
    <row r="5784" spans="50:52">
      <c r="AX5784" s="46">
        <f t="shared" si="271"/>
        <v>0</v>
      </c>
      <c r="AY5784" s="46">
        <f t="shared" si="272"/>
        <v>0</v>
      </c>
      <c r="AZ5784" s="46">
        <f t="shared" si="273"/>
        <v>0</v>
      </c>
    </row>
    <row r="5785" spans="50:52">
      <c r="AX5785" s="46">
        <f t="shared" si="271"/>
        <v>0</v>
      </c>
      <c r="AY5785" s="46">
        <f t="shared" si="272"/>
        <v>0</v>
      </c>
      <c r="AZ5785" s="46">
        <f t="shared" si="273"/>
        <v>0</v>
      </c>
    </row>
    <row r="5786" spans="50:52">
      <c r="AX5786" s="46">
        <f t="shared" si="271"/>
        <v>0</v>
      </c>
      <c r="AY5786" s="46">
        <f t="shared" si="272"/>
        <v>0</v>
      </c>
      <c r="AZ5786" s="46">
        <f t="shared" si="273"/>
        <v>0</v>
      </c>
    </row>
    <row r="5787" spans="50:52">
      <c r="AX5787" s="46">
        <f t="shared" si="271"/>
        <v>0</v>
      </c>
      <c r="AY5787" s="46">
        <f t="shared" si="272"/>
        <v>0</v>
      </c>
      <c r="AZ5787" s="46">
        <f t="shared" si="273"/>
        <v>0</v>
      </c>
    </row>
    <row r="5788" spans="50:52">
      <c r="AX5788" s="46">
        <f t="shared" si="271"/>
        <v>0</v>
      </c>
      <c r="AY5788" s="46">
        <f t="shared" si="272"/>
        <v>0</v>
      </c>
      <c r="AZ5788" s="46">
        <f t="shared" si="273"/>
        <v>0</v>
      </c>
    </row>
    <row r="5789" spans="50:52">
      <c r="AX5789" s="46">
        <f t="shared" si="271"/>
        <v>0</v>
      </c>
      <c r="AY5789" s="46">
        <f t="shared" si="272"/>
        <v>0</v>
      </c>
      <c r="AZ5789" s="46">
        <f t="shared" si="273"/>
        <v>0</v>
      </c>
    </row>
    <row r="5790" spans="50:52">
      <c r="AX5790" s="46">
        <f t="shared" si="271"/>
        <v>0</v>
      </c>
      <c r="AY5790" s="46">
        <f t="shared" si="272"/>
        <v>0</v>
      </c>
      <c r="AZ5790" s="46">
        <f t="shared" si="273"/>
        <v>0</v>
      </c>
    </row>
    <row r="5791" spans="50:52">
      <c r="AX5791" s="46">
        <f t="shared" si="271"/>
        <v>0</v>
      </c>
      <c r="AY5791" s="46">
        <f t="shared" si="272"/>
        <v>0</v>
      </c>
      <c r="AZ5791" s="46">
        <f t="shared" si="273"/>
        <v>0</v>
      </c>
    </row>
    <row r="5792" spans="50:52">
      <c r="AX5792" s="46">
        <f t="shared" si="271"/>
        <v>0</v>
      </c>
      <c r="AY5792" s="46">
        <f t="shared" si="272"/>
        <v>0</v>
      </c>
      <c r="AZ5792" s="46">
        <f t="shared" si="273"/>
        <v>0</v>
      </c>
    </row>
    <row r="5793" spans="50:52">
      <c r="AX5793" s="46">
        <f t="shared" si="271"/>
        <v>0</v>
      </c>
      <c r="AY5793" s="46">
        <f t="shared" si="272"/>
        <v>0</v>
      </c>
      <c r="AZ5793" s="46">
        <f t="shared" si="273"/>
        <v>0</v>
      </c>
    </row>
    <row r="5794" spans="50:52">
      <c r="AX5794" s="46">
        <f t="shared" si="271"/>
        <v>0</v>
      </c>
      <c r="AY5794" s="46">
        <f t="shared" si="272"/>
        <v>0</v>
      </c>
      <c r="AZ5794" s="46">
        <f t="shared" si="273"/>
        <v>0</v>
      </c>
    </row>
    <row r="5795" spans="50:52">
      <c r="AX5795" s="46">
        <f t="shared" si="271"/>
        <v>0</v>
      </c>
      <c r="AY5795" s="46">
        <f t="shared" si="272"/>
        <v>0</v>
      </c>
      <c r="AZ5795" s="46">
        <f t="shared" si="273"/>
        <v>0</v>
      </c>
    </row>
    <row r="5796" spans="50:52">
      <c r="AX5796" s="46">
        <f t="shared" si="271"/>
        <v>0</v>
      </c>
      <c r="AY5796" s="46">
        <f t="shared" si="272"/>
        <v>0</v>
      </c>
      <c r="AZ5796" s="46">
        <f t="shared" si="273"/>
        <v>0</v>
      </c>
    </row>
    <row r="5797" spans="50:52">
      <c r="AX5797" s="46">
        <f t="shared" si="271"/>
        <v>0</v>
      </c>
      <c r="AY5797" s="46">
        <f t="shared" si="272"/>
        <v>0</v>
      </c>
      <c r="AZ5797" s="46">
        <f t="shared" si="273"/>
        <v>0</v>
      </c>
    </row>
    <row r="5798" spans="50:52">
      <c r="AX5798" s="46">
        <f t="shared" si="271"/>
        <v>0</v>
      </c>
      <c r="AY5798" s="46">
        <f t="shared" si="272"/>
        <v>0</v>
      </c>
      <c r="AZ5798" s="46">
        <f t="shared" si="273"/>
        <v>0</v>
      </c>
    </row>
    <row r="5799" spans="50:52">
      <c r="AX5799" s="46">
        <f t="shared" si="271"/>
        <v>0</v>
      </c>
      <c r="AY5799" s="46">
        <f t="shared" si="272"/>
        <v>0</v>
      </c>
      <c r="AZ5799" s="46">
        <f t="shared" si="273"/>
        <v>0</v>
      </c>
    </row>
    <row r="5800" spans="50:52">
      <c r="AX5800" s="46">
        <f t="shared" si="271"/>
        <v>0</v>
      </c>
      <c r="AY5800" s="46">
        <f t="shared" si="272"/>
        <v>0</v>
      </c>
      <c r="AZ5800" s="46">
        <f t="shared" si="273"/>
        <v>0</v>
      </c>
    </row>
    <row r="5801" spans="50:52">
      <c r="AX5801" s="46">
        <f t="shared" si="271"/>
        <v>0</v>
      </c>
      <c r="AY5801" s="46">
        <f t="shared" si="272"/>
        <v>0</v>
      </c>
      <c r="AZ5801" s="46">
        <f t="shared" si="273"/>
        <v>0</v>
      </c>
    </row>
    <row r="5802" spans="50:52">
      <c r="AX5802" s="46">
        <f t="shared" si="271"/>
        <v>0</v>
      </c>
      <c r="AY5802" s="46">
        <f t="shared" si="272"/>
        <v>0</v>
      </c>
      <c r="AZ5802" s="46">
        <f t="shared" si="273"/>
        <v>0</v>
      </c>
    </row>
    <row r="5803" spans="50:52">
      <c r="AX5803" s="46">
        <f t="shared" si="271"/>
        <v>0</v>
      </c>
      <c r="AY5803" s="46">
        <f t="shared" si="272"/>
        <v>0</v>
      </c>
      <c r="AZ5803" s="46">
        <f t="shared" si="273"/>
        <v>0</v>
      </c>
    </row>
    <row r="5804" spans="50:52">
      <c r="AX5804" s="46">
        <f t="shared" si="271"/>
        <v>0</v>
      </c>
      <c r="AY5804" s="46">
        <f t="shared" si="272"/>
        <v>0</v>
      </c>
      <c r="AZ5804" s="46">
        <f t="shared" si="273"/>
        <v>0</v>
      </c>
    </row>
    <row r="5805" spans="50:52">
      <c r="AX5805" s="46">
        <f t="shared" si="271"/>
        <v>0</v>
      </c>
      <c r="AY5805" s="46">
        <f t="shared" si="272"/>
        <v>0</v>
      </c>
      <c r="AZ5805" s="46">
        <f t="shared" si="273"/>
        <v>0</v>
      </c>
    </row>
    <row r="5806" spans="50:52">
      <c r="AX5806" s="46">
        <f t="shared" si="271"/>
        <v>0</v>
      </c>
      <c r="AY5806" s="46">
        <f t="shared" si="272"/>
        <v>0</v>
      </c>
      <c r="AZ5806" s="46">
        <f t="shared" si="273"/>
        <v>0</v>
      </c>
    </row>
    <row r="5807" spans="50:52">
      <c r="AX5807" s="46">
        <f t="shared" si="271"/>
        <v>0</v>
      </c>
      <c r="AY5807" s="46">
        <f t="shared" si="272"/>
        <v>0</v>
      </c>
      <c r="AZ5807" s="46">
        <f t="shared" si="273"/>
        <v>0</v>
      </c>
    </row>
    <row r="5808" spans="50:52">
      <c r="AX5808" s="46">
        <f t="shared" si="271"/>
        <v>0</v>
      </c>
      <c r="AY5808" s="46">
        <f t="shared" si="272"/>
        <v>0</v>
      </c>
      <c r="AZ5808" s="46">
        <f t="shared" si="273"/>
        <v>0</v>
      </c>
    </row>
    <row r="5809" spans="50:52">
      <c r="AX5809" s="46">
        <f t="shared" si="271"/>
        <v>0</v>
      </c>
      <c r="AY5809" s="46">
        <f t="shared" si="272"/>
        <v>0</v>
      </c>
      <c r="AZ5809" s="46">
        <f t="shared" si="273"/>
        <v>0</v>
      </c>
    </row>
    <row r="5810" spans="50:52">
      <c r="AX5810" s="46">
        <f t="shared" si="271"/>
        <v>0</v>
      </c>
      <c r="AY5810" s="46">
        <f t="shared" si="272"/>
        <v>0</v>
      </c>
      <c r="AZ5810" s="46">
        <f t="shared" si="273"/>
        <v>0</v>
      </c>
    </row>
    <row r="5811" spans="50:52">
      <c r="AX5811" s="46">
        <f t="shared" si="271"/>
        <v>0</v>
      </c>
      <c r="AY5811" s="46">
        <f t="shared" si="272"/>
        <v>0</v>
      </c>
      <c r="AZ5811" s="46">
        <f t="shared" si="273"/>
        <v>0</v>
      </c>
    </row>
    <row r="5812" spans="50:52">
      <c r="AX5812" s="46">
        <f t="shared" si="271"/>
        <v>0</v>
      </c>
      <c r="AY5812" s="46">
        <f t="shared" si="272"/>
        <v>0</v>
      </c>
      <c r="AZ5812" s="46">
        <f t="shared" si="273"/>
        <v>0</v>
      </c>
    </row>
    <row r="5813" spans="50:52">
      <c r="AX5813" s="46">
        <f t="shared" si="271"/>
        <v>0</v>
      </c>
      <c r="AY5813" s="46">
        <f t="shared" si="272"/>
        <v>0</v>
      </c>
      <c r="AZ5813" s="46">
        <f t="shared" si="273"/>
        <v>0</v>
      </c>
    </row>
    <row r="5814" spans="50:52">
      <c r="AX5814" s="46">
        <f t="shared" si="271"/>
        <v>0</v>
      </c>
      <c r="AY5814" s="46">
        <f t="shared" si="272"/>
        <v>0</v>
      </c>
      <c r="AZ5814" s="46">
        <f t="shared" si="273"/>
        <v>0</v>
      </c>
    </row>
    <row r="5815" spans="50:52">
      <c r="AX5815" s="46">
        <f t="shared" si="271"/>
        <v>0</v>
      </c>
      <c r="AY5815" s="46">
        <f t="shared" si="272"/>
        <v>0</v>
      </c>
      <c r="AZ5815" s="46">
        <f t="shared" si="273"/>
        <v>0</v>
      </c>
    </row>
    <row r="5816" spans="50:52">
      <c r="AX5816" s="46">
        <f t="shared" si="271"/>
        <v>0</v>
      </c>
      <c r="AY5816" s="46">
        <f t="shared" si="272"/>
        <v>0</v>
      </c>
      <c r="AZ5816" s="46">
        <f t="shared" si="273"/>
        <v>0</v>
      </c>
    </row>
    <row r="5817" spans="50:52">
      <c r="AX5817" s="46">
        <f t="shared" si="271"/>
        <v>0</v>
      </c>
      <c r="AY5817" s="46">
        <f t="shared" si="272"/>
        <v>0</v>
      </c>
      <c r="AZ5817" s="46">
        <f t="shared" si="273"/>
        <v>0</v>
      </c>
    </row>
    <row r="5818" spans="50:52">
      <c r="AX5818" s="46">
        <f t="shared" si="271"/>
        <v>0</v>
      </c>
      <c r="AY5818" s="46">
        <f t="shared" si="272"/>
        <v>0</v>
      </c>
      <c r="AZ5818" s="46">
        <f t="shared" si="273"/>
        <v>0</v>
      </c>
    </row>
    <row r="5819" spans="50:52">
      <c r="AX5819" s="46">
        <f t="shared" si="271"/>
        <v>0</v>
      </c>
      <c r="AY5819" s="46">
        <f t="shared" si="272"/>
        <v>0</v>
      </c>
      <c r="AZ5819" s="46">
        <f t="shared" si="273"/>
        <v>0</v>
      </c>
    </row>
    <row r="5820" spans="50:52">
      <c r="AX5820" s="46">
        <f t="shared" si="271"/>
        <v>0</v>
      </c>
      <c r="AY5820" s="46">
        <f t="shared" si="272"/>
        <v>0</v>
      </c>
      <c r="AZ5820" s="46">
        <f t="shared" si="273"/>
        <v>0</v>
      </c>
    </row>
    <row r="5821" spans="50:52">
      <c r="AX5821" s="46">
        <f t="shared" si="271"/>
        <v>0</v>
      </c>
      <c r="AY5821" s="46">
        <f t="shared" si="272"/>
        <v>0</v>
      </c>
      <c r="AZ5821" s="46">
        <f t="shared" si="273"/>
        <v>0</v>
      </c>
    </row>
    <row r="5822" spans="50:52">
      <c r="AX5822" s="46">
        <f t="shared" si="271"/>
        <v>0</v>
      </c>
      <c r="AY5822" s="46">
        <f t="shared" si="272"/>
        <v>0</v>
      </c>
      <c r="AZ5822" s="46">
        <f t="shared" si="273"/>
        <v>0</v>
      </c>
    </row>
    <row r="5823" spans="50:52">
      <c r="AX5823" s="46">
        <f t="shared" si="271"/>
        <v>0</v>
      </c>
      <c r="AY5823" s="46">
        <f t="shared" si="272"/>
        <v>0</v>
      </c>
      <c r="AZ5823" s="46">
        <f t="shared" si="273"/>
        <v>0</v>
      </c>
    </row>
    <row r="5824" spans="50:52">
      <c r="AX5824" s="46">
        <f t="shared" si="271"/>
        <v>0</v>
      </c>
      <c r="AY5824" s="46">
        <f t="shared" si="272"/>
        <v>0</v>
      </c>
      <c r="AZ5824" s="46">
        <f t="shared" si="273"/>
        <v>0</v>
      </c>
    </row>
    <row r="5825" spans="50:52">
      <c r="AX5825" s="46">
        <f t="shared" si="271"/>
        <v>0</v>
      </c>
      <c r="AY5825" s="46">
        <f t="shared" si="272"/>
        <v>0</v>
      </c>
      <c r="AZ5825" s="46">
        <f t="shared" si="273"/>
        <v>0</v>
      </c>
    </row>
    <row r="5826" spans="50:52">
      <c r="AX5826" s="46">
        <f t="shared" si="271"/>
        <v>0</v>
      </c>
      <c r="AY5826" s="46">
        <f t="shared" si="272"/>
        <v>0</v>
      </c>
      <c r="AZ5826" s="46">
        <f t="shared" si="273"/>
        <v>0</v>
      </c>
    </row>
    <row r="5827" spans="50:52">
      <c r="AX5827" s="46">
        <f t="shared" si="271"/>
        <v>0</v>
      </c>
      <c r="AY5827" s="46">
        <f t="shared" si="272"/>
        <v>0</v>
      </c>
      <c r="AZ5827" s="46">
        <f t="shared" si="273"/>
        <v>0</v>
      </c>
    </row>
    <row r="5828" spans="50:52">
      <c r="AX5828" s="46">
        <f t="shared" si="271"/>
        <v>0</v>
      </c>
      <c r="AY5828" s="46">
        <f t="shared" si="272"/>
        <v>0</v>
      </c>
      <c r="AZ5828" s="46">
        <f t="shared" si="273"/>
        <v>0</v>
      </c>
    </row>
    <row r="5829" spans="50:52">
      <c r="AX5829" s="46">
        <f t="shared" si="271"/>
        <v>0</v>
      </c>
      <c r="AY5829" s="46">
        <f t="shared" si="272"/>
        <v>0</v>
      </c>
      <c r="AZ5829" s="46">
        <f t="shared" si="273"/>
        <v>0</v>
      </c>
    </row>
    <row r="5830" spans="50:52">
      <c r="AX5830" s="46">
        <f t="shared" si="271"/>
        <v>0</v>
      </c>
      <c r="AY5830" s="46">
        <f t="shared" si="272"/>
        <v>0</v>
      </c>
      <c r="AZ5830" s="46">
        <f t="shared" si="273"/>
        <v>0</v>
      </c>
    </row>
    <row r="5831" spans="50:52">
      <c r="AX5831" s="46">
        <f t="shared" si="271"/>
        <v>0</v>
      </c>
      <c r="AY5831" s="46">
        <f t="shared" si="272"/>
        <v>0</v>
      </c>
      <c r="AZ5831" s="46">
        <f t="shared" si="273"/>
        <v>0</v>
      </c>
    </row>
    <row r="5832" spans="50:52">
      <c r="AX5832" s="46">
        <f t="shared" si="271"/>
        <v>0</v>
      </c>
      <c r="AY5832" s="46">
        <f t="shared" si="272"/>
        <v>0</v>
      </c>
      <c r="AZ5832" s="46">
        <f t="shared" si="273"/>
        <v>0</v>
      </c>
    </row>
    <row r="5833" spans="50:52">
      <c r="AX5833" s="46">
        <f t="shared" si="271"/>
        <v>0</v>
      </c>
      <c r="AY5833" s="46">
        <f t="shared" si="272"/>
        <v>0</v>
      </c>
      <c r="AZ5833" s="46">
        <f t="shared" si="273"/>
        <v>0</v>
      </c>
    </row>
    <row r="5834" spans="50:52">
      <c r="AX5834" s="46">
        <f t="shared" si="271"/>
        <v>0</v>
      </c>
      <c r="AY5834" s="46">
        <f t="shared" si="272"/>
        <v>0</v>
      </c>
      <c r="AZ5834" s="46">
        <f t="shared" si="273"/>
        <v>0</v>
      </c>
    </row>
    <row r="5835" spans="50:52">
      <c r="AX5835" s="46">
        <f t="shared" ref="AX5835:AX5898" si="274">IFERROR(SUM(Q5835:AS5835)-SUM(AT5835:AU5835)+AV5835,"-")</f>
        <v>0</v>
      </c>
      <c r="AY5835" s="46">
        <f t="shared" ref="AY5835:AY5898" si="275">IFERROR(SUM(Q5835:AS5835)-SUM(AT5835:AT5835),"-")</f>
        <v>0</v>
      </c>
      <c r="AZ5835" s="46">
        <f t="shared" ref="AZ5835:AZ5898" si="276">SUM(Q5835:AS5835)</f>
        <v>0</v>
      </c>
    </row>
    <row r="5836" spans="50:52">
      <c r="AX5836" s="46">
        <f t="shared" si="274"/>
        <v>0</v>
      </c>
      <c r="AY5836" s="46">
        <f t="shared" si="275"/>
        <v>0</v>
      </c>
      <c r="AZ5836" s="46">
        <f t="shared" si="276"/>
        <v>0</v>
      </c>
    </row>
    <row r="5837" spans="50:52">
      <c r="AX5837" s="46">
        <f t="shared" si="274"/>
        <v>0</v>
      </c>
      <c r="AY5837" s="46">
        <f t="shared" si="275"/>
        <v>0</v>
      </c>
      <c r="AZ5837" s="46">
        <f t="shared" si="276"/>
        <v>0</v>
      </c>
    </row>
    <row r="5838" spans="50:52">
      <c r="AX5838" s="46">
        <f t="shared" si="274"/>
        <v>0</v>
      </c>
      <c r="AY5838" s="46">
        <f t="shared" si="275"/>
        <v>0</v>
      </c>
      <c r="AZ5838" s="46">
        <f t="shared" si="276"/>
        <v>0</v>
      </c>
    </row>
    <row r="5839" spans="50:52">
      <c r="AX5839" s="46">
        <f t="shared" si="274"/>
        <v>0</v>
      </c>
      <c r="AY5839" s="46">
        <f t="shared" si="275"/>
        <v>0</v>
      </c>
      <c r="AZ5839" s="46">
        <f t="shared" si="276"/>
        <v>0</v>
      </c>
    </row>
    <row r="5840" spans="50:52">
      <c r="AX5840" s="46">
        <f t="shared" si="274"/>
        <v>0</v>
      </c>
      <c r="AY5840" s="46">
        <f t="shared" si="275"/>
        <v>0</v>
      </c>
      <c r="AZ5840" s="46">
        <f t="shared" si="276"/>
        <v>0</v>
      </c>
    </row>
    <row r="5841" spans="50:52">
      <c r="AX5841" s="46">
        <f t="shared" si="274"/>
        <v>0</v>
      </c>
      <c r="AY5841" s="46">
        <f t="shared" si="275"/>
        <v>0</v>
      </c>
      <c r="AZ5841" s="46">
        <f t="shared" si="276"/>
        <v>0</v>
      </c>
    </row>
    <row r="5842" spans="50:52">
      <c r="AX5842" s="46">
        <f t="shared" si="274"/>
        <v>0</v>
      </c>
      <c r="AY5842" s="46">
        <f t="shared" si="275"/>
        <v>0</v>
      </c>
      <c r="AZ5842" s="46">
        <f t="shared" si="276"/>
        <v>0</v>
      </c>
    </row>
    <row r="5843" spans="50:52">
      <c r="AX5843" s="46">
        <f t="shared" si="274"/>
        <v>0</v>
      </c>
      <c r="AY5843" s="46">
        <f t="shared" si="275"/>
        <v>0</v>
      </c>
      <c r="AZ5843" s="46">
        <f t="shared" si="276"/>
        <v>0</v>
      </c>
    </row>
    <row r="5844" spans="50:52">
      <c r="AX5844" s="46">
        <f t="shared" si="274"/>
        <v>0</v>
      </c>
      <c r="AY5844" s="46">
        <f t="shared" si="275"/>
        <v>0</v>
      </c>
      <c r="AZ5844" s="46">
        <f t="shared" si="276"/>
        <v>0</v>
      </c>
    </row>
    <row r="5845" spans="50:52">
      <c r="AX5845" s="46">
        <f t="shared" si="274"/>
        <v>0</v>
      </c>
      <c r="AY5845" s="46">
        <f t="shared" si="275"/>
        <v>0</v>
      </c>
      <c r="AZ5845" s="46">
        <f t="shared" si="276"/>
        <v>0</v>
      </c>
    </row>
    <row r="5846" spans="50:52">
      <c r="AX5846" s="46">
        <f t="shared" si="274"/>
        <v>0</v>
      </c>
      <c r="AY5846" s="46">
        <f t="shared" si="275"/>
        <v>0</v>
      </c>
      <c r="AZ5846" s="46">
        <f t="shared" si="276"/>
        <v>0</v>
      </c>
    </row>
    <row r="5847" spans="50:52">
      <c r="AX5847" s="46">
        <f t="shared" si="274"/>
        <v>0</v>
      </c>
      <c r="AY5847" s="46">
        <f t="shared" si="275"/>
        <v>0</v>
      </c>
      <c r="AZ5847" s="46">
        <f t="shared" si="276"/>
        <v>0</v>
      </c>
    </row>
    <row r="5848" spans="50:52">
      <c r="AX5848" s="46">
        <f t="shared" si="274"/>
        <v>0</v>
      </c>
      <c r="AY5848" s="46">
        <f t="shared" si="275"/>
        <v>0</v>
      </c>
      <c r="AZ5848" s="46">
        <f t="shared" si="276"/>
        <v>0</v>
      </c>
    </row>
    <row r="5849" spans="50:52">
      <c r="AX5849" s="46">
        <f t="shared" si="274"/>
        <v>0</v>
      </c>
      <c r="AY5849" s="46">
        <f t="shared" si="275"/>
        <v>0</v>
      </c>
      <c r="AZ5849" s="46">
        <f t="shared" si="276"/>
        <v>0</v>
      </c>
    </row>
    <row r="5850" spans="50:52">
      <c r="AX5850" s="46">
        <f t="shared" si="274"/>
        <v>0</v>
      </c>
      <c r="AY5850" s="46">
        <f t="shared" si="275"/>
        <v>0</v>
      </c>
      <c r="AZ5850" s="46">
        <f t="shared" si="276"/>
        <v>0</v>
      </c>
    </row>
    <row r="5851" spans="50:52">
      <c r="AX5851" s="46">
        <f t="shared" si="274"/>
        <v>0</v>
      </c>
      <c r="AY5851" s="46">
        <f t="shared" si="275"/>
        <v>0</v>
      </c>
      <c r="AZ5851" s="46">
        <f t="shared" si="276"/>
        <v>0</v>
      </c>
    </row>
    <row r="5852" spans="50:52">
      <c r="AX5852" s="46">
        <f t="shared" si="274"/>
        <v>0</v>
      </c>
      <c r="AY5852" s="46">
        <f t="shared" si="275"/>
        <v>0</v>
      </c>
      <c r="AZ5852" s="46">
        <f t="shared" si="276"/>
        <v>0</v>
      </c>
    </row>
    <row r="5853" spans="50:52">
      <c r="AX5853" s="46">
        <f t="shared" si="274"/>
        <v>0</v>
      </c>
      <c r="AY5853" s="46">
        <f t="shared" si="275"/>
        <v>0</v>
      </c>
      <c r="AZ5853" s="46">
        <f t="shared" si="276"/>
        <v>0</v>
      </c>
    </row>
    <row r="5854" spans="50:52">
      <c r="AX5854" s="46">
        <f t="shared" si="274"/>
        <v>0</v>
      </c>
      <c r="AY5854" s="46">
        <f t="shared" si="275"/>
        <v>0</v>
      </c>
      <c r="AZ5854" s="46">
        <f t="shared" si="276"/>
        <v>0</v>
      </c>
    </row>
    <row r="5855" spans="50:52">
      <c r="AX5855" s="46">
        <f t="shared" si="274"/>
        <v>0</v>
      </c>
      <c r="AY5855" s="46">
        <f t="shared" si="275"/>
        <v>0</v>
      </c>
      <c r="AZ5855" s="46">
        <f t="shared" si="276"/>
        <v>0</v>
      </c>
    </row>
    <row r="5856" spans="50:52">
      <c r="AX5856" s="46">
        <f t="shared" si="274"/>
        <v>0</v>
      </c>
      <c r="AY5856" s="46">
        <f t="shared" si="275"/>
        <v>0</v>
      </c>
      <c r="AZ5856" s="46">
        <f t="shared" si="276"/>
        <v>0</v>
      </c>
    </row>
    <row r="5857" spans="50:52">
      <c r="AX5857" s="46">
        <f t="shared" si="274"/>
        <v>0</v>
      </c>
      <c r="AY5857" s="46">
        <f t="shared" si="275"/>
        <v>0</v>
      </c>
      <c r="AZ5857" s="46">
        <f t="shared" si="276"/>
        <v>0</v>
      </c>
    </row>
    <row r="5858" spans="50:52">
      <c r="AX5858" s="46">
        <f t="shared" si="274"/>
        <v>0</v>
      </c>
      <c r="AY5858" s="46">
        <f t="shared" si="275"/>
        <v>0</v>
      </c>
      <c r="AZ5858" s="46">
        <f t="shared" si="276"/>
        <v>0</v>
      </c>
    </row>
    <row r="5859" spans="50:52">
      <c r="AX5859" s="46">
        <f t="shared" si="274"/>
        <v>0</v>
      </c>
      <c r="AY5859" s="46">
        <f t="shared" si="275"/>
        <v>0</v>
      </c>
      <c r="AZ5859" s="46">
        <f t="shared" si="276"/>
        <v>0</v>
      </c>
    </row>
    <row r="5860" spans="50:52">
      <c r="AX5860" s="46">
        <f t="shared" si="274"/>
        <v>0</v>
      </c>
      <c r="AY5860" s="46">
        <f t="shared" si="275"/>
        <v>0</v>
      </c>
      <c r="AZ5860" s="46">
        <f t="shared" si="276"/>
        <v>0</v>
      </c>
    </row>
    <row r="5861" spans="50:52">
      <c r="AX5861" s="46">
        <f t="shared" si="274"/>
        <v>0</v>
      </c>
      <c r="AY5861" s="46">
        <f t="shared" si="275"/>
        <v>0</v>
      </c>
      <c r="AZ5861" s="46">
        <f t="shared" si="276"/>
        <v>0</v>
      </c>
    </row>
    <row r="5862" spans="50:52">
      <c r="AX5862" s="46">
        <f t="shared" si="274"/>
        <v>0</v>
      </c>
      <c r="AY5862" s="46">
        <f t="shared" si="275"/>
        <v>0</v>
      </c>
      <c r="AZ5862" s="46">
        <f t="shared" si="276"/>
        <v>0</v>
      </c>
    </row>
    <row r="5863" spans="50:52">
      <c r="AX5863" s="46">
        <f t="shared" si="274"/>
        <v>0</v>
      </c>
      <c r="AY5863" s="46">
        <f t="shared" si="275"/>
        <v>0</v>
      </c>
      <c r="AZ5863" s="46">
        <f t="shared" si="276"/>
        <v>0</v>
      </c>
    </row>
    <row r="5864" spans="50:52">
      <c r="AX5864" s="46">
        <f t="shared" si="274"/>
        <v>0</v>
      </c>
      <c r="AY5864" s="46">
        <f t="shared" si="275"/>
        <v>0</v>
      </c>
      <c r="AZ5864" s="46">
        <f t="shared" si="276"/>
        <v>0</v>
      </c>
    </row>
    <row r="5865" spans="50:52">
      <c r="AX5865" s="46">
        <f t="shared" si="274"/>
        <v>0</v>
      </c>
      <c r="AY5865" s="46">
        <f t="shared" si="275"/>
        <v>0</v>
      </c>
      <c r="AZ5865" s="46">
        <f t="shared" si="276"/>
        <v>0</v>
      </c>
    </row>
    <row r="5866" spans="50:52">
      <c r="AX5866" s="46">
        <f t="shared" si="274"/>
        <v>0</v>
      </c>
      <c r="AY5866" s="46">
        <f t="shared" si="275"/>
        <v>0</v>
      </c>
      <c r="AZ5866" s="46">
        <f t="shared" si="276"/>
        <v>0</v>
      </c>
    </row>
    <row r="5867" spans="50:52">
      <c r="AX5867" s="46">
        <f t="shared" si="274"/>
        <v>0</v>
      </c>
      <c r="AY5867" s="46">
        <f t="shared" si="275"/>
        <v>0</v>
      </c>
      <c r="AZ5867" s="46">
        <f t="shared" si="276"/>
        <v>0</v>
      </c>
    </row>
    <row r="5868" spans="50:52">
      <c r="AX5868" s="46">
        <f t="shared" si="274"/>
        <v>0</v>
      </c>
      <c r="AY5868" s="46">
        <f t="shared" si="275"/>
        <v>0</v>
      </c>
      <c r="AZ5868" s="46">
        <f t="shared" si="276"/>
        <v>0</v>
      </c>
    </row>
    <row r="5869" spans="50:52">
      <c r="AX5869" s="46">
        <f t="shared" si="274"/>
        <v>0</v>
      </c>
      <c r="AY5869" s="46">
        <f t="shared" si="275"/>
        <v>0</v>
      </c>
      <c r="AZ5869" s="46">
        <f t="shared" si="276"/>
        <v>0</v>
      </c>
    </row>
    <row r="5870" spans="50:52">
      <c r="AX5870" s="46">
        <f t="shared" si="274"/>
        <v>0</v>
      </c>
      <c r="AY5870" s="46">
        <f t="shared" si="275"/>
        <v>0</v>
      </c>
      <c r="AZ5870" s="46">
        <f t="shared" si="276"/>
        <v>0</v>
      </c>
    </row>
    <row r="5871" spans="50:52">
      <c r="AX5871" s="46">
        <f t="shared" si="274"/>
        <v>0</v>
      </c>
      <c r="AY5871" s="46">
        <f t="shared" si="275"/>
        <v>0</v>
      </c>
      <c r="AZ5871" s="46">
        <f t="shared" si="276"/>
        <v>0</v>
      </c>
    </row>
    <row r="5872" spans="50:52">
      <c r="AX5872" s="46">
        <f t="shared" si="274"/>
        <v>0</v>
      </c>
      <c r="AY5872" s="46">
        <f t="shared" si="275"/>
        <v>0</v>
      </c>
      <c r="AZ5872" s="46">
        <f t="shared" si="276"/>
        <v>0</v>
      </c>
    </row>
    <row r="5873" spans="50:52">
      <c r="AX5873" s="46">
        <f t="shared" si="274"/>
        <v>0</v>
      </c>
      <c r="AY5873" s="46">
        <f t="shared" si="275"/>
        <v>0</v>
      </c>
      <c r="AZ5873" s="46">
        <f t="shared" si="276"/>
        <v>0</v>
      </c>
    </row>
    <row r="5874" spans="50:52">
      <c r="AX5874" s="46">
        <f t="shared" si="274"/>
        <v>0</v>
      </c>
      <c r="AY5874" s="46">
        <f t="shared" si="275"/>
        <v>0</v>
      </c>
      <c r="AZ5874" s="46">
        <f t="shared" si="276"/>
        <v>0</v>
      </c>
    </row>
    <row r="5875" spans="50:52">
      <c r="AX5875" s="46">
        <f t="shared" si="274"/>
        <v>0</v>
      </c>
      <c r="AY5875" s="46">
        <f t="shared" si="275"/>
        <v>0</v>
      </c>
      <c r="AZ5875" s="46">
        <f t="shared" si="276"/>
        <v>0</v>
      </c>
    </row>
    <row r="5876" spans="50:52">
      <c r="AX5876" s="46">
        <f t="shared" si="274"/>
        <v>0</v>
      </c>
      <c r="AY5876" s="46">
        <f t="shared" si="275"/>
        <v>0</v>
      </c>
      <c r="AZ5876" s="46">
        <f t="shared" si="276"/>
        <v>0</v>
      </c>
    </row>
    <row r="5877" spans="50:52">
      <c r="AX5877" s="46">
        <f t="shared" si="274"/>
        <v>0</v>
      </c>
      <c r="AY5877" s="46">
        <f t="shared" si="275"/>
        <v>0</v>
      </c>
      <c r="AZ5877" s="46">
        <f t="shared" si="276"/>
        <v>0</v>
      </c>
    </row>
    <row r="5878" spans="50:52">
      <c r="AX5878" s="46">
        <f t="shared" si="274"/>
        <v>0</v>
      </c>
      <c r="AY5878" s="46">
        <f t="shared" si="275"/>
        <v>0</v>
      </c>
      <c r="AZ5878" s="46">
        <f t="shared" si="276"/>
        <v>0</v>
      </c>
    </row>
    <row r="5879" spans="50:52">
      <c r="AX5879" s="46">
        <f t="shared" si="274"/>
        <v>0</v>
      </c>
      <c r="AY5879" s="46">
        <f t="shared" si="275"/>
        <v>0</v>
      </c>
      <c r="AZ5879" s="46">
        <f t="shared" si="276"/>
        <v>0</v>
      </c>
    </row>
    <row r="5880" spans="50:52">
      <c r="AX5880" s="46">
        <f t="shared" si="274"/>
        <v>0</v>
      </c>
      <c r="AY5880" s="46">
        <f t="shared" si="275"/>
        <v>0</v>
      </c>
      <c r="AZ5880" s="46">
        <f t="shared" si="276"/>
        <v>0</v>
      </c>
    </row>
    <row r="5881" spans="50:52">
      <c r="AX5881" s="46">
        <f t="shared" si="274"/>
        <v>0</v>
      </c>
      <c r="AY5881" s="46">
        <f t="shared" si="275"/>
        <v>0</v>
      </c>
      <c r="AZ5881" s="46">
        <f t="shared" si="276"/>
        <v>0</v>
      </c>
    </row>
    <row r="5882" spans="50:52">
      <c r="AX5882" s="46">
        <f t="shared" si="274"/>
        <v>0</v>
      </c>
      <c r="AY5882" s="46">
        <f t="shared" si="275"/>
        <v>0</v>
      </c>
      <c r="AZ5882" s="46">
        <f t="shared" si="276"/>
        <v>0</v>
      </c>
    </row>
    <row r="5883" spans="50:52">
      <c r="AX5883" s="46">
        <f t="shared" si="274"/>
        <v>0</v>
      </c>
      <c r="AY5883" s="46">
        <f t="shared" si="275"/>
        <v>0</v>
      </c>
      <c r="AZ5883" s="46">
        <f t="shared" si="276"/>
        <v>0</v>
      </c>
    </row>
    <row r="5884" spans="50:52">
      <c r="AX5884" s="46">
        <f t="shared" si="274"/>
        <v>0</v>
      </c>
      <c r="AY5884" s="46">
        <f t="shared" si="275"/>
        <v>0</v>
      </c>
      <c r="AZ5884" s="46">
        <f t="shared" si="276"/>
        <v>0</v>
      </c>
    </row>
    <row r="5885" spans="50:52">
      <c r="AX5885" s="46">
        <f t="shared" si="274"/>
        <v>0</v>
      </c>
      <c r="AY5885" s="46">
        <f t="shared" si="275"/>
        <v>0</v>
      </c>
      <c r="AZ5885" s="46">
        <f t="shared" si="276"/>
        <v>0</v>
      </c>
    </row>
    <row r="5886" spans="50:52">
      <c r="AX5886" s="46">
        <f t="shared" si="274"/>
        <v>0</v>
      </c>
      <c r="AY5886" s="46">
        <f t="shared" si="275"/>
        <v>0</v>
      </c>
      <c r="AZ5886" s="46">
        <f t="shared" si="276"/>
        <v>0</v>
      </c>
    </row>
    <row r="5887" spans="50:52">
      <c r="AX5887" s="46">
        <f t="shared" si="274"/>
        <v>0</v>
      </c>
      <c r="AY5887" s="46">
        <f t="shared" si="275"/>
        <v>0</v>
      </c>
      <c r="AZ5887" s="46">
        <f t="shared" si="276"/>
        <v>0</v>
      </c>
    </row>
    <row r="5888" spans="50:52">
      <c r="AX5888" s="46">
        <f t="shared" si="274"/>
        <v>0</v>
      </c>
      <c r="AY5888" s="46">
        <f t="shared" si="275"/>
        <v>0</v>
      </c>
      <c r="AZ5888" s="46">
        <f t="shared" si="276"/>
        <v>0</v>
      </c>
    </row>
    <row r="5889" spans="50:52">
      <c r="AX5889" s="46">
        <f t="shared" si="274"/>
        <v>0</v>
      </c>
      <c r="AY5889" s="46">
        <f t="shared" si="275"/>
        <v>0</v>
      </c>
      <c r="AZ5889" s="46">
        <f t="shared" si="276"/>
        <v>0</v>
      </c>
    </row>
    <row r="5890" spans="50:52">
      <c r="AX5890" s="46">
        <f t="shared" si="274"/>
        <v>0</v>
      </c>
      <c r="AY5890" s="46">
        <f t="shared" si="275"/>
        <v>0</v>
      </c>
      <c r="AZ5890" s="46">
        <f t="shared" si="276"/>
        <v>0</v>
      </c>
    </row>
    <row r="5891" spans="50:52">
      <c r="AX5891" s="46">
        <f t="shared" si="274"/>
        <v>0</v>
      </c>
      <c r="AY5891" s="46">
        <f t="shared" si="275"/>
        <v>0</v>
      </c>
      <c r="AZ5891" s="46">
        <f t="shared" si="276"/>
        <v>0</v>
      </c>
    </row>
    <row r="5892" spans="50:52">
      <c r="AX5892" s="46">
        <f t="shared" si="274"/>
        <v>0</v>
      </c>
      <c r="AY5892" s="46">
        <f t="shared" si="275"/>
        <v>0</v>
      </c>
      <c r="AZ5892" s="46">
        <f t="shared" si="276"/>
        <v>0</v>
      </c>
    </row>
    <row r="5893" spans="50:52">
      <c r="AX5893" s="46">
        <f t="shared" si="274"/>
        <v>0</v>
      </c>
      <c r="AY5893" s="46">
        <f t="shared" si="275"/>
        <v>0</v>
      </c>
      <c r="AZ5893" s="46">
        <f t="shared" si="276"/>
        <v>0</v>
      </c>
    </row>
    <row r="5894" spans="50:52">
      <c r="AX5894" s="46">
        <f t="shared" si="274"/>
        <v>0</v>
      </c>
      <c r="AY5894" s="46">
        <f t="shared" si="275"/>
        <v>0</v>
      </c>
      <c r="AZ5894" s="46">
        <f t="shared" si="276"/>
        <v>0</v>
      </c>
    </row>
    <row r="5895" spans="50:52">
      <c r="AX5895" s="46">
        <f t="shared" si="274"/>
        <v>0</v>
      </c>
      <c r="AY5895" s="46">
        <f t="shared" si="275"/>
        <v>0</v>
      </c>
      <c r="AZ5895" s="46">
        <f t="shared" si="276"/>
        <v>0</v>
      </c>
    </row>
    <row r="5896" spans="50:52">
      <c r="AX5896" s="46">
        <f t="shared" si="274"/>
        <v>0</v>
      </c>
      <c r="AY5896" s="46">
        <f t="shared" si="275"/>
        <v>0</v>
      </c>
      <c r="AZ5896" s="46">
        <f t="shared" si="276"/>
        <v>0</v>
      </c>
    </row>
    <row r="5897" spans="50:52">
      <c r="AX5897" s="46">
        <f t="shared" si="274"/>
        <v>0</v>
      </c>
      <c r="AY5897" s="46">
        <f t="shared" si="275"/>
        <v>0</v>
      </c>
      <c r="AZ5897" s="46">
        <f t="shared" si="276"/>
        <v>0</v>
      </c>
    </row>
    <row r="5898" spans="50:52">
      <c r="AX5898" s="46">
        <f t="shared" si="274"/>
        <v>0</v>
      </c>
      <c r="AY5898" s="46">
        <f t="shared" si="275"/>
        <v>0</v>
      </c>
      <c r="AZ5898" s="46">
        <f t="shared" si="276"/>
        <v>0</v>
      </c>
    </row>
    <row r="5899" spans="50:52">
      <c r="AX5899" s="46">
        <f t="shared" ref="AX5899:AX5962" si="277">IFERROR(SUM(Q5899:AS5899)-SUM(AT5899:AU5899)+AV5899,"-")</f>
        <v>0</v>
      </c>
      <c r="AY5899" s="46">
        <f t="shared" ref="AY5899:AY5962" si="278">IFERROR(SUM(Q5899:AS5899)-SUM(AT5899:AT5899),"-")</f>
        <v>0</v>
      </c>
      <c r="AZ5899" s="46">
        <f t="shared" ref="AZ5899:AZ5962" si="279">SUM(Q5899:AS5899)</f>
        <v>0</v>
      </c>
    </row>
    <row r="5900" spans="50:52">
      <c r="AX5900" s="46">
        <f t="shared" si="277"/>
        <v>0</v>
      </c>
      <c r="AY5900" s="46">
        <f t="shared" si="278"/>
        <v>0</v>
      </c>
      <c r="AZ5900" s="46">
        <f t="shared" si="279"/>
        <v>0</v>
      </c>
    </row>
    <row r="5901" spans="50:52">
      <c r="AX5901" s="46">
        <f t="shared" si="277"/>
        <v>0</v>
      </c>
      <c r="AY5901" s="46">
        <f t="shared" si="278"/>
        <v>0</v>
      </c>
      <c r="AZ5901" s="46">
        <f t="shared" si="279"/>
        <v>0</v>
      </c>
    </row>
    <row r="5902" spans="50:52">
      <c r="AX5902" s="46">
        <f t="shared" si="277"/>
        <v>0</v>
      </c>
      <c r="AY5902" s="46">
        <f t="shared" si="278"/>
        <v>0</v>
      </c>
      <c r="AZ5902" s="46">
        <f t="shared" si="279"/>
        <v>0</v>
      </c>
    </row>
    <row r="5903" spans="50:52">
      <c r="AX5903" s="46">
        <f t="shared" si="277"/>
        <v>0</v>
      </c>
      <c r="AY5903" s="46">
        <f t="shared" si="278"/>
        <v>0</v>
      </c>
      <c r="AZ5903" s="46">
        <f t="shared" si="279"/>
        <v>0</v>
      </c>
    </row>
    <row r="5904" spans="50:52">
      <c r="AX5904" s="46">
        <f t="shared" si="277"/>
        <v>0</v>
      </c>
      <c r="AY5904" s="46">
        <f t="shared" si="278"/>
        <v>0</v>
      </c>
      <c r="AZ5904" s="46">
        <f t="shared" si="279"/>
        <v>0</v>
      </c>
    </row>
    <row r="5905" spans="50:52">
      <c r="AX5905" s="46">
        <f t="shared" si="277"/>
        <v>0</v>
      </c>
      <c r="AY5905" s="46">
        <f t="shared" si="278"/>
        <v>0</v>
      </c>
      <c r="AZ5905" s="46">
        <f t="shared" si="279"/>
        <v>0</v>
      </c>
    </row>
    <row r="5906" spans="50:52">
      <c r="AX5906" s="46">
        <f t="shared" si="277"/>
        <v>0</v>
      </c>
      <c r="AY5906" s="46">
        <f t="shared" si="278"/>
        <v>0</v>
      </c>
      <c r="AZ5906" s="46">
        <f t="shared" si="279"/>
        <v>0</v>
      </c>
    </row>
    <row r="5907" spans="50:52">
      <c r="AX5907" s="46">
        <f t="shared" si="277"/>
        <v>0</v>
      </c>
      <c r="AY5907" s="46">
        <f t="shared" si="278"/>
        <v>0</v>
      </c>
      <c r="AZ5907" s="46">
        <f t="shared" si="279"/>
        <v>0</v>
      </c>
    </row>
    <row r="5908" spans="50:52">
      <c r="AX5908" s="46">
        <f t="shared" si="277"/>
        <v>0</v>
      </c>
      <c r="AY5908" s="46">
        <f t="shared" si="278"/>
        <v>0</v>
      </c>
      <c r="AZ5908" s="46">
        <f t="shared" si="279"/>
        <v>0</v>
      </c>
    </row>
    <row r="5909" spans="50:52">
      <c r="AX5909" s="46">
        <f t="shared" si="277"/>
        <v>0</v>
      </c>
      <c r="AY5909" s="46">
        <f t="shared" si="278"/>
        <v>0</v>
      </c>
      <c r="AZ5909" s="46">
        <f t="shared" si="279"/>
        <v>0</v>
      </c>
    </row>
    <row r="5910" spans="50:52">
      <c r="AX5910" s="46">
        <f t="shared" si="277"/>
        <v>0</v>
      </c>
      <c r="AY5910" s="46">
        <f t="shared" si="278"/>
        <v>0</v>
      </c>
      <c r="AZ5910" s="46">
        <f t="shared" si="279"/>
        <v>0</v>
      </c>
    </row>
    <row r="5911" spans="50:52">
      <c r="AX5911" s="46">
        <f t="shared" si="277"/>
        <v>0</v>
      </c>
      <c r="AY5911" s="46">
        <f t="shared" si="278"/>
        <v>0</v>
      </c>
      <c r="AZ5911" s="46">
        <f t="shared" si="279"/>
        <v>0</v>
      </c>
    </row>
    <row r="5912" spans="50:52">
      <c r="AX5912" s="46">
        <f t="shared" si="277"/>
        <v>0</v>
      </c>
      <c r="AY5912" s="46">
        <f t="shared" si="278"/>
        <v>0</v>
      </c>
      <c r="AZ5912" s="46">
        <f t="shared" si="279"/>
        <v>0</v>
      </c>
    </row>
    <row r="5913" spans="50:52">
      <c r="AX5913" s="46">
        <f t="shared" si="277"/>
        <v>0</v>
      </c>
      <c r="AY5913" s="46">
        <f t="shared" si="278"/>
        <v>0</v>
      </c>
      <c r="AZ5913" s="46">
        <f t="shared" si="279"/>
        <v>0</v>
      </c>
    </row>
    <row r="5914" spans="50:52">
      <c r="AX5914" s="46">
        <f t="shared" si="277"/>
        <v>0</v>
      </c>
      <c r="AY5914" s="46">
        <f t="shared" si="278"/>
        <v>0</v>
      </c>
      <c r="AZ5914" s="46">
        <f t="shared" si="279"/>
        <v>0</v>
      </c>
    </row>
    <row r="5915" spans="50:52">
      <c r="AX5915" s="46">
        <f t="shared" si="277"/>
        <v>0</v>
      </c>
      <c r="AY5915" s="46">
        <f t="shared" si="278"/>
        <v>0</v>
      </c>
      <c r="AZ5915" s="46">
        <f t="shared" si="279"/>
        <v>0</v>
      </c>
    </row>
    <row r="5916" spans="50:52">
      <c r="AX5916" s="46">
        <f t="shared" si="277"/>
        <v>0</v>
      </c>
      <c r="AY5916" s="46">
        <f t="shared" si="278"/>
        <v>0</v>
      </c>
      <c r="AZ5916" s="46">
        <f t="shared" si="279"/>
        <v>0</v>
      </c>
    </row>
    <row r="5917" spans="50:52">
      <c r="AX5917" s="46">
        <f t="shared" si="277"/>
        <v>0</v>
      </c>
      <c r="AY5917" s="46">
        <f t="shared" si="278"/>
        <v>0</v>
      </c>
      <c r="AZ5917" s="46">
        <f t="shared" si="279"/>
        <v>0</v>
      </c>
    </row>
    <row r="5918" spans="50:52">
      <c r="AX5918" s="46">
        <f t="shared" si="277"/>
        <v>0</v>
      </c>
      <c r="AY5918" s="46">
        <f t="shared" si="278"/>
        <v>0</v>
      </c>
      <c r="AZ5918" s="46">
        <f t="shared" si="279"/>
        <v>0</v>
      </c>
    </row>
    <row r="5919" spans="50:52">
      <c r="AX5919" s="46">
        <f t="shared" si="277"/>
        <v>0</v>
      </c>
      <c r="AY5919" s="46">
        <f t="shared" si="278"/>
        <v>0</v>
      </c>
      <c r="AZ5919" s="46">
        <f t="shared" si="279"/>
        <v>0</v>
      </c>
    </row>
    <row r="5920" spans="50:52">
      <c r="AX5920" s="46">
        <f t="shared" si="277"/>
        <v>0</v>
      </c>
      <c r="AY5920" s="46">
        <f t="shared" si="278"/>
        <v>0</v>
      </c>
      <c r="AZ5920" s="46">
        <f t="shared" si="279"/>
        <v>0</v>
      </c>
    </row>
    <row r="5921" spans="50:52">
      <c r="AX5921" s="46">
        <f t="shared" si="277"/>
        <v>0</v>
      </c>
      <c r="AY5921" s="46">
        <f t="shared" si="278"/>
        <v>0</v>
      </c>
      <c r="AZ5921" s="46">
        <f t="shared" si="279"/>
        <v>0</v>
      </c>
    </row>
    <row r="5922" spans="50:52">
      <c r="AX5922" s="46">
        <f t="shared" si="277"/>
        <v>0</v>
      </c>
      <c r="AY5922" s="46">
        <f t="shared" si="278"/>
        <v>0</v>
      </c>
      <c r="AZ5922" s="46">
        <f t="shared" si="279"/>
        <v>0</v>
      </c>
    </row>
    <row r="5923" spans="50:52">
      <c r="AX5923" s="46">
        <f t="shared" si="277"/>
        <v>0</v>
      </c>
      <c r="AY5923" s="46">
        <f t="shared" si="278"/>
        <v>0</v>
      </c>
      <c r="AZ5923" s="46">
        <f t="shared" si="279"/>
        <v>0</v>
      </c>
    </row>
    <row r="5924" spans="50:52">
      <c r="AX5924" s="46">
        <f t="shared" si="277"/>
        <v>0</v>
      </c>
      <c r="AY5924" s="46">
        <f t="shared" si="278"/>
        <v>0</v>
      </c>
      <c r="AZ5924" s="46">
        <f t="shared" si="279"/>
        <v>0</v>
      </c>
    </row>
    <row r="5925" spans="50:52">
      <c r="AX5925" s="46">
        <f t="shared" si="277"/>
        <v>0</v>
      </c>
      <c r="AY5925" s="46">
        <f t="shared" si="278"/>
        <v>0</v>
      </c>
      <c r="AZ5925" s="46">
        <f t="shared" si="279"/>
        <v>0</v>
      </c>
    </row>
    <row r="5926" spans="50:52">
      <c r="AX5926" s="46">
        <f t="shared" si="277"/>
        <v>0</v>
      </c>
      <c r="AY5926" s="46">
        <f t="shared" si="278"/>
        <v>0</v>
      </c>
      <c r="AZ5926" s="46">
        <f t="shared" si="279"/>
        <v>0</v>
      </c>
    </row>
    <row r="5927" spans="50:52">
      <c r="AX5927" s="46">
        <f t="shared" si="277"/>
        <v>0</v>
      </c>
      <c r="AY5927" s="46">
        <f t="shared" si="278"/>
        <v>0</v>
      </c>
      <c r="AZ5927" s="46">
        <f t="shared" si="279"/>
        <v>0</v>
      </c>
    </row>
    <row r="5928" spans="50:52">
      <c r="AX5928" s="46">
        <f t="shared" si="277"/>
        <v>0</v>
      </c>
      <c r="AY5928" s="46">
        <f t="shared" si="278"/>
        <v>0</v>
      </c>
      <c r="AZ5928" s="46">
        <f t="shared" si="279"/>
        <v>0</v>
      </c>
    </row>
    <row r="5929" spans="50:52">
      <c r="AX5929" s="46">
        <f t="shared" si="277"/>
        <v>0</v>
      </c>
      <c r="AY5929" s="46">
        <f t="shared" si="278"/>
        <v>0</v>
      </c>
      <c r="AZ5929" s="46">
        <f t="shared" si="279"/>
        <v>0</v>
      </c>
    </row>
    <row r="5930" spans="50:52">
      <c r="AX5930" s="46">
        <f t="shared" si="277"/>
        <v>0</v>
      </c>
      <c r="AY5930" s="46">
        <f t="shared" si="278"/>
        <v>0</v>
      </c>
      <c r="AZ5930" s="46">
        <f t="shared" si="279"/>
        <v>0</v>
      </c>
    </row>
    <row r="5931" spans="50:52">
      <c r="AX5931" s="46">
        <f t="shared" si="277"/>
        <v>0</v>
      </c>
      <c r="AY5931" s="46">
        <f t="shared" si="278"/>
        <v>0</v>
      </c>
      <c r="AZ5931" s="46">
        <f t="shared" si="279"/>
        <v>0</v>
      </c>
    </row>
    <row r="5932" spans="50:52">
      <c r="AX5932" s="46">
        <f t="shared" si="277"/>
        <v>0</v>
      </c>
      <c r="AY5932" s="46">
        <f t="shared" si="278"/>
        <v>0</v>
      </c>
      <c r="AZ5932" s="46">
        <f t="shared" si="279"/>
        <v>0</v>
      </c>
    </row>
    <row r="5933" spans="50:52">
      <c r="AX5933" s="46">
        <f t="shared" si="277"/>
        <v>0</v>
      </c>
      <c r="AY5933" s="46">
        <f t="shared" si="278"/>
        <v>0</v>
      </c>
      <c r="AZ5933" s="46">
        <f t="shared" si="279"/>
        <v>0</v>
      </c>
    </row>
    <row r="5934" spans="50:52">
      <c r="AX5934" s="46">
        <f t="shared" si="277"/>
        <v>0</v>
      </c>
      <c r="AY5934" s="46">
        <f t="shared" si="278"/>
        <v>0</v>
      </c>
      <c r="AZ5934" s="46">
        <f t="shared" si="279"/>
        <v>0</v>
      </c>
    </row>
    <row r="5935" spans="50:52">
      <c r="AX5935" s="46">
        <f t="shared" si="277"/>
        <v>0</v>
      </c>
      <c r="AY5935" s="46">
        <f t="shared" si="278"/>
        <v>0</v>
      </c>
      <c r="AZ5935" s="46">
        <f t="shared" si="279"/>
        <v>0</v>
      </c>
    </row>
    <row r="5936" spans="50:52">
      <c r="AX5936" s="46">
        <f t="shared" si="277"/>
        <v>0</v>
      </c>
      <c r="AY5936" s="46">
        <f t="shared" si="278"/>
        <v>0</v>
      </c>
      <c r="AZ5936" s="46">
        <f t="shared" si="279"/>
        <v>0</v>
      </c>
    </row>
    <row r="5937" spans="50:52">
      <c r="AX5937" s="46">
        <f t="shared" si="277"/>
        <v>0</v>
      </c>
      <c r="AY5937" s="46">
        <f t="shared" si="278"/>
        <v>0</v>
      </c>
      <c r="AZ5937" s="46">
        <f t="shared" si="279"/>
        <v>0</v>
      </c>
    </row>
    <row r="5938" spans="50:52">
      <c r="AX5938" s="46">
        <f t="shared" si="277"/>
        <v>0</v>
      </c>
      <c r="AY5938" s="46">
        <f t="shared" si="278"/>
        <v>0</v>
      </c>
      <c r="AZ5938" s="46">
        <f t="shared" si="279"/>
        <v>0</v>
      </c>
    </row>
    <row r="5939" spans="50:52">
      <c r="AX5939" s="46">
        <f t="shared" si="277"/>
        <v>0</v>
      </c>
      <c r="AY5939" s="46">
        <f t="shared" si="278"/>
        <v>0</v>
      </c>
      <c r="AZ5939" s="46">
        <f t="shared" si="279"/>
        <v>0</v>
      </c>
    </row>
    <row r="5940" spans="50:52">
      <c r="AX5940" s="46">
        <f t="shared" si="277"/>
        <v>0</v>
      </c>
      <c r="AY5940" s="46">
        <f t="shared" si="278"/>
        <v>0</v>
      </c>
      <c r="AZ5940" s="46">
        <f t="shared" si="279"/>
        <v>0</v>
      </c>
    </row>
    <row r="5941" spans="50:52">
      <c r="AX5941" s="46">
        <f t="shared" si="277"/>
        <v>0</v>
      </c>
      <c r="AY5941" s="46">
        <f t="shared" si="278"/>
        <v>0</v>
      </c>
      <c r="AZ5941" s="46">
        <f t="shared" si="279"/>
        <v>0</v>
      </c>
    </row>
    <row r="5942" spans="50:52">
      <c r="AX5942" s="46">
        <f t="shared" si="277"/>
        <v>0</v>
      </c>
      <c r="AY5942" s="46">
        <f t="shared" si="278"/>
        <v>0</v>
      </c>
      <c r="AZ5942" s="46">
        <f t="shared" si="279"/>
        <v>0</v>
      </c>
    </row>
    <row r="5943" spans="50:52">
      <c r="AX5943" s="46">
        <f t="shared" si="277"/>
        <v>0</v>
      </c>
      <c r="AY5943" s="46">
        <f t="shared" si="278"/>
        <v>0</v>
      </c>
      <c r="AZ5943" s="46">
        <f t="shared" si="279"/>
        <v>0</v>
      </c>
    </row>
    <row r="5944" spans="50:52">
      <c r="AX5944" s="46">
        <f t="shared" si="277"/>
        <v>0</v>
      </c>
      <c r="AY5944" s="46">
        <f t="shared" si="278"/>
        <v>0</v>
      </c>
      <c r="AZ5944" s="46">
        <f t="shared" si="279"/>
        <v>0</v>
      </c>
    </row>
    <row r="5945" spans="50:52">
      <c r="AX5945" s="46">
        <f t="shared" si="277"/>
        <v>0</v>
      </c>
      <c r="AY5945" s="46">
        <f t="shared" si="278"/>
        <v>0</v>
      </c>
      <c r="AZ5945" s="46">
        <f t="shared" si="279"/>
        <v>0</v>
      </c>
    </row>
    <row r="5946" spans="50:52">
      <c r="AX5946" s="46">
        <f t="shared" si="277"/>
        <v>0</v>
      </c>
      <c r="AY5946" s="46">
        <f t="shared" si="278"/>
        <v>0</v>
      </c>
      <c r="AZ5946" s="46">
        <f t="shared" si="279"/>
        <v>0</v>
      </c>
    </row>
    <row r="5947" spans="50:52">
      <c r="AX5947" s="46">
        <f t="shared" si="277"/>
        <v>0</v>
      </c>
      <c r="AY5947" s="46">
        <f t="shared" si="278"/>
        <v>0</v>
      </c>
      <c r="AZ5947" s="46">
        <f t="shared" si="279"/>
        <v>0</v>
      </c>
    </row>
    <row r="5948" spans="50:52">
      <c r="AX5948" s="46">
        <f t="shared" si="277"/>
        <v>0</v>
      </c>
      <c r="AY5948" s="46">
        <f t="shared" si="278"/>
        <v>0</v>
      </c>
      <c r="AZ5948" s="46">
        <f t="shared" si="279"/>
        <v>0</v>
      </c>
    </row>
    <row r="5949" spans="50:52">
      <c r="AX5949" s="46">
        <f t="shared" si="277"/>
        <v>0</v>
      </c>
      <c r="AY5949" s="46">
        <f t="shared" si="278"/>
        <v>0</v>
      </c>
      <c r="AZ5949" s="46">
        <f t="shared" si="279"/>
        <v>0</v>
      </c>
    </row>
    <row r="5950" spans="50:52">
      <c r="AX5950" s="46">
        <f t="shared" si="277"/>
        <v>0</v>
      </c>
      <c r="AY5950" s="46">
        <f t="shared" si="278"/>
        <v>0</v>
      </c>
      <c r="AZ5950" s="46">
        <f t="shared" si="279"/>
        <v>0</v>
      </c>
    </row>
    <row r="5951" spans="50:52">
      <c r="AX5951" s="46">
        <f t="shared" si="277"/>
        <v>0</v>
      </c>
      <c r="AY5951" s="46">
        <f t="shared" si="278"/>
        <v>0</v>
      </c>
      <c r="AZ5951" s="46">
        <f t="shared" si="279"/>
        <v>0</v>
      </c>
    </row>
    <row r="5952" spans="50:52">
      <c r="AX5952" s="46">
        <f t="shared" si="277"/>
        <v>0</v>
      </c>
      <c r="AY5952" s="46">
        <f t="shared" si="278"/>
        <v>0</v>
      </c>
      <c r="AZ5952" s="46">
        <f t="shared" si="279"/>
        <v>0</v>
      </c>
    </row>
    <row r="5953" spans="50:52">
      <c r="AX5953" s="46">
        <f t="shared" si="277"/>
        <v>0</v>
      </c>
      <c r="AY5953" s="46">
        <f t="shared" si="278"/>
        <v>0</v>
      </c>
      <c r="AZ5953" s="46">
        <f t="shared" si="279"/>
        <v>0</v>
      </c>
    </row>
    <row r="5954" spans="50:52">
      <c r="AX5954" s="46">
        <f t="shared" si="277"/>
        <v>0</v>
      </c>
      <c r="AY5954" s="46">
        <f t="shared" si="278"/>
        <v>0</v>
      </c>
      <c r="AZ5954" s="46">
        <f t="shared" si="279"/>
        <v>0</v>
      </c>
    </row>
    <row r="5955" spans="50:52">
      <c r="AX5955" s="46">
        <f t="shared" si="277"/>
        <v>0</v>
      </c>
      <c r="AY5955" s="46">
        <f t="shared" si="278"/>
        <v>0</v>
      </c>
      <c r="AZ5955" s="46">
        <f t="shared" si="279"/>
        <v>0</v>
      </c>
    </row>
    <row r="5956" spans="50:52">
      <c r="AX5956" s="46">
        <f t="shared" si="277"/>
        <v>0</v>
      </c>
      <c r="AY5956" s="46">
        <f t="shared" si="278"/>
        <v>0</v>
      </c>
      <c r="AZ5956" s="46">
        <f t="shared" si="279"/>
        <v>0</v>
      </c>
    </row>
    <row r="5957" spans="50:52">
      <c r="AX5957" s="46">
        <f t="shared" si="277"/>
        <v>0</v>
      </c>
      <c r="AY5957" s="46">
        <f t="shared" si="278"/>
        <v>0</v>
      </c>
      <c r="AZ5957" s="46">
        <f t="shared" si="279"/>
        <v>0</v>
      </c>
    </row>
    <row r="5958" spans="50:52">
      <c r="AX5958" s="46">
        <f t="shared" si="277"/>
        <v>0</v>
      </c>
      <c r="AY5958" s="46">
        <f t="shared" si="278"/>
        <v>0</v>
      </c>
      <c r="AZ5958" s="46">
        <f t="shared" si="279"/>
        <v>0</v>
      </c>
    </row>
    <row r="5959" spans="50:52">
      <c r="AX5959" s="46">
        <f t="shared" si="277"/>
        <v>0</v>
      </c>
      <c r="AY5959" s="46">
        <f t="shared" si="278"/>
        <v>0</v>
      </c>
      <c r="AZ5959" s="46">
        <f t="shared" si="279"/>
        <v>0</v>
      </c>
    </row>
    <row r="5960" spans="50:52">
      <c r="AX5960" s="46">
        <f t="shared" si="277"/>
        <v>0</v>
      </c>
      <c r="AY5960" s="46">
        <f t="shared" si="278"/>
        <v>0</v>
      </c>
      <c r="AZ5960" s="46">
        <f t="shared" si="279"/>
        <v>0</v>
      </c>
    </row>
    <row r="5961" spans="50:52">
      <c r="AX5961" s="46">
        <f t="shared" si="277"/>
        <v>0</v>
      </c>
      <c r="AY5961" s="46">
        <f t="shared" si="278"/>
        <v>0</v>
      </c>
      <c r="AZ5961" s="46">
        <f t="shared" si="279"/>
        <v>0</v>
      </c>
    </row>
    <row r="5962" spans="50:52">
      <c r="AX5962" s="46">
        <f t="shared" si="277"/>
        <v>0</v>
      </c>
      <c r="AY5962" s="46">
        <f t="shared" si="278"/>
        <v>0</v>
      </c>
      <c r="AZ5962" s="46">
        <f t="shared" si="279"/>
        <v>0</v>
      </c>
    </row>
    <row r="5963" spans="50:52">
      <c r="AX5963" s="46">
        <f t="shared" ref="AX5963:AX6026" si="280">IFERROR(SUM(Q5963:AS5963)-SUM(AT5963:AU5963)+AV5963,"-")</f>
        <v>0</v>
      </c>
      <c r="AY5963" s="46">
        <f t="shared" ref="AY5963:AY6026" si="281">IFERROR(SUM(Q5963:AS5963)-SUM(AT5963:AT5963),"-")</f>
        <v>0</v>
      </c>
      <c r="AZ5963" s="46">
        <f t="shared" ref="AZ5963:AZ6026" si="282">SUM(Q5963:AS5963)</f>
        <v>0</v>
      </c>
    </row>
    <row r="5964" spans="50:52">
      <c r="AX5964" s="46">
        <f t="shared" si="280"/>
        <v>0</v>
      </c>
      <c r="AY5964" s="46">
        <f t="shared" si="281"/>
        <v>0</v>
      </c>
      <c r="AZ5964" s="46">
        <f t="shared" si="282"/>
        <v>0</v>
      </c>
    </row>
    <row r="5965" spans="50:52">
      <c r="AX5965" s="46">
        <f t="shared" si="280"/>
        <v>0</v>
      </c>
      <c r="AY5965" s="46">
        <f t="shared" si="281"/>
        <v>0</v>
      </c>
      <c r="AZ5965" s="46">
        <f t="shared" si="282"/>
        <v>0</v>
      </c>
    </row>
    <row r="5966" spans="50:52">
      <c r="AX5966" s="46">
        <f t="shared" si="280"/>
        <v>0</v>
      </c>
      <c r="AY5966" s="46">
        <f t="shared" si="281"/>
        <v>0</v>
      </c>
      <c r="AZ5966" s="46">
        <f t="shared" si="282"/>
        <v>0</v>
      </c>
    </row>
    <row r="5967" spans="50:52">
      <c r="AX5967" s="46">
        <f t="shared" si="280"/>
        <v>0</v>
      </c>
      <c r="AY5967" s="46">
        <f t="shared" si="281"/>
        <v>0</v>
      </c>
      <c r="AZ5967" s="46">
        <f t="shared" si="282"/>
        <v>0</v>
      </c>
    </row>
    <row r="5968" spans="50:52">
      <c r="AX5968" s="46">
        <f t="shared" si="280"/>
        <v>0</v>
      </c>
      <c r="AY5968" s="46">
        <f t="shared" si="281"/>
        <v>0</v>
      </c>
      <c r="AZ5968" s="46">
        <f t="shared" si="282"/>
        <v>0</v>
      </c>
    </row>
    <row r="5969" spans="50:52">
      <c r="AX5969" s="46">
        <f t="shared" si="280"/>
        <v>0</v>
      </c>
      <c r="AY5969" s="46">
        <f t="shared" si="281"/>
        <v>0</v>
      </c>
      <c r="AZ5969" s="46">
        <f t="shared" si="282"/>
        <v>0</v>
      </c>
    </row>
    <row r="5970" spans="50:52">
      <c r="AX5970" s="46">
        <f t="shared" si="280"/>
        <v>0</v>
      </c>
      <c r="AY5970" s="46">
        <f t="shared" si="281"/>
        <v>0</v>
      </c>
      <c r="AZ5970" s="46">
        <f t="shared" si="282"/>
        <v>0</v>
      </c>
    </row>
    <row r="5971" spans="50:52">
      <c r="AX5971" s="46">
        <f t="shared" si="280"/>
        <v>0</v>
      </c>
      <c r="AY5971" s="46">
        <f t="shared" si="281"/>
        <v>0</v>
      </c>
      <c r="AZ5971" s="46">
        <f t="shared" si="282"/>
        <v>0</v>
      </c>
    </row>
    <row r="5972" spans="50:52">
      <c r="AX5972" s="46">
        <f t="shared" si="280"/>
        <v>0</v>
      </c>
      <c r="AY5972" s="46">
        <f t="shared" si="281"/>
        <v>0</v>
      </c>
      <c r="AZ5972" s="46">
        <f t="shared" si="282"/>
        <v>0</v>
      </c>
    </row>
    <row r="5973" spans="50:52">
      <c r="AX5973" s="46">
        <f t="shared" si="280"/>
        <v>0</v>
      </c>
      <c r="AY5973" s="46">
        <f t="shared" si="281"/>
        <v>0</v>
      </c>
      <c r="AZ5973" s="46">
        <f t="shared" si="282"/>
        <v>0</v>
      </c>
    </row>
    <row r="5974" spans="50:52">
      <c r="AX5974" s="46">
        <f t="shared" si="280"/>
        <v>0</v>
      </c>
      <c r="AY5974" s="46">
        <f t="shared" si="281"/>
        <v>0</v>
      </c>
      <c r="AZ5974" s="46">
        <f t="shared" si="282"/>
        <v>0</v>
      </c>
    </row>
    <row r="5975" spans="50:52">
      <c r="AX5975" s="46">
        <f t="shared" si="280"/>
        <v>0</v>
      </c>
      <c r="AY5975" s="46">
        <f t="shared" si="281"/>
        <v>0</v>
      </c>
      <c r="AZ5975" s="46">
        <f t="shared" si="282"/>
        <v>0</v>
      </c>
    </row>
    <row r="5976" spans="50:52">
      <c r="AX5976" s="46">
        <f t="shared" si="280"/>
        <v>0</v>
      </c>
      <c r="AY5976" s="46">
        <f t="shared" si="281"/>
        <v>0</v>
      </c>
      <c r="AZ5976" s="46">
        <f t="shared" si="282"/>
        <v>0</v>
      </c>
    </row>
    <row r="5977" spans="50:52">
      <c r="AX5977" s="46">
        <f t="shared" si="280"/>
        <v>0</v>
      </c>
      <c r="AY5977" s="46">
        <f t="shared" si="281"/>
        <v>0</v>
      </c>
      <c r="AZ5977" s="46">
        <f t="shared" si="282"/>
        <v>0</v>
      </c>
    </row>
    <row r="5978" spans="50:52">
      <c r="AX5978" s="46">
        <f t="shared" si="280"/>
        <v>0</v>
      </c>
      <c r="AY5978" s="46">
        <f t="shared" si="281"/>
        <v>0</v>
      </c>
      <c r="AZ5978" s="46">
        <f t="shared" si="282"/>
        <v>0</v>
      </c>
    </row>
    <row r="5979" spans="50:52">
      <c r="AX5979" s="46">
        <f t="shared" si="280"/>
        <v>0</v>
      </c>
      <c r="AY5979" s="46">
        <f t="shared" si="281"/>
        <v>0</v>
      </c>
      <c r="AZ5979" s="46">
        <f t="shared" si="282"/>
        <v>0</v>
      </c>
    </row>
    <row r="5980" spans="50:52">
      <c r="AX5980" s="46">
        <f t="shared" si="280"/>
        <v>0</v>
      </c>
      <c r="AY5980" s="46">
        <f t="shared" si="281"/>
        <v>0</v>
      </c>
      <c r="AZ5980" s="46">
        <f t="shared" si="282"/>
        <v>0</v>
      </c>
    </row>
    <row r="5981" spans="50:52">
      <c r="AX5981" s="46">
        <f t="shared" si="280"/>
        <v>0</v>
      </c>
      <c r="AY5981" s="46">
        <f t="shared" si="281"/>
        <v>0</v>
      </c>
      <c r="AZ5981" s="46">
        <f t="shared" si="282"/>
        <v>0</v>
      </c>
    </row>
    <row r="5982" spans="50:52">
      <c r="AX5982" s="46">
        <f t="shared" si="280"/>
        <v>0</v>
      </c>
      <c r="AY5982" s="46">
        <f t="shared" si="281"/>
        <v>0</v>
      </c>
      <c r="AZ5982" s="46">
        <f t="shared" si="282"/>
        <v>0</v>
      </c>
    </row>
    <row r="5983" spans="50:52">
      <c r="AX5983" s="46">
        <f t="shared" si="280"/>
        <v>0</v>
      </c>
      <c r="AY5983" s="46">
        <f t="shared" si="281"/>
        <v>0</v>
      </c>
      <c r="AZ5983" s="46">
        <f t="shared" si="282"/>
        <v>0</v>
      </c>
    </row>
    <row r="5984" spans="50:52">
      <c r="AX5984" s="46">
        <f t="shared" si="280"/>
        <v>0</v>
      </c>
      <c r="AY5984" s="46">
        <f t="shared" si="281"/>
        <v>0</v>
      </c>
      <c r="AZ5984" s="46">
        <f t="shared" si="282"/>
        <v>0</v>
      </c>
    </row>
    <row r="5985" spans="50:52">
      <c r="AX5985" s="46">
        <f t="shared" si="280"/>
        <v>0</v>
      </c>
      <c r="AY5985" s="46">
        <f t="shared" si="281"/>
        <v>0</v>
      </c>
      <c r="AZ5985" s="46">
        <f t="shared" si="282"/>
        <v>0</v>
      </c>
    </row>
    <row r="5986" spans="50:52">
      <c r="AX5986" s="46">
        <f t="shared" si="280"/>
        <v>0</v>
      </c>
      <c r="AY5986" s="46">
        <f t="shared" si="281"/>
        <v>0</v>
      </c>
      <c r="AZ5986" s="46">
        <f t="shared" si="282"/>
        <v>0</v>
      </c>
    </row>
    <row r="5987" spans="50:52">
      <c r="AX5987" s="46">
        <f t="shared" si="280"/>
        <v>0</v>
      </c>
      <c r="AY5987" s="46">
        <f t="shared" si="281"/>
        <v>0</v>
      </c>
      <c r="AZ5987" s="46">
        <f t="shared" si="282"/>
        <v>0</v>
      </c>
    </row>
    <row r="5988" spans="50:52">
      <c r="AX5988" s="46">
        <f t="shared" si="280"/>
        <v>0</v>
      </c>
      <c r="AY5988" s="46">
        <f t="shared" si="281"/>
        <v>0</v>
      </c>
      <c r="AZ5988" s="46">
        <f t="shared" si="282"/>
        <v>0</v>
      </c>
    </row>
    <row r="5989" spans="50:52">
      <c r="AX5989" s="46">
        <f t="shared" si="280"/>
        <v>0</v>
      </c>
      <c r="AY5989" s="46">
        <f t="shared" si="281"/>
        <v>0</v>
      </c>
      <c r="AZ5989" s="46">
        <f t="shared" si="282"/>
        <v>0</v>
      </c>
    </row>
    <row r="5990" spans="50:52">
      <c r="AX5990" s="46">
        <f t="shared" si="280"/>
        <v>0</v>
      </c>
      <c r="AY5990" s="46">
        <f t="shared" si="281"/>
        <v>0</v>
      </c>
      <c r="AZ5990" s="46">
        <f t="shared" si="282"/>
        <v>0</v>
      </c>
    </row>
    <row r="5991" spans="50:52">
      <c r="AX5991" s="46">
        <f t="shared" si="280"/>
        <v>0</v>
      </c>
      <c r="AY5991" s="46">
        <f t="shared" si="281"/>
        <v>0</v>
      </c>
      <c r="AZ5991" s="46">
        <f t="shared" si="282"/>
        <v>0</v>
      </c>
    </row>
    <row r="5992" spans="50:52">
      <c r="AX5992" s="46">
        <f t="shared" si="280"/>
        <v>0</v>
      </c>
      <c r="AY5992" s="46">
        <f t="shared" si="281"/>
        <v>0</v>
      </c>
      <c r="AZ5992" s="46">
        <f t="shared" si="282"/>
        <v>0</v>
      </c>
    </row>
    <row r="5993" spans="50:52">
      <c r="AX5993" s="46">
        <f t="shared" si="280"/>
        <v>0</v>
      </c>
      <c r="AY5993" s="46">
        <f t="shared" si="281"/>
        <v>0</v>
      </c>
      <c r="AZ5993" s="46">
        <f t="shared" si="282"/>
        <v>0</v>
      </c>
    </row>
    <row r="5994" spans="50:52">
      <c r="AX5994" s="46">
        <f t="shared" si="280"/>
        <v>0</v>
      </c>
      <c r="AY5994" s="46">
        <f t="shared" si="281"/>
        <v>0</v>
      </c>
      <c r="AZ5994" s="46">
        <f t="shared" si="282"/>
        <v>0</v>
      </c>
    </row>
    <row r="5995" spans="50:52">
      <c r="AX5995" s="46">
        <f t="shared" si="280"/>
        <v>0</v>
      </c>
      <c r="AY5995" s="46">
        <f t="shared" si="281"/>
        <v>0</v>
      </c>
      <c r="AZ5995" s="46">
        <f t="shared" si="282"/>
        <v>0</v>
      </c>
    </row>
    <row r="5996" spans="50:52">
      <c r="AX5996" s="46">
        <f t="shared" si="280"/>
        <v>0</v>
      </c>
      <c r="AY5996" s="46">
        <f t="shared" si="281"/>
        <v>0</v>
      </c>
      <c r="AZ5996" s="46">
        <f t="shared" si="282"/>
        <v>0</v>
      </c>
    </row>
    <row r="5997" spans="50:52">
      <c r="AX5997" s="46">
        <f t="shared" si="280"/>
        <v>0</v>
      </c>
      <c r="AY5997" s="46">
        <f t="shared" si="281"/>
        <v>0</v>
      </c>
      <c r="AZ5997" s="46">
        <f t="shared" si="282"/>
        <v>0</v>
      </c>
    </row>
    <row r="5998" spans="50:52">
      <c r="AX5998" s="46">
        <f t="shared" si="280"/>
        <v>0</v>
      </c>
      <c r="AY5998" s="46">
        <f t="shared" si="281"/>
        <v>0</v>
      </c>
      <c r="AZ5998" s="46">
        <f t="shared" si="282"/>
        <v>0</v>
      </c>
    </row>
    <row r="5999" spans="50:52">
      <c r="AX5999" s="46">
        <f t="shared" si="280"/>
        <v>0</v>
      </c>
      <c r="AY5999" s="46">
        <f t="shared" si="281"/>
        <v>0</v>
      </c>
      <c r="AZ5999" s="46">
        <f t="shared" si="282"/>
        <v>0</v>
      </c>
    </row>
    <row r="6000" spans="50:52">
      <c r="AX6000" s="46">
        <f t="shared" si="280"/>
        <v>0</v>
      </c>
      <c r="AY6000" s="46">
        <f t="shared" si="281"/>
        <v>0</v>
      </c>
      <c r="AZ6000" s="46">
        <f t="shared" si="282"/>
        <v>0</v>
      </c>
    </row>
    <row r="6001" spans="50:52">
      <c r="AX6001" s="46">
        <f t="shared" si="280"/>
        <v>0</v>
      </c>
      <c r="AY6001" s="46">
        <f t="shared" si="281"/>
        <v>0</v>
      </c>
      <c r="AZ6001" s="46">
        <f t="shared" si="282"/>
        <v>0</v>
      </c>
    </row>
    <row r="6002" spans="50:52">
      <c r="AX6002" s="46">
        <f t="shared" si="280"/>
        <v>0</v>
      </c>
      <c r="AY6002" s="46">
        <f t="shared" si="281"/>
        <v>0</v>
      </c>
      <c r="AZ6002" s="46">
        <f t="shared" si="282"/>
        <v>0</v>
      </c>
    </row>
    <row r="6003" spans="50:52">
      <c r="AX6003" s="46">
        <f t="shared" si="280"/>
        <v>0</v>
      </c>
      <c r="AY6003" s="46">
        <f t="shared" si="281"/>
        <v>0</v>
      </c>
      <c r="AZ6003" s="46">
        <f t="shared" si="282"/>
        <v>0</v>
      </c>
    </row>
    <row r="6004" spans="50:52">
      <c r="AX6004" s="46">
        <f t="shared" si="280"/>
        <v>0</v>
      </c>
      <c r="AY6004" s="46">
        <f t="shared" si="281"/>
        <v>0</v>
      </c>
      <c r="AZ6004" s="46">
        <f t="shared" si="282"/>
        <v>0</v>
      </c>
    </row>
    <row r="6005" spans="50:52">
      <c r="AX6005" s="46">
        <f t="shared" si="280"/>
        <v>0</v>
      </c>
      <c r="AY6005" s="46">
        <f t="shared" si="281"/>
        <v>0</v>
      </c>
      <c r="AZ6005" s="46">
        <f t="shared" si="282"/>
        <v>0</v>
      </c>
    </row>
    <row r="6006" spans="50:52">
      <c r="AX6006" s="46">
        <f t="shared" si="280"/>
        <v>0</v>
      </c>
      <c r="AY6006" s="46">
        <f t="shared" si="281"/>
        <v>0</v>
      </c>
      <c r="AZ6006" s="46">
        <f t="shared" si="282"/>
        <v>0</v>
      </c>
    </row>
    <row r="6007" spans="50:52">
      <c r="AX6007" s="46">
        <f t="shared" si="280"/>
        <v>0</v>
      </c>
      <c r="AY6007" s="46">
        <f t="shared" si="281"/>
        <v>0</v>
      </c>
      <c r="AZ6007" s="46">
        <f t="shared" si="282"/>
        <v>0</v>
      </c>
    </row>
    <row r="6008" spans="50:52">
      <c r="AX6008" s="46">
        <f t="shared" si="280"/>
        <v>0</v>
      </c>
      <c r="AY6008" s="46">
        <f t="shared" si="281"/>
        <v>0</v>
      </c>
      <c r="AZ6008" s="46">
        <f t="shared" si="282"/>
        <v>0</v>
      </c>
    </row>
    <row r="6009" spans="50:52">
      <c r="AX6009" s="46">
        <f t="shared" si="280"/>
        <v>0</v>
      </c>
      <c r="AY6009" s="46">
        <f t="shared" si="281"/>
        <v>0</v>
      </c>
      <c r="AZ6009" s="46">
        <f t="shared" si="282"/>
        <v>0</v>
      </c>
    </row>
    <row r="6010" spans="50:52">
      <c r="AX6010" s="46">
        <f t="shared" si="280"/>
        <v>0</v>
      </c>
      <c r="AY6010" s="46">
        <f t="shared" si="281"/>
        <v>0</v>
      </c>
      <c r="AZ6010" s="46">
        <f t="shared" si="282"/>
        <v>0</v>
      </c>
    </row>
    <row r="6011" spans="50:52">
      <c r="AX6011" s="46">
        <f t="shared" si="280"/>
        <v>0</v>
      </c>
      <c r="AY6011" s="46">
        <f t="shared" si="281"/>
        <v>0</v>
      </c>
      <c r="AZ6011" s="46">
        <f t="shared" si="282"/>
        <v>0</v>
      </c>
    </row>
    <row r="6012" spans="50:52">
      <c r="AX6012" s="46">
        <f t="shared" si="280"/>
        <v>0</v>
      </c>
      <c r="AY6012" s="46">
        <f t="shared" si="281"/>
        <v>0</v>
      </c>
      <c r="AZ6012" s="46">
        <f t="shared" si="282"/>
        <v>0</v>
      </c>
    </row>
    <row r="6013" spans="50:52">
      <c r="AX6013" s="46">
        <f t="shared" si="280"/>
        <v>0</v>
      </c>
      <c r="AY6013" s="46">
        <f t="shared" si="281"/>
        <v>0</v>
      </c>
      <c r="AZ6013" s="46">
        <f t="shared" si="282"/>
        <v>0</v>
      </c>
    </row>
    <row r="6014" spans="50:52">
      <c r="AX6014" s="46">
        <f t="shared" si="280"/>
        <v>0</v>
      </c>
      <c r="AY6014" s="46">
        <f t="shared" si="281"/>
        <v>0</v>
      </c>
      <c r="AZ6014" s="46">
        <f t="shared" si="282"/>
        <v>0</v>
      </c>
    </row>
    <row r="6015" spans="50:52">
      <c r="AX6015" s="46">
        <f t="shared" si="280"/>
        <v>0</v>
      </c>
      <c r="AY6015" s="46">
        <f t="shared" si="281"/>
        <v>0</v>
      </c>
      <c r="AZ6015" s="46">
        <f t="shared" si="282"/>
        <v>0</v>
      </c>
    </row>
    <row r="6016" spans="50:52">
      <c r="AX6016" s="46">
        <f t="shared" si="280"/>
        <v>0</v>
      </c>
      <c r="AY6016" s="46">
        <f t="shared" si="281"/>
        <v>0</v>
      </c>
      <c r="AZ6016" s="46">
        <f t="shared" si="282"/>
        <v>0</v>
      </c>
    </row>
    <row r="6017" spans="50:52">
      <c r="AX6017" s="46">
        <f t="shared" si="280"/>
        <v>0</v>
      </c>
      <c r="AY6017" s="46">
        <f t="shared" si="281"/>
        <v>0</v>
      </c>
      <c r="AZ6017" s="46">
        <f t="shared" si="282"/>
        <v>0</v>
      </c>
    </row>
    <row r="6018" spans="50:52">
      <c r="AX6018" s="46">
        <f t="shared" si="280"/>
        <v>0</v>
      </c>
      <c r="AY6018" s="46">
        <f t="shared" si="281"/>
        <v>0</v>
      </c>
      <c r="AZ6018" s="46">
        <f t="shared" si="282"/>
        <v>0</v>
      </c>
    </row>
    <row r="6019" spans="50:52">
      <c r="AX6019" s="46">
        <f t="shared" si="280"/>
        <v>0</v>
      </c>
      <c r="AY6019" s="46">
        <f t="shared" si="281"/>
        <v>0</v>
      </c>
      <c r="AZ6019" s="46">
        <f t="shared" si="282"/>
        <v>0</v>
      </c>
    </row>
    <row r="6020" spans="50:52">
      <c r="AX6020" s="46">
        <f t="shared" si="280"/>
        <v>0</v>
      </c>
      <c r="AY6020" s="46">
        <f t="shared" si="281"/>
        <v>0</v>
      </c>
      <c r="AZ6020" s="46">
        <f t="shared" si="282"/>
        <v>0</v>
      </c>
    </row>
    <row r="6021" spans="50:52">
      <c r="AX6021" s="46">
        <f t="shared" si="280"/>
        <v>0</v>
      </c>
      <c r="AY6021" s="46">
        <f t="shared" si="281"/>
        <v>0</v>
      </c>
      <c r="AZ6021" s="46">
        <f t="shared" si="282"/>
        <v>0</v>
      </c>
    </row>
    <row r="6022" spans="50:52">
      <c r="AX6022" s="46">
        <f t="shared" si="280"/>
        <v>0</v>
      </c>
      <c r="AY6022" s="46">
        <f t="shared" si="281"/>
        <v>0</v>
      </c>
      <c r="AZ6022" s="46">
        <f t="shared" si="282"/>
        <v>0</v>
      </c>
    </row>
    <row r="6023" spans="50:52">
      <c r="AX6023" s="46">
        <f t="shared" si="280"/>
        <v>0</v>
      </c>
      <c r="AY6023" s="46">
        <f t="shared" si="281"/>
        <v>0</v>
      </c>
      <c r="AZ6023" s="46">
        <f t="shared" si="282"/>
        <v>0</v>
      </c>
    </row>
    <row r="6024" spans="50:52">
      <c r="AX6024" s="46">
        <f t="shared" si="280"/>
        <v>0</v>
      </c>
      <c r="AY6024" s="46">
        <f t="shared" si="281"/>
        <v>0</v>
      </c>
      <c r="AZ6024" s="46">
        <f t="shared" si="282"/>
        <v>0</v>
      </c>
    </row>
    <row r="6025" spans="50:52">
      <c r="AX6025" s="46">
        <f t="shared" si="280"/>
        <v>0</v>
      </c>
      <c r="AY6025" s="46">
        <f t="shared" si="281"/>
        <v>0</v>
      </c>
      <c r="AZ6025" s="46">
        <f t="shared" si="282"/>
        <v>0</v>
      </c>
    </row>
    <row r="6026" spans="50:52">
      <c r="AX6026" s="46">
        <f t="shared" si="280"/>
        <v>0</v>
      </c>
      <c r="AY6026" s="46">
        <f t="shared" si="281"/>
        <v>0</v>
      </c>
      <c r="AZ6026" s="46">
        <f t="shared" si="282"/>
        <v>0</v>
      </c>
    </row>
    <row r="6027" spans="50:52">
      <c r="AX6027" s="46">
        <f t="shared" ref="AX6027:AX6090" si="283">IFERROR(SUM(Q6027:AS6027)-SUM(AT6027:AU6027)+AV6027,"-")</f>
        <v>0</v>
      </c>
      <c r="AY6027" s="46">
        <f t="shared" ref="AY6027:AY6090" si="284">IFERROR(SUM(Q6027:AS6027)-SUM(AT6027:AT6027),"-")</f>
        <v>0</v>
      </c>
      <c r="AZ6027" s="46">
        <f t="shared" ref="AZ6027:AZ6090" si="285">SUM(Q6027:AS6027)</f>
        <v>0</v>
      </c>
    </row>
    <row r="6028" spans="50:52">
      <c r="AX6028" s="46">
        <f t="shared" si="283"/>
        <v>0</v>
      </c>
      <c r="AY6028" s="46">
        <f t="shared" si="284"/>
        <v>0</v>
      </c>
      <c r="AZ6028" s="46">
        <f t="shared" si="285"/>
        <v>0</v>
      </c>
    </row>
    <row r="6029" spans="50:52">
      <c r="AX6029" s="46">
        <f t="shared" si="283"/>
        <v>0</v>
      </c>
      <c r="AY6029" s="46">
        <f t="shared" si="284"/>
        <v>0</v>
      </c>
      <c r="AZ6029" s="46">
        <f t="shared" si="285"/>
        <v>0</v>
      </c>
    </row>
    <row r="6030" spans="50:52">
      <c r="AX6030" s="46">
        <f t="shared" si="283"/>
        <v>0</v>
      </c>
      <c r="AY6030" s="46">
        <f t="shared" si="284"/>
        <v>0</v>
      </c>
      <c r="AZ6030" s="46">
        <f t="shared" si="285"/>
        <v>0</v>
      </c>
    </row>
    <row r="6031" spans="50:52">
      <c r="AX6031" s="46">
        <f t="shared" si="283"/>
        <v>0</v>
      </c>
      <c r="AY6031" s="46">
        <f t="shared" si="284"/>
        <v>0</v>
      </c>
      <c r="AZ6031" s="46">
        <f t="shared" si="285"/>
        <v>0</v>
      </c>
    </row>
    <row r="6032" spans="50:52">
      <c r="AX6032" s="46">
        <f t="shared" si="283"/>
        <v>0</v>
      </c>
      <c r="AY6032" s="46">
        <f t="shared" si="284"/>
        <v>0</v>
      </c>
      <c r="AZ6032" s="46">
        <f t="shared" si="285"/>
        <v>0</v>
      </c>
    </row>
    <row r="6033" spans="50:52">
      <c r="AX6033" s="46">
        <f t="shared" si="283"/>
        <v>0</v>
      </c>
      <c r="AY6033" s="46">
        <f t="shared" si="284"/>
        <v>0</v>
      </c>
      <c r="AZ6033" s="46">
        <f t="shared" si="285"/>
        <v>0</v>
      </c>
    </row>
    <row r="6034" spans="50:52">
      <c r="AX6034" s="46">
        <f t="shared" si="283"/>
        <v>0</v>
      </c>
      <c r="AY6034" s="46">
        <f t="shared" si="284"/>
        <v>0</v>
      </c>
      <c r="AZ6034" s="46">
        <f t="shared" si="285"/>
        <v>0</v>
      </c>
    </row>
    <row r="6035" spans="50:52">
      <c r="AX6035" s="46">
        <f t="shared" si="283"/>
        <v>0</v>
      </c>
      <c r="AY6035" s="46">
        <f t="shared" si="284"/>
        <v>0</v>
      </c>
      <c r="AZ6035" s="46">
        <f t="shared" si="285"/>
        <v>0</v>
      </c>
    </row>
    <row r="6036" spans="50:52">
      <c r="AX6036" s="46">
        <f t="shared" si="283"/>
        <v>0</v>
      </c>
      <c r="AY6036" s="46">
        <f t="shared" si="284"/>
        <v>0</v>
      </c>
      <c r="AZ6036" s="46">
        <f t="shared" si="285"/>
        <v>0</v>
      </c>
    </row>
    <row r="6037" spans="50:52">
      <c r="AX6037" s="46">
        <f t="shared" si="283"/>
        <v>0</v>
      </c>
      <c r="AY6037" s="46">
        <f t="shared" si="284"/>
        <v>0</v>
      </c>
      <c r="AZ6037" s="46">
        <f t="shared" si="285"/>
        <v>0</v>
      </c>
    </row>
    <row r="6038" spans="50:52">
      <c r="AX6038" s="46">
        <f t="shared" si="283"/>
        <v>0</v>
      </c>
      <c r="AY6038" s="46">
        <f t="shared" si="284"/>
        <v>0</v>
      </c>
      <c r="AZ6038" s="46">
        <f t="shared" si="285"/>
        <v>0</v>
      </c>
    </row>
    <row r="6039" spans="50:52">
      <c r="AX6039" s="46">
        <f t="shared" si="283"/>
        <v>0</v>
      </c>
      <c r="AY6039" s="46">
        <f t="shared" si="284"/>
        <v>0</v>
      </c>
      <c r="AZ6039" s="46">
        <f t="shared" si="285"/>
        <v>0</v>
      </c>
    </row>
    <row r="6040" spans="50:52">
      <c r="AX6040" s="46">
        <f t="shared" si="283"/>
        <v>0</v>
      </c>
      <c r="AY6040" s="46">
        <f t="shared" si="284"/>
        <v>0</v>
      </c>
      <c r="AZ6040" s="46">
        <f t="shared" si="285"/>
        <v>0</v>
      </c>
    </row>
    <row r="6041" spans="50:52">
      <c r="AX6041" s="46">
        <f t="shared" si="283"/>
        <v>0</v>
      </c>
      <c r="AY6041" s="46">
        <f t="shared" si="284"/>
        <v>0</v>
      </c>
      <c r="AZ6041" s="46">
        <f t="shared" si="285"/>
        <v>0</v>
      </c>
    </row>
    <row r="6042" spans="50:52">
      <c r="AX6042" s="46">
        <f t="shared" si="283"/>
        <v>0</v>
      </c>
      <c r="AY6042" s="46">
        <f t="shared" si="284"/>
        <v>0</v>
      </c>
      <c r="AZ6042" s="46">
        <f t="shared" si="285"/>
        <v>0</v>
      </c>
    </row>
    <row r="6043" spans="50:52">
      <c r="AX6043" s="46">
        <f t="shared" si="283"/>
        <v>0</v>
      </c>
      <c r="AY6043" s="46">
        <f t="shared" si="284"/>
        <v>0</v>
      </c>
      <c r="AZ6043" s="46">
        <f t="shared" si="285"/>
        <v>0</v>
      </c>
    </row>
    <row r="6044" spans="50:52">
      <c r="AX6044" s="46">
        <f t="shared" si="283"/>
        <v>0</v>
      </c>
      <c r="AY6044" s="46">
        <f t="shared" si="284"/>
        <v>0</v>
      </c>
      <c r="AZ6044" s="46">
        <f t="shared" si="285"/>
        <v>0</v>
      </c>
    </row>
    <row r="6045" spans="50:52">
      <c r="AX6045" s="46">
        <f t="shared" si="283"/>
        <v>0</v>
      </c>
      <c r="AY6045" s="46">
        <f t="shared" si="284"/>
        <v>0</v>
      </c>
      <c r="AZ6045" s="46">
        <f t="shared" si="285"/>
        <v>0</v>
      </c>
    </row>
    <row r="6046" spans="50:52">
      <c r="AX6046" s="46">
        <f t="shared" si="283"/>
        <v>0</v>
      </c>
      <c r="AY6046" s="46">
        <f t="shared" si="284"/>
        <v>0</v>
      </c>
      <c r="AZ6046" s="46">
        <f t="shared" si="285"/>
        <v>0</v>
      </c>
    </row>
    <row r="6047" spans="50:52">
      <c r="AX6047" s="46">
        <f t="shared" si="283"/>
        <v>0</v>
      </c>
      <c r="AY6047" s="46">
        <f t="shared" si="284"/>
        <v>0</v>
      </c>
      <c r="AZ6047" s="46">
        <f t="shared" si="285"/>
        <v>0</v>
      </c>
    </row>
    <row r="6048" spans="50:52">
      <c r="AX6048" s="46">
        <f t="shared" si="283"/>
        <v>0</v>
      </c>
      <c r="AY6048" s="46">
        <f t="shared" si="284"/>
        <v>0</v>
      </c>
      <c r="AZ6048" s="46">
        <f t="shared" si="285"/>
        <v>0</v>
      </c>
    </row>
    <row r="6049" spans="50:52">
      <c r="AX6049" s="46">
        <f t="shared" si="283"/>
        <v>0</v>
      </c>
      <c r="AY6049" s="46">
        <f t="shared" si="284"/>
        <v>0</v>
      </c>
      <c r="AZ6049" s="46">
        <f t="shared" si="285"/>
        <v>0</v>
      </c>
    </row>
    <row r="6050" spans="50:52">
      <c r="AX6050" s="46">
        <f t="shared" si="283"/>
        <v>0</v>
      </c>
      <c r="AY6050" s="46">
        <f t="shared" si="284"/>
        <v>0</v>
      </c>
      <c r="AZ6050" s="46">
        <f t="shared" si="285"/>
        <v>0</v>
      </c>
    </row>
    <row r="6051" spans="50:52">
      <c r="AX6051" s="46">
        <f t="shared" si="283"/>
        <v>0</v>
      </c>
      <c r="AY6051" s="46">
        <f t="shared" si="284"/>
        <v>0</v>
      </c>
      <c r="AZ6051" s="46">
        <f t="shared" si="285"/>
        <v>0</v>
      </c>
    </row>
    <row r="6052" spans="50:52">
      <c r="AX6052" s="46">
        <f t="shared" si="283"/>
        <v>0</v>
      </c>
      <c r="AY6052" s="46">
        <f t="shared" si="284"/>
        <v>0</v>
      </c>
      <c r="AZ6052" s="46">
        <f t="shared" si="285"/>
        <v>0</v>
      </c>
    </row>
    <row r="6053" spans="50:52">
      <c r="AX6053" s="46">
        <f t="shared" si="283"/>
        <v>0</v>
      </c>
      <c r="AY6053" s="46">
        <f t="shared" si="284"/>
        <v>0</v>
      </c>
      <c r="AZ6053" s="46">
        <f t="shared" si="285"/>
        <v>0</v>
      </c>
    </row>
    <row r="6054" spans="50:52">
      <c r="AX6054" s="46">
        <f t="shared" si="283"/>
        <v>0</v>
      </c>
      <c r="AY6054" s="46">
        <f t="shared" si="284"/>
        <v>0</v>
      </c>
      <c r="AZ6054" s="46">
        <f t="shared" si="285"/>
        <v>0</v>
      </c>
    </row>
    <row r="6055" spans="50:52">
      <c r="AX6055" s="46">
        <f t="shared" si="283"/>
        <v>0</v>
      </c>
      <c r="AY6055" s="46">
        <f t="shared" si="284"/>
        <v>0</v>
      </c>
      <c r="AZ6055" s="46">
        <f t="shared" si="285"/>
        <v>0</v>
      </c>
    </row>
    <row r="6056" spans="50:52">
      <c r="AX6056" s="46">
        <f t="shared" si="283"/>
        <v>0</v>
      </c>
      <c r="AY6056" s="46">
        <f t="shared" si="284"/>
        <v>0</v>
      </c>
      <c r="AZ6056" s="46">
        <f t="shared" si="285"/>
        <v>0</v>
      </c>
    </row>
    <row r="6057" spans="50:52">
      <c r="AX6057" s="46">
        <f t="shared" si="283"/>
        <v>0</v>
      </c>
      <c r="AY6057" s="46">
        <f t="shared" si="284"/>
        <v>0</v>
      </c>
      <c r="AZ6057" s="46">
        <f t="shared" si="285"/>
        <v>0</v>
      </c>
    </row>
    <row r="6058" spans="50:52">
      <c r="AX6058" s="46">
        <f t="shared" si="283"/>
        <v>0</v>
      </c>
      <c r="AY6058" s="46">
        <f t="shared" si="284"/>
        <v>0</v>
      </c>
      <c r="AZ6058" s="46">
        <f t="shared" si="285"/>
        <v>0</v>
      </c>
    </row>
    <row r="6059" spans="50:52">
      <c r="AX6059" s="46">
        <f t="shared" si="283"/>
        <v>0</v>
      </c>
      <c r="AY6059" s="46">
        <f t="shared" si="284"/>
        <v>0</v>
      </c>
      <c r="AZ6059" s="46">
        <f t="shared" si="285"/>
        <v>0</v>
      </c>
    </row>
    <row r="6060" spans="50:52">
      <c r="AX6060" s="46">
        <f t="shared" si="283"/>
        <v>0</v>
      </c>
      <c r="AY6060" s="46">
        <f t="shared" si="284"/>
        <v>0</v>
      </c>
      <c r="AZ6060" s="46">
        <f t="shared" si="285"/>
        <v>0</v>
      </c>
    </row>
    <row r="6061" spans="50:52">
      <c r="AX6061" s="46">
        <f t="shared" si="283"/>
        <v>0</v>
      </c>
      <c r="AY6061" s="46">
        <f t="shared" si="284"/>
        <v>0</v>
      </c>
      <c r="AZ6061" s="46">
        <f t="shared" si="285"/>
        <v>0</v>
      </c>
    </row>
    <row r="6062" spans="50:52">
      <c r="AX6062" s="46">
        <f t="shared" si="283"/>
        <v>0</v>
      </c>
      <c r="AY6062" s="46">
        <f t="shared" si="284"/>
        <v>0</v>
      </c>
      <c r="AZ6062" s="46">
        <f t="shared" si="285"/>
        <v>0</v>
      </c>
    </row>
    <row r="6063" spans="50:52">
      <c r="AX6063" s="46">
        <f t="shared" si="283"/>
        <v>0</v>
      </c>
      <c r="AY6063" s="46">
        <f t="shared" si="284"/>
        <v>0</v>
      </c>
      <c r="AZ6063" s="46">
        <f t="shared" si="285"/>
        <v>0</v>
      </c>
    </row>
    <row r="6064" spans="50:52">
      <c r="AX6064" s="46">
        <f t="shared" si="283"/>
        <v>0</v>
      </c>
      <c r="AY6064" s="46">
        <f t="shared" si="284"/>
        <v>0</v>
      </c>
      <c r="AZ6064" s="46">
        <f t="shared" si="285"/>
        <v>0</v>
      </c>
    </row>
    <row r="6065" spans="50:52">
      <c r="AX6065" s="46">
        <f t="shared" si="283"/>
        <v>0</v>
      </c>
      <c r="AY6065" s="46">
        <f t="shared" si="284"/>
        <v>0</v>
      </c>
      <c r="AZ6065" s="46">
        <f t="shared" si="285"/>
        <v>0</v>
      </c>
    </row>
    <row r="6066" spans="50:52">
      <c r="AX6066" s="46">
        <f t="shared" si="283"/>
        <v>0</v>
      </c>
      <c r="AY6066" s="46">
        <f t="shared" si="284"/>
        <v>0</v>
      </c>
      <c r="AZ6066" s="46">
        <f t="shared" si="285"/>
        <v>0</v>
      </c>
    </row>
    <row r="6067" spans="50:52">
      <c r="AX6067" s="46">
        <f t="shared" si="283"/>
        <v>0</v>
      </c>
      <c r="AY6067" s="46">
        <f t="shared" si="284"/>
        <v>0</v>
      </c>
      <c r="AZ6067" s="46">
        <f t="shared" si="285"/>
        <v>0</v>
      </c>
    </row>
    <row r="6068" spans="50:52">
      <c r="AX6068" s="46">
        <f t="shared" si="283"/>
        <v>0</v>
      </c>
      <c r="AY6068" s="46">
        <f t="shared" si="284"/>
        <v>0</v>
      </c>
      <c r="AZ6068" s="46">
        <f t="shared" si="285"/>
        <v>0</v>
      </c>
    </row>
    <row r="6069" spans="50:52">
      <c r="AX6069" s="46">
        <f t="shared" si="283"/>
        <v>0</v>
      </c>
      <c r="AY6069" s="46">
        <f t="shared" si="284"/>
        <v>0</v>
      </c>
      <c r="AZ6069" s="46">
        <f t="shared" si="285"/>
        <v>0</v>
      </c>
    </row>
    <row r="6070" spans="50:52">
      <c r="AX6070" s="46">
        <f t="shared" si="283"/>
        <v>0</v>
      </c>
      <c r="AY6070" s="46">
        <f t="shared" si="284"/>
        <v>0</v>
      </c>
      <c r="AZ6070" s="46">
        <f t="shared" si="285"/>
        <v>0</v>
      </c>
    </row>
    <row r="6071" spans="50:52">
      <c r="AX6071" s="46">
        <f t="shared" si="283"/>
        <v>0</v>
      </c>
      <c r="AY6071" s="46">
        <f t="shared" si="284"/>
        <v>0</v>
      </c>
      <c r="AZ6071" s="46">
        <f t="shared" si="285"/>
        <v>0</v>
      </c>
    </row>
    <row r="6072" spans="50:52">
      <c r="AX6072" s="46">
        <f t="shared" si="283"/>
        <v>0</v>
      </c>
      <c r="AY6072" s="46">
        <f t="shared" si="284"/>
        <v>0</v>
      </c>
      <c r="AZ6072" s="46">
        <f t="shared" si="285"/>
        <v>0</v>
      </c>
    </row>
    <row r="6073" spans="50:52">
      <c r="AX6073" s="46">
        <f t="shared" si="283"/>
        <v>0</v>
      </c>
      <c r="AY6073" s="46">
        <f t="shared" si="284"/>
        <v>0</v>
      </c>
      <c r="AZ6073" s="46">
        <f t="shared" si="285"/>
        <v>0</v>
      </c>
    </row>
    <row r="6074" spans="50:52">
      <c r="AX6074" s="46">
        <f t="shared" si="283"/>
        <v>0</v>
      </c>
      <c r="AY6074" s="46">
        <f t="shared" si="284"/>
        <v>0</v>
      </c>
      <c r="AZ6074" s="46">
        <f t="shared" si="285"/>
        <v>0</v>
      </c>
    </row>
    <row r="6075" spans="50:52">
      <c r="AX6075" s="46">
        <f t="shared" si="283"/>
        <v>0</v>
      </c>
      <c r="AY6075" s="46">
        <f t="shared" si="284"/>
        <v>0</v>
      </c>
      <c r="AZ6075" s="46">
        <f t="shared" si="285"/>
        <v>0</v>
      </c>
    </row>
    <row r="6076" spans="50:52">
      <c r="AX6076" s="46">
        <f t="shared" si="283"/>
        <v>0</v>
      </c>
      <c r="AY6076" s="46">
        <f t="shared" si="284"/>
        <v>0</v>
      </c>
      <c r="AZ6076" s="46">
        <f t="shared" si="285"/>
        <v>0</v>
      </c>
    </row>
    <row r="6077" spans="50:52">
      <c r="AX6077" s="46">
        <f t="shared" si="283"/>
        <v>0</v>
      </c>
      <c r="AY6077" s="46">
        <f t="shared" si="284"/>
        <v>0</v>
      </c>
      <c r="AZ6077" s="46">
        <f t="shared" si="285"/>
        <v>0</v>
      </c>
    </row>
    <row r="6078" spans="50:52">
      <c r="AX6078" s="46">
        <f t="shared" si="283"/>
        <v>0</v>
      </c>
      <c r="AY6078" s="46">
        <f t="shared" si="284"/>
        <v>0</v>
      </c>
      <c r="AZ6078" s="46">
        <f t="shared" si="285"/>
        <v>0</v>
      </c>
    </row>
    <row r="6079" spans="50:52">
      <c r="AX6079" s="46">
        <f t="shared" si="283"/>
        <v>0</v>
      </c>
      <c r="AY6079" s="46">
        <f t="shared" si="284"/>
        <v>0</v>
      </c>
      <c r="AZ6079" s="46">
        <f t="shared" si="285"/>
        <v>0</v>
      </c>
    </row>
    <row r="6080" spans="50:52">
      <c r="AX6080" s="46">
        <f t="shared" si="283"/>
        <v>0</v>
      </c>
      <c r="AY6080" s="46">
        <f t="shared" si="284"/>
        <v>0</v>
      </c>
      <c r="AZ6080" s="46">
        <f t="shared" si="285"/>
        <v>0</v>
      </c>
    </row>
    <row r="6081" spans="50:52">
      <c r="AX6081" s="46">
        <f t="shared" si="283"/>
        <v>0</v>
      </c>
      <c r="AY6081" s="46">
        <f t="shared" si="284"/>
        <v>0</v>
      </c>
      <c r="AZ6081" s="46">
        <f t="shared" si="285"/>
        <v>0</v>
      </c>
    </row>
    <row r="6082" spans="50:52">
      <c r="AX6082" s="46">
        <f t="shared" si="283"/>
        <v>0</v>
      </c>
      <c r="AY6082" s="46">
        <f t="shared" si="284"/>
        <v>0</v>
      </c>
      <c r="AZ6082" s="46">
        <f t="shared" si="285"/>
        <v>0</v>
      </c>
    </row>
    <row r="6083" spans="50:52">
      <c r="AX6083" s="46">
        <f t="shared" si="283"/>
        <v>0</v>
      </c>
      <c r="AY6083" s="46">
        <f t="shared" si="284"/>
        <v>0</v>
      </c>
      <c r="AZ6083" s="46">
        <f t="shared" si="285"/>
        <v>0</v>
      </c>
    </row>
    <row r="6084" spans="50:52">
      <c r="AX6084" s="46">
        <f t="shared" si="283"/>
        <v>0</v>
      </c>
      <c r="AY6084" s="46">
        <f t="shared" si="284"/>
        <v>0</v>
      </c>
      <c r="AZ6084" s="46">
        <f t="shared" si="285"/>
        <v>0</v>
      </c>
    </row>
    <row r="6085" spans="50:52">
      <c r="AX6085" s="46">
        <f t="shared" si="283"/>
        <v>0</v>
      </c>
      <c r="AY6085" s="46">
        <f t="shared" si="284"/>
        <v>0</v>
      </c>
      <c r="AZ6085" s="46">
        <f t="shared" si="285"/>
        <v>0</v>
      </c>
    </row>
    <row r="6086" spans="50:52">
      <c r="AX6086" s="46">
        <f t="shared" si="283"/>
        <v>0</v>
      </c>
      <c r="AY6086" s="46">
        <f t="shared" si="284"/>
        <v>0</v>
      </c>
      <c r="AZ6086" s="46">
        <f t="shared" si="285"/>
        <v>0</v>
      </c>
    </row>
    <row r="6087" spans="50:52">
      <c r="AX6087" s="46">
        <f t="shared" si="283"/>
        <v>0</v>
      </c>
      <c r="AY6087" s="46">
        <f t="shared" si="284"/>
        <v>0</v>
      </c>
      <c r="AZ6087" s="46">
        <f t="shared" si="285"/>
        <v>0</v>
      </c>
    </row>
    <row r="6088" spans="50:52">
      <c r="AX6088" s="46">
        <f t="shared" si="283"/>
        <v>0</v>
      </c>
      <c r="AY6088" s="46">
        <f t="shared" si="284"/>
        <v>0</v>
      </c>
      <c r="AZ6088" s="46">
        <f t="shared" si="285"/>
        <v>0</v>
      </c>
    </row>
    <row r="6089" spans="50:52">
      <c r="AX6089" s="46">
        <f t="shared" si="283"/>
        <v>0</v>
      </c>
      <c r="AY6089" s="46">
        <f t="shared" si="284"/>
        <v>0</v>
      </c>
      <c r="AZ6089" s="46">
        <f t="shared" si="285"/>
        <v>0</v>
      </c>
    </row>
    <row r="6090" spans="50:52">
      <c r="AX6090" s="46">
        <f t="shared" si="283"/>
        <v>0</v>
      </c>
      <c r="AY6090" s="46">
        <f t="shared" si="284"/>
        <v>0</v>
      </c>
      <c r="AZ6090" s="46">
        <f t="shared" si="285"/>
        <v>0</v>
      </c>
    </row>
    <row r="6091" spans="50:52">
      <c r="AX6091" s="46">
        <f t="shared" ref="AX6091:AX6154" si="286">IFERROR(SUM(Q6091:AS6091)-SUM(AT6091:AU6091)+AV6091,"-")</f>
        <v>0</v>
      </c>
      <c r="AY6091" s="46">
        <f t="shared" ref="AY6091:AY6154" si="287">IFERROR(SUM(Q6091:AS6091)-SUM(AT6091:AT6091),"-")</f>
        <v>0</v>
      </c>
      <c r="AZ6091" s="46">
        <f t="shared" ref="AZ6091:AZ6154" si="288">SUM(Q6091:AS6091)</f>
        <v>0</v>
      </c>
    </row>
    <row r="6092" spans="50:52">
      <c r="AX6092" s="46">
        <f t="shared" si="286"/>
        <v>0</v>
      </c>
      <c r="AY6092" s="46">
        <f t="shared" si="287"/>
        <v>0</v>
      </c>
      <c r="AZ6092" s="46">
        <f t="shared" si="288"/>
        <v>0</v>
      </c>
    </row>
    <row r="6093" spans="50:52">
      <c r="AX6093" s="46">
        <f t="shared" si="286"/>
        <v>0</v>
      </c>
      <c r="AY6093" s="46">
        <f t="shared" si="287"/>
        <v>0</v>
      </c>
      <c r="AZ6093" s="46">
        <f t="shared" si="288"/>
        <v>0</v>
      </c>
    </row>
    <row r="6094" spans="50:52">
      <c r="AX6094" s="46">
        <f t="shared" si="286"/>
        <v>0</v>
      </c>
      <c r="AY6094" s="46">
        <f t="shared" si="287"/>
        <v>0</v>
      </c>
      <c r="AZ6094" s="46">
        <f t="shared" si="288"/>
        <v>0</v>
      </c>
    </row>
    <row r="6095" spans="50:52">
      <c r="AX6095" s="46">
        <f t="shared" si="286"/>
        <v>0</v>
      </c>
      <c r="AY6095" s="46">
        <f t="shared" si="287"/>
        <v>0</v>
      </c>
      <c r="AZ6095" s="46">
        <f t="shared" si="288"/>
        <v>0</v>
      </c>
    </row>
    <row r="6096" spans="50:52">
      <c r="AX6096" s="46">
        <f t="shared" si="286"/>
        <v>0</v>
      </c>
      <c r="AY6096" s="46">
        <f t="shared" si="287"/>
        <v>0</v>
      </c>
      <c r="AZ6096" s="46">
        <f t="shared" si="288"/>
        <v>0</v>
      </c>
    </row>
    <row r="6097" spans="50:52">
      <c r="AX6097" s="46">
        <f t="shared" si="286"/>
        <v>0</v>
      </c>
      <c r="AY6097" s="46">
        <f t="shared" si="287"/>
        <v>0</v>
      </c>
      <c r="AZ6097" s="46">
        <f t="shared" si="288"/>
        <v>0</v>
      </c>
    </row>
    <row r="6098" spans="50:52">
      <c r="AX6098" s="46">
        <f t="shared" si="286"/>
        <v>0</v>
      </c>
      <c r="AY6098" s="46">
        <f t="shared" si="287"/>
        <v>0</v>
      </c>
      <c r="AZ6098" s="46">
        <f t="shared" si="288"/>
        <v>0</v>
      </c>
    </row>
    <row r="6099" spans="50:52">
      <c r="AX6099" s="46">
        <f t="shared" si="286"/>
        <v>0</v>
      </c>
      <c r="AY6099" s="46">
        <f t="shared" si="287"/>
        <v>0</v>
      </c>
      <c r="AZ6099" s="46">
        <f t="shared" si="288"/>
        <v>0</v>
      </c>
    </row>
    <row r="6100" spans="50:52">
      <c r="AX6100" s="46">
        <f t="shared" si="286"/>
        <v>0</v>
      </c>
      <c r="AY6100" s="46">
        <f t="shared" si="287"/>
        <v>0</v>
      </c>
      <c r="AZ6100" s="46">
        <f t="shared" si="288"/>
        <v>0</v>
      </c>
    </row>
    <row r="6101" spans="50:52">
      <c r="AX6101" s="46">
        <f t="shared" si="286"/>
        <v>0</v>
      </c>
      <c r="AY6101" s="46">
        <f t="shared" si="287"/>
        <v>0</v>
      </c>
      <c r="AZ6101" s="46">
        <f t="shared" si="288"/>
        <v>0</v>
      </c>
    </row>
    <row r="6102" spans="50:52">
      <c r="AX6102" s="46">
        <f t="shared" si="286"/>
        <v>0</v>
      </c>
      <c r="AY6102" s="46">
        <f t="shared" si="287"/>
        <v>0</v>
      </c>
      <c r="AZ6102" s="46">
        <f t="shared" si="288"/>
        <v>0</v>
      </c>
    </row>
    <row r="6103" spans="50:52">
      <c r="AX6103" s="46">
        <f t="shared" si="286"/>
        <v>0</v>
      </c>
      <c r="AY6103" s="46">
        <f t="shared" si="287"/>
        <v>0</v>
      </c>
      <c r="AZ6103" s="46">
        <f t="shared" si="288"/>
        <v>0</v>
      </c>
    </row>
    <row r="6104" spans="50:52">
      <c r="AX6104" s="46">
        <f t="shared" si="286"/>
        <v>0</v>
      </c>
      <c r="AY6104" s="46">
        <f t="shared" si="287"/>
        <v>0</v>
      </c>
      <c r="AZ6104" s="46">
        <f t="shared" si="288"/>
        <v>0</v>
      </c>
    </row>
    <row r="6105" spans="50:52">
      <c r="AX6105" s="46">
        <f t="shared" si="286"/>
        <v>0</v>
      </c>
      <c r="AY6105" s="46">
        <f t="shared" si="287"/>
        <v>0</v>
      </c>
      <c r="AZ6105" s="46">
        <f t="shared" si="288"/>
        <v>0</v>
      </c>
    </row>
    <row r="6106" spans="50:52">
      <c r="AX6106" s="46">
        <f t="shared" si="286"/>
        <v>0</v>
      </c>
      <c r="AY6106" s="46">
        <f t="shared" si="287"/>
        <v>0</v>
      </c>
      <c r="AZ6106" s="46">
        <f t="shared" si="288"/>
        <v>0</v>
      </c>
    </row>
    <row r="6107" spans="50:52">
      <c r="AX6107" s="46">
        <f t="shared" si="286"/>
        <v>0</v>
      </c>
      <c r="AY6107" s="46">
        <f t="shared" si="287"/>
        <v>0</v>
      </c>
      <c r="AZ6107" s="46">
        <f t="shared" si="288"/>
        <v>0</v>
      </c>
    </row>
    <row r="6108" spans="50:52">
      <c r="AX6108" s="46">
        <f t="shared" si="286"/>
        <v>0</v>
      </c>
      <c r="AY6108" s="46">
        <f t="shared" si="287"/>
        <v>0</v>
      </c>
      <c r="AZ6108" s="46">
        <f t="shared" si="288"/>
        <v>0</v>
      </c>
    </row>
    <row r="6109" spans="50:52">
      <c r="AX6109" s="46">
        <f t="shared" si="286"/>
        <v>0</v>
      </c>
      <c r="AY6109" s="46">
        <f t="shared" si="287"/>
        <v>0</v>
      </c>
      <c r="AZ6109" s="46">
        <f t="shared" si="288"/>
        <v>0</v>
      </c>
    </row>
    <row r="6110" spans="50:52">
      <c r="AX6110" s="46">
        <f t="shared" si="286"/>
        <v>0</v>
      </c>
      <c r="AY6110" s="46">
        <f t="shared" si="287"/>
        <v>0</v>
      </c>
      <c r="AZ6110" s="46">
        <f t="shared" si="288"/>
        <v>0</v>
      </c>
    </row>
    <row r="6111" spans="50:52">
      <c r="AX6111" s="46">
        <f t="shared" si="286"/>
        <v>0</v>
      </c>
      <c r="AY6111" s="46">
        <f t="shared" si="287"/>
        <v>0</v>
      </c>
      <c r="AZ6111" s="46">
        <f t="shared" si="288"/>
        <v>0</v>
      </c>
    </row>
    <row r="6112" spans="50:52">
      <c r="AX6112" s="46">
        <f t="shared" si="286"/>
        <v>0</v>
      </c>
      <c r="AY6112" s="46">
        <f t="shared" si="287"/>
        <v>0</v>
      </c>
      <c r="AZ6112" s="46">
        <f t="shared" si="288"/>
        <v>0</v>
      </c>
    </row>
    <row r="6113" spans="50:52">
      <c r="AX6113" s="46">
        <f t="shared" si="286"/>
        <v>0</v>
      </c>
      <c r="AY6113" s="46">
        <f t="shared" si="287"/>
        <v>0</v>
      </c>
      <c r="AZ6113" s="46">
        <f t="shared" si="288"/>
        <v>0</v>
      </c>
    </row>
    <row r="6114" spans="50:52">
      <c r="AX6114" s="46">
        <f t="shared" si="286"/>
        <v>0</v>
      </c>
      <c r="AY6114" s="46">
        <f t="shared" si="287"/>
        <v>0</v>
      </c>
      <c r="AZ6114" s="46">
        <f t="shared" si="288"/>
        <v>0</v>
      </c>
    </row>
    <row r="6115" spans="50:52">
      <c r="AX6115" s="46">
        <f t="shared" si="286"/>
        <v>0</v>
      </c>
      <c r="AY6115" s="46">
        <f t="shared" si="287"/>
        <v>0</v>
      </c>
      <c r="AZ6115" s="46">
        <f t="shared" si="288"/>
        <v>0</v>
      </c>
    </row>
    <row r="6116" spans="50:52">
      <c r="AX6116" s="46">
        <f t="shared" si="286"/>
        <v>0</v>
      </c>
      <c r="AY6116" s="46">
        <f t="shared" si="287"/>
        <v>0</v>
      </c>
      <c r="AZ6116" s="46">
        <f t="shared" si="288"/>
        <v>0</v>
      </c>
    </row>
    <row r="6117" spans="50:52">
      <c r="AX6117" s="46">
        <f t="shared" si="286"/>
        <v>0</v>
      </c>
      <c r="AY6117" s="46">
        <f t="shared" si="287"/>
        <v>0</v>
      </c>
      <c r="AZ6117" s="46">
        <f t="shared" si="288"/>
        <v>0</v>
      </c>
    </row>
    <row r="6118" spans="50:52">
      <c r="AX6118" s="46">
        <f t="shared" si="286"/>
        <v>0</v>
      </c>
      <c r="AY6118" s="46">
        <f t="shared" si="287"/>
        <v>0</v>
      </c>
      <c r="AZ6118" s="46">
        <f t="shared" si="288"/>
        <v>0</v>
      </c>
    </row>
    <row r="6119" spans="50:52">
      <c r="AX6119" s="46">
        <f t="shared" si="286"/>
        <v>0</v>
      </c>
      <c r="AY6119" s="46">
        <f t="shared" si="287"/>
        <v>0</v>
      </c>
      <c r="AZ6119" s="46">
        <f t="shared" si="288"/>
        <v>0</v>
      </c>
    </row>
    <row r="6120" spans="50:52">
      <c r="AX6120" s="46">
        <f t="shared" si="286"/>
        <v>0</v>
      </c>
      <c r="AY6120" s="46">
        <f t="shared" si="287"/>
        <v>0</v>
      </c>
      <c r="AZ6120" s="46">
        <f t="shared" si="288"/>
        <v>0</v>
      </c>
    </row>
    <row r="6121" spans="50:52">
      <c r="AX6121" s="46">
        <f t="shared" si="286"/>
        <v>0</v>
      </c>
      <c r="AY6121" s="46">
        <f t="shared" si="287"/>
        <v>0</v>
      </c>
      <c r="AZ6121" s="46">
        <f t="shared" si="288"/>
        <v>0</v>
      </c>
    </row>
    <row r="6122" spans="50:52">
      <c r="AX6122" s="46">
        <f t="shared" si="286"/>
        <v>0</v>
      </c>
      <c r="AY6122" s="46">
        <f t="shared" si="287"/>
        <v>0</v>
      </c>
      <c r="AZ6122" s="46">
        <f t="shared" si="288"/>
        <v>0</v>
      </c>
    </row>
    <row r="6123" spans="50:52">
      <c r="AX6123" s="46">
        <f t="shared" si="286"/>
        <v>0</v>
      </c>
      <c r="AY6123" s="46">
        <f t="shared" si="287"/>
        <v>0</v>
      </c>
      <c r="AZ6123" s="46">
        <f t="shared" si="288"/>
        <v>0</v>
      </c>
    </row>
    <row r="6124" spans="50:52">
      <c r="AX6124" s="46">
        <f t="shared" si="286"/>
        <v>0</v>
      </c>
      <c r="AY6124" s="46">
        <f t="shared" si="287"/>
        <v>0</v>
      </c>
      <c r="AZ6124" s="46">
        <f t="shared" si="288"/>
        <v>0</v>
      </c>
    </row>
    <row r="6125" spans="50:52">
      <c r="AX6125" s="46">
        <f t="shared" si="286"/>
        <v>0</v>
      </c>
      <c r="AY6125" s="46">
        <f t="shared" si="287"/>
        <v>0</v>
      </c>
      <c r="AZ6125" s="46">
        <f t="shared" si="288"/>
        <v>0</v>
      </c>
    </row>
    <row r="6126" spans="50:52">
      <c r="AX6126" s="46">
        <f t="shared" si="286"/>
        <v>0</v>
      </c>
      <c r="AY6126" s="46">
        <f t="shared" si="287"/>
        <v>0</v>
      </c>
      <c r="AZ6126" s="46">
        <f t="shared" si="288"/>
        <v>0</v>
      </c>
    </row>
    <row r="6127" spans="50:52">
      <c r="AX6127" s="46">
        <f t="shared" si="286"/>
        <v>0</v>
      </c>
      <c r="AY6127" s="46">
        <f t="shared" si="287"/>
        <v>0</v>
      </c>
      <c r="AZ6127" s="46">
        <f t="shared" si="288"/>
        <v>0</v>
      </c>
    </row>
    <row r="6128" spans="50:52">
      <c r="AX6128" s="46">
        <f t="shared" si="286"/>
        <v>0</v>
      </c>
      <c r="AY6128" s="46">
        <f t="shared" si="287"/>
        <v>0</v>
      </c>
      <c r="AZ6128" s="46">
        <f t="shared" si="288"/>
        <v>0</v>
      </c>
    </row>
    <row r="6129" spans="50:52">
      <c r="AX6129" s="46">
        <f t="shared" si="286"/>
        <v>0</v>
      </c>
      <c r="AY6129" s="46">
        <f t="shared" si="287"/>
        <v>0</v>
      </c>
      <c r="AZ6129" s="46">
        <f t="shared" si="288"/>
        <v>0</v>
      </c>
    </row>
    <row r="6130" spans="50:52">
      <c r="AX6130" s="46">
        <f t="shared" si="286"/>
        <v>0</v>
      </c>
      <c r="AY6130" s="46">
        <f t="shared" si="287"/>
        <v>0</v>
      </c>
      <c r="AZ6130" s="46">
        <f t="shared" si="288"/>
        <v>0</v>
      </c>
    </row>
    <row r="6131" spans="50:52">
      <c r="AX6131" s="46">
        <f t="shared" si="286"/>
        <v>0</v>
      </c>
      <c r="AY6131" s="46">
        <f t="shared" si="287"/>
        <v>0</v>
      </c>
      <c r="AZ6131" s="46">
        <f t="shared" si="288"/>
        <v>0</v>
      </c>
    </row>
    <row r="6132" spans="50:52">
      <c r="AX6132" s="46">
        <f t="shared" si="286"/>
        <v>0</v>
      </c>
      <c r="AY6132" s="46">
        <f t="shared" si="287"/>
        <v>0</v>
      </c>
      <c r="AZ6132" s="46">
        <f t="shared" si="288"/>
        <v>0</v>
      </c>
    </row>
    <row r="6133" spans="50:52">
      <c r="AX6133" s="46">
        <f t="shared" si="286"/>
        <v>0</v>
      </c>
      <c r="AY6133" s="46">
        <f t="shared" si="287"/>
        <v>0</v>
      </c>
      <c r="AZ6133" s="46">
        <f t="shared" si="288"/>
        <v>0</v>
      </c>
    </row>
    <row r="6134" spans="50:52">
      <c r="AX6134" s="46">
        <f t="shared" si="286"/>
        <v>0</v>
      </c>
      <c r="AY6134" s="46">
        <f t="shared" si="287"/>
        <v>0</v>
      </c>
      <c r="AZ6134" s="46">
        <f t="shared" si="288"/>
        <v>0</v>
      </c>
    </row>
    <row r="6135" spans="50:52">
      <c r="AX6135" s="46">
        <f t="shared" si="286"/>
        <v>0</v>
      </c>
      <c r="AY6135" s="46">
        <f t="shared" si="287"/>
        <v>0</v>
      </c>
      <c r="AZ6135" s="46">
        <f t="shared" si="288"/>
        <v>0</v>
      </c>
    </row>
    <row r="6136" spans="50:52">
      <c r="AX6136" s="46">
        <f t="shared" si="286"/>
        <v>0</v>
      </c>
      <c r="AY6136" s="46">
        <f t="shared" si="287"/>
        <v>0</v>
      </c>
      <c r="AZ6136" s="46">
        <f t="shared" si="288"/>
        <v>0</v>
      </c>
    </row>
    <row r="6137" spans="50:52">
      <c r="AX6137" s="46">
        <f t="shared" si="286"/>
        <v>0</v>
      </c>
      <c r="AY6137" s="46">
        <f t="shared" si="287"/>
        <v>0</v>
      </c>
      <c r="AZ6137" s="46">
        <f t="shared" si="288"/>
        <v>0</v>
      </c>
    </row>
    <row r="6138" spans="50:52">
      <c r="AX6138" s="46">
        <f t="shared" si="286"/>
        <v>0</v>
      </c>
      <c r="AY6138" s="46">
        <f t="shared" si="287"/>
        <v>0</v>
      </c>
      <c r="AZ6138" s="46">
        <f t="shared" si="288"/>
        <v>0</v>
      </c>
    </row>
    <row r="6139" spans="50:52">
      <c r="AX6139" s="46">
        <f t="shared" si="286"/>
        <v>0</v>
      </c>
      <c r="AY6139" s="46">
        <f t="shared" si="287"/>
        <v>0</v>
      </c>
      <c r="AZ6139" s="46">
        <f t="shared" si="288"/>
        <v>0</v>
      </c>
    </row>
    <row r="6140" spans="50:52">
      <c r="AX6140" s="46">
        <f t="shared" si="286"/>
        <v>0</v>
      </c>
      <c r="AY6140" s="46">
        <f t="shared" si="287"/>
        <v>0</v>
      </c>
      <c r="AZ6140" s="46">
        <f t="shared" si="288"/>
        <v>0</v>
      </c>
    </row>
    <row r="6141" spans="50:52">
      <c r="AX6141" s="46">
        <f t="shared" si="286"/>
        <v>0</v>
      </c>
      <c r="AY6141" s="46">
        <f t="shared" si="287"/>
        <v>0</v>
      </c>
      <c r="AZ6141" s="46">
        <f t="shared" si="288"/>
        <v>0</v>
      </c>
    </row>
    <row r="6142" spans="50:52">
      <c r="AX6142" s="46">
        <f t="shared" si="286"/>
        <v>0</v>
      </c>
      <c r="AY6142" s="46">
        <f t="shared" si="287"/>
        <v>0</v>
      </c>
      <c r="AZ6142" s="46">
        <f t="shared" si="288"/>
        <v>0</v>
      </c>
    </row>
    <row r="6143" spans="50:52">
      <c r="AX6143" s="46">
        <f t="shared" si="286"/>
        <v>0</v>
      </c>
      <c r="AY6143" s="46">
        <f t="shared" si="287"/>
        <v>0</v>
      </c>
      <c r="AZ6143" s="46">
        <f t="shared" si="288"/>
        <v>0</v>
      </c>
    </row>
    <row r="6144" spans="50:52">
      <c r="AX6144" s="46">
        <f t="shared" si="286"/>
        <v>0</v>
      </c>
      <c r="AY6144" s="46">
        <f t="shared" si="287"/>
        <v>0</v>
      </c>
      <c r="AZ6144" s="46">
        <f t="shared" si="288"/>
        <v>0</v>
      </c>
    </row>
    <row r="6145" spans="50:52">
      <c r="AX6145" s="46">
        <f t="shared" si="286"/>
        <v>0</v>
      </c>
      <c r="AY6145" s="46">
        <f t="shared" si="287"/>
        <v>0</v>
      </c>
      <c r="AZ6145" s="46">
        <f t="shared" si="288"/>
        <v>0</v>
      </c>
    </row>
    <row r="6146" spans="50:52">
      <c r="AX6146" s="46">
        <f t="shared" si="286"/>
        <v>0</v>
      </c>
      <c r="AY6146" s="46">
        <f t="shared" si="287"/>
        <v>0</v>
      </c>
      <c r="AZ6146" s="46">
        <f t="shared" si="288"/>
        <v>0</v>
      </c>
    </row>
    <row r="6147" spans="50:52">
      <c r="AX6147" s="46">
        <f t="shared" si="286"/>
        <v>0</v>
      </c>
      <c r="AY6147" s="46">
        <f t="shared" si="287"/>
        <v>0</v>
      </c>
      <c r="AZ6147" s="46">
        <f t="shared" si="288"/>
        <v>0</v>
      </c>
    </row>
    <row r="6148" spans="50:52">
      <c r="AX6148" s="46">
        <f t="shared" si="286"/>
        <v>0</v>
      </c>
      <c r="AY6148" s="46">
        <f t="shared" si="287"/>
        <v>0</v>
      </c>
      <c r="AZ6148" s="46">
        <f t="shared" si="288"/>
        <v>0</v>
      </c>
    </row>
    <row r="6149" spans="50:52">
      <c r="AX6149" s="46">
        <f t="shared" si="286"/>
        <v>0</v>
      </c>
      <c r="AY6149" s="46">
        <f t="shared" si="287"/>
        <v>0</v>
      </c>
      <c r="AZ6149" s="46">
        <f t="shared" si="288"/>
        <v>0</v>
      </c>
    </row>
    <row r="6150" spans="50:52">
      <c r="AX6150" s="46">
        <f t="shared" si="286"/>
        <v>0</v>
      </c>
      <c r="AY6150" s="46">
        <f t="shared" si="287"/>
        <v>0</v>
      </c>
      <c r="AZ6150" s="46">
        <f t="shared" si="288"/>
        <v>0</v>
      </c>
    </row>
    <row r="6151" spans="50:52">
      <c r="AX6151" s="46">
        <f t="shared" si="286"/>
        <v>0</v>
      </c>
      <c r="AY6151" s="46">
        <f t="shared" si="287"/>
        <v>0</v>
      </c>
      <c r="AZ6151" s="46">
        <f t="shared" si="288"/>
        <v>0</v>
      </c>
    </row>
    <row r="6152" spans="50:52">
      <c r="AX6152" s="46">
        <f t="shared" si="286"/>
        <v>0</v>
      </c>
      <c r="AY6152" s="46">
        <f t="shared" si="287"/>
        <v>0</v>
      </c>
      <c r="AZ6152" s="46">
        <f t="shared" si="288"/>
        <v>0</v>
      </c>
    </row>
    <row r="6153" spans="50:52">
      <c r="AX6153" s="46">
        <f t="shared" si="286"/>
        <v>0</v>
      </c>
      <c r="AY6153" s="46">
        <f t="shared" si="287"/>
        <v>0</v>
      </c>
      <c r="AZ6153" s="46">
        <f t="shared" si="288"/>
        <v>0</v>
      </c>
    </row>
    <row r="6154" spans="50:52">
      <c r="AX6154" s="46">
        <f t="shared" si="286"/>
        <v>0</v>
      </c>
      <c r="AY6154" s="46">
        <f t="shared" si="287"/>
        <v>0</v>
      </c>
      <c r="AZ6154" s="46">
        <f t="shared" si="288"/>
        <v>0</v>
      </c>
    </row>
    <row r="6155" spans="50:52">
      <c r="AX6155" s="46">
        <f t="shared" ref="AX6155:AX6218" si="289">IFERROR(SUM(Q6155:AS6155)-SUM(AT6155:AU6155)+AV6155,"-")</f>
        <v>0</v>
      </c>
      <c r="AY6155" s="46">
        <f t="shared" ref="AY6155:AY6218" si="290">IFERROR(SUM(Q6155:AS6155)-SUM(AT6155:AT6155),"-")</f>
        <v>0</v>
      </c>
      <c r="AZ6155" s="46">
        <f t="shared" ref="AZ6155:AZ6218" si="291">SUM(Q6155:AS6155)</f>
        <v>0</v>
      </c>
    </row>
    <row r="6156" spans="50:52">
      <c r="AX6156" s="46">
        <f t="shared" si="289"/>
        <v>0</v>
      </c>
      <c r="AY6156" s="46">
        <f t="shared" si="290"/>
        <v>0</v>
      </c>
      <c r="AZ6156" s="46">
        <f t="shared" si="291"/>
        <v>0</v>
      </c>
    </row>
    <row r="6157" spans="50:52">
      <c r="AX6157" s="46">
        <f t="shared" si="289"/>
        <v>0</v>
      </c>
      <c r="AY6157" s="46">
        <f t="shared" si="290"/>
        <v>0</v>
      </c>
      <c r="AZ6157" s="46">
        <f t="shared" si="291"/>
        <v>0</v>
      </c>
    </row>
    <row r="6158" spans="50:52">
      <c r="AX6158" s="46">
        <f t="shared" si="289"/>
        <v>0</v>
      </c>
      <c r="AY6158" s="46">
        <f t="shared" si="290"/>
        <v>0</v>
      </c>
      <c r="AZ6158" s="46">
        <f t="shared" si="291"/>
        <v>0</v>
      </c>
    </row>
    <row r="6159" spans="50:52">
      <c r="AX6159" s="46">
        <f t="shared" si="289"/>
        <v>0</v>
      </c>
      <c r="AY6159" s="46">
        <f t="shared" si="290"/>
        <v>0</v>
      </c>
      <c r="AZ6159" s="46">
        <f t="shared" si="291"/>
        <v>0</v>
      </c>
    </row>
    <row r="6160" spans="50:52">
      <c r="AX6160" s="46">
        <f t="shared" si="289"/>
        <v>0</v>
      </c>
      <c r="AY6160" s="46">
        <f t="shared" si="290"/>
        <v>0</v>
      </c>
      <c r="AZ6160" s="46">
        <f t="shared" si="291"/>
        <v>0</v>
      </c>
    </row>
    <row r="6161" spans="50:52">
      <c r="AX6161" s="46">
        <f t="shared" si="289"/>
        <v>0</v>
      </c>
      <c r="AY6161" s="46">
        <f t="shared" si="290"/>
        <v>0</v>
      </c>
      <c r="AZ6161" s="46">
        <f t="shared" si="291"/>
        <v>0</v>
      </c>
    </row>
    <row r="6162" spans="50:52">
      <c r="AX6162" s="46">
        <f t="shared" si="289"/>
        <v>0</v>
      </c>
      <c r="AY6162" s="46">
        <f t="shared" si="290"/>
        <v>0</v>
      </c>
      <c r="AZ6162" s="46">
        <f t="shared" si="291"/>
        <v>0</v>
      </c>
    </row>
    <row r="6163" spans="50:52">
      <c r="AX6163" s="46">
        <f t="shared" si="289"/>
        <v>0</v>
      </c>
      <c r="AY6163" s="46">
        <f t="shared" si="290"/>
        <v>0</v>
      </c>
      <c r="AZ6163" s="46">
        <f t="shared" si="291"/>
        <v>0</v>
      </c>
    </row>
    <row r="6164" spans="50:52">
      <c r="AX6164" s="46">
        <f t="shared" si="289"/>
        <v>0</v>
      </c>
      <c r="AY6164" s="46">
        <f t="shared" si="290"/>
        <v>0</v>
      </c>
      <c r="AZ6164" s="46">
        <f t="shared" si="291"/>
        <v>0</v>
      </c>
    </row>
    <row r="6165" spans="50:52">
      <c r="AX6165" s="46">
        <f t="shared" si="289"/>
        <v>0</v>
      </c>
      <c r="AY6165" s="46">
        <f t="shared" si="290"/>
        <v>0</v>
      </c>
      <c r="AZ6165" s="46">
        <f t="shared" si="291"/>
        <v>0</v>
      </c>
    </row>
    <row r="6166" spans="50:52">
      <c r="AX6166" s="46">
        <f t="shared" si="289"/>
        <v>0</v>
      </c>
      <c r="AY6166" s="46">
        <f t="shared" si="290"/>
        <v>0</v>
      </c>
      <c r="AZ6166" s="46">
        <f t="shared" si="291"/>
        <v>0</v>
      </c>
    </row>
    <row r="6167" spans="50:52">
      <c r="AX6167" s="46">
        <f t="shared" si="289"/>
        <v>0</v>
      </c>
      <c r="AY6167" s="46">
        <f t="shared" si="290"/>
        <v>0</v>
      </c>
      <c r="AZ6167" s="46">
        <f t="shared" si="291"/>
        <v>0</v>
      </c>
    </row>
    <row r="6168" spans="50:52">
      <c r="AX6168" s="46">
        <f t="shared" si="289"/>
        <v>0</v>
      </c>
      <c r="AY6168" s="46">
        <f t="shared" si="290"/>
        <v>0</v>
      </c>
      <c r="AZ6168" s="46">
        <f t="shared" si="291"/>
        <v>0</v>
      </c>
    </row>
    <row r="6169" spans="50:52">
      <c r="AX6169" s="46">
        <f t="shared" si="289"/>
        <v>0</v>
      </c>
      <c r="AY6169" s="46">
        <f t="shared" si="290"/>
        <v>0</v>
      </c>
      <c r="AZ6169" s="46">
        <f t="shared" si="291"/>
        <v>0</v>
      </c>
    </row>
    <row r="6170" spans="50:52">
      <c r="AX6170" s="46">
        <f t="shared" si="289"/>
        <v>0</v>
      </c>
      <c r="AY6170" s="46">
        <f t="shared" si="290"/>
        <v>0</v>
      </c>
      <c r="AZ6170" s="46">
        <f t="shared" si="291"/>
        <v>0</v>
      </c>
    </row>
    <row r="6171" spans="50:52">
      <c r="AX6171" s="46">
        <f t="shared" si="289"/>
        <v>0</v>
      </c>
      <c r="AY6171" s="46">
        <f t="shared" si="290"/>
        <v>0</v>
      </c>
      <c r="AZ6171" s="46">
        <f t="shared" si="291"/>
        <v>0</v>
      </c>
    </row>
    <row r="6172" spans="50:52">
      <c r="AX6172" s="46">
        <f t="shared" si="289"/>
        <v>0</v>
      </c>
      <c r="AY6172" s="46">
        <f t="shared" si="290"/>
        <v>0</v>
      </c>
      <c r="AZ6172" s="46">
        <f t="shared" si="291"/>
        <v>0</v>
      </c>
    </row>
    <row r="6173" spans="50:52">
      <c r="AX6173" s="46">
        <f t="shared" si="289"/>
        <v>0</v>
      </c>
      <c r="AY6173" s="46">
        <f t="shared" si="290"/>
        <v>0</v>
      </c>
      <c r="AZ6173" s="46">
        <f t="shared" si="291"/>
        <v>0</v>
      </c>
    </row>
    <row r="6174" spans="50:52">
      <c r="AX6174" s="46">
        <f t="shared" si="289"/>
        <v>0</v>
      </c>
      <c r="AY6174" s="46">
        <f t="shared" si="290"/>
        <v>0</v>
      </c>
      <c r="AZ6174" s="46">
        <f t="shared" si="291"/>
        <v>0</v>
      </c>
    </row>
    <row r="6175" spans="50:52">
      <c r="AX6175" s="46">
        <f t="shared" si="289"/>
        <v>0</v>
      </c>
      <c r="AY6175" s="46">
        <f t="shared" si="290"/>
        <v>0</v>
      </c>
      <c r="AZ6175" s="46">
        <f t="shared" si="291"/>
        <v>0</v>
      </c>
    </row>
    <row r="6176" spans="50:52">
      <c r="AX6176" s="46">
        <f t="shared" si="289"/>
        <v>0</v>
      </c>
      <c r="AY6176" s="46">
        <f t="shared" si="290"/>
        <v>0</v>
      </c>
      <c r="AZ6176" s="46">
        <f t="shared" si="291"/>
        <v>0</v>
      </c>
    </row>
    <row r="6177" spans="50:52">
      <c r="AX6177" s="46">
        <f t="shared" si="289"/>
        <v>0</v>
      </c>
      <c r="AY6177" s="46">
        <f t="shared" si="290"/>
        <v>0</v>
      </c>
      <c r="AZ6177" s="46">
        <f t="shared" si="291"/>
        <v>0</v>
      </c>
    </row>
    <row r="6178" spans="50:52">
      <c r="AX6178" s="46">
        <f t="shared" si="289"/>
        <v>0</v>
      </c>
      <c r="AY6178" s="46">
        <f t="shared" si="290"/>
        <v>0</v>
      </c>
      <c r="AZ6178" s="46">
        <f t="shared" si="291"/>
        <v>0</v>
      </c>
    </row>
    <row r="6179" spans="50:52">
      <c r="AX6179" s="46">
        <f t="shared" si="289"/>
        <v>0</v>
      </c>
      <c r="AY6179" s="46">
        <f t="shared" si="290"/>
        <v>0</v>
      </c>
      <c r="AZ6179" s="46">
        <f t="shared" si="291"/>
        <v>0</v>
      </c>
    </row>
    <row r="6180" spans="50:52">
      <c r="AX6180" s="46">
        <f t="shared" si="289"/>
        <v>0</v>
      </c>
      <c r="AY6180" s="46">
        <f t="shared" si="290"/>
        <v>0</v>
      </c>
      <c r="AZ6180" s="46">
        <f t="shared" si="291"/>
        <v>0</v>
      </c>
    </row>
    <row r="6181" spans="50:52">
      <c r="AX6181" s="46">
        <f t="shared" si="289"/>
        <v>0</v>
      </c>
      <c r="AY6181" s="46">
        <f t="shared" si="290"/>
        <v>0</v>
      </c>
      <c r="AZ6181" s="46">
        <f t="shared" si="291"/>
        <v>0</v>
      </c>
    </row>
    <row r="6182" spans="50:52">
      <c r="AX6182" s="46">
        <f t="shared" si="289"/>
        <v>0</v>
      </c>
      <c r="AY6182" s="46">
        <f t="shared" si="290"/>
        <v>0</v>
      </c>
      <c r="AZ6182" s="46">
        <f t="shared" si="291"/>
        <v>0</v>
      </c>
    </row>
    <row r="6183" spans="50:52">
      <c r="AX6183" s="46">
        <f t="shared" si="289"/>
        <v>0</v>
      </c>
      <c r="AY6183" s="46">
        <f t="shared" si="290"/>
        <v>0</v>
      </c>
      <c r="AZ6183" s="46">
        <f t="shared" si="291"/>
        <v>0</v>
      </c>
    </row>
    <row r="6184" spans="50:52">
      <c r="AX6184" s="46">
        <f t="shared" si="289"/>
        <v>0</v>
      </c>
      <c r="AY6184" s="46">
        <f t="shared" si="290"/>
        <v>0</v>
      </c>
      <c r="AZ6184" s="46">
        <f t="shared" si="291"/>
        <v>0</v>
      </c>
    </row>
    <row r="6185" spans="50:52">
      <c r="AX6185" s="46">
        <f t="shared" si="289"/>
        <v>0</v>
      </c>
      <c r="AY6185" s="46">
        <f t="shared" si="290"/>
        <v>0</v>
      </c>
      <c r="AZ6185" s="46">
        <f t="shared" si="291"/>
        <v>0</v>
      </c>
    </row>
    <row r="6186" spans="50:52">
      <c r="AX6186" s="46">
        <f t="shared" si="289"/>
        <v>0</v>
      </c>
      <c r="AY6186" s="46">
        <f t="shared" si="290"/>
        <v>0</v>
      </c>
      <c r="AZ6186" s="46">
        <f t="shared" si="291"/>
        <v>0</v>
      </c>
    </row>
    <row r="6187" spans="50:52">
      <c r="AX6187" s="46">
        <f t="shared" si="289"/>
        <v>0</v>
      </c>
      <c r="AY6187" s="46">
        <f t="shared" si="290"/>
        <v>0</v>
      </c>
      <c r="AZ6187" s="46">
        <f t="shared" si="291"/>
        <v>0</v>
      </c>
    </row>
    <row r="6188" spans="50:52">
      <c r="AX6188" s="46">
        <f t="shared" si="289"/>
        <v>0</v>
      </c>
      <c r="AY6188" s="46">
        <f t="shared" si="290"/>
        <v>0</v>
      </c>
      <c r="AZ6188" s="46">
        <f t="shared" si="291"/>
        <v>0</v>
      </c>
    </row>
    <row r="6189" spans="50:52">
      <c r="AX6189" s="46">
        <f t="shared" si="289"/>
        <v>0</v>
      </c>
      <c r="AY6189" s="46">
        <f t="shared" si="290"/>
        <v>0</v>
      </c>
      <c r="AZ6189" s="46">
        <f t="shared" si="291"/>
        <v>0</v>
      </c>
    </row>
    <row r="6190" spans="50:52">
      <c r="AX6190" s="46">
        <f t="shared" si="289"/>
        <v>0</v>
      </c>
      <c r="AY6190" s="46">
        <f t="shared" si="290"/>
        <v>0</v>
      </c>
      <c r="AZ6190" s="46">
        <f t="shared" si="291"/>
        <v>0</v>
      </c>
    </row>
    <row r="6191" spans="50:52">
      <c r="AX6191" s="46">
        <f t="shared" si="289"/>
        <v>0</v>
      </c>
      <c r="AY6191" s="46">
        <f t="shared" si="290"/>
        <v>0</v>
      </c>
      <c r="AZ6191" s="46">
        <f t="shared" si="291"/>
        <v>0</v>
      </c>
    </row>
    <row r="6192" spans="50:52">
      <c r="AX6192" s="46">
        <f t="shared" si="289"/>
        <v>0</v>
      </c>
      <c r="AY6192" s="46">
        <f t="shared" si="290"/>
        <v>0</v>
      </c>
      <c r="AZ6192" s="46">
        <f t="shared" si="291"/>
        <v>0</v>
      </c>
    </row>
    <row r="6193" spans="50:52">
      <c r="AX6193" s="46">
        <f t="shared" si="289"/>
        <v>0</v>
      </c>
      <c r="AY6193" s="46">
        <f t="shared" si="290"/>
        <v>0</v>
      </c>
      <c r="AZ6193" s="46">
        <f t="shared" si="291"/>
        <v>0</v>
      </c>
    </row>
    <row r="6194" spans="50:52">
      <c r="AX6194" s="46">
        <f t="shared" si="289"/>
        <v>0</v>
      </c>
      <c r="AY6194" s="46">
        <f t="shared" si="290"/>
        <v>0</v>
      </c>
      <c r="AZ6194" s="46">
        <f t="shared" si="291"/>
        <v>0</v>
      </c>
    </row>
    <row r="6195" spans="50:52">
      <c r="AX6195" s="46">
        <f t="shared" si="289"/>
        <v>0</v>
      </c>
      <c r="AY6195" s="46">
        <f t="shared" si="290"/>
        <v>0</v>
      </c>
      <c r="AZ6195" s="46">
        <f t="shared" si="291"/>
        <v>0</v>
      </c>
    </row>
    <row r="6196" spans="50:52">
      <c r="AX6196" s="46">
        <f t="shared" si="289"/>
        <v>0</v>
      </c>
      <c r="AY6196" s="46">
        <f t="shared" si="290"/>
        <v>0</v>
      </c>
      <c r="AZ6196" s="46">
        <f t="shared" si="291"/>
        <v>0</v>
      </c>
    </row>
    <row r="6197" spans="50:52">
      <c r="AX6197" s="46">
        <f t="shared" si="289"/>
        <v>0</v>
      </c>
      <c r="AY6197" s="46">
        <f t="shared" si="290"/>
        <v>0</v>
      </c>
      <c r="AZ6197" s="46">
        <f t="shared" si="291"/>
        <v>0</v>
      </c>
    </row>
    <row r="6198" spans="50:52">
      <c r="AX6198" s="46">
        <f t="shared" si="289"/>
        <v>0</v>
      </c>
      <c r="AY6198" s="46">
        <f t="shared" si="290"/>
        <v>0</v>
      </c>
      <c r="AZ6198" s="46">
        <f t="shared" si="291"/>
        <v>0</v>
      </c>
    </row>
    <row r="6199" spans="50:52">
      <c r="AX6199" s="46">
        <f t="shared" si="289"/>
        <v>0</v>
      </c>
      <c r="AY6199" s="46">
        <f t="shared" si="290"/>
        <v>0</v>
      </c>
      <c r="AZ6199" s="46">
        <f t="shared" si="291"/>
        <v>0</v>
      </c>
    </row>
    <row r="6200" spans="50:52">
      <c r="AX6200" s="46">
        <f t="shared" si="289"/>
        <v>0</v>
      </c>
      <c r="AY6200" s="46">
        <f t="shared" si="290"/>
        <v>0</v>
      </c>
      <c r="AZ6200" s="46">
        <f t="shared" si="291"/>
        <v>0</v>
      </c>
    </row>
    <row r="6201" spans="50:52">
      <c r="AX6201" s="46">
        <f t="shared" si="289"/>
        <v>0</v>
      </c>
      <c r="AY6201" s="46">
        <f t="shared" si="290"/>
        <v>0</v>
      </c>
      <c r="AZ6201" s="46">
        <f t="shared" si="291"/>
        <v>0</v>
      </c>
    </row>
    <row r="6202" spans="50:52">
      <c r="AX6202" s="46">
        <f t="shared" si="289"/>
        <v>0</v>
      </c>
      <c r="AY6202" s="46">
        <f t="shared" si="290"/>
        <v>0</v>
      </c>
      <c r="AZ6202" s="46">
        <f t="shared" si="291"/>
        <v>0</v>
      </c>
    </row>
    <row r="6203" spans="50:52">
      <c r="AX6203" s="46">
        <f t="shared" si="289"/>
        <v>0</v>
      </c>
      <c r="AY6203" s="46">
        <f t="shared" si="290"/>
        <v>0</v>
      </c>
      <c r="AZ6203" s="46">
        <f t="shared" si="291"/>
        <v>0</v>
      </c>
    </row>
    <row r="6204" spans="50:52">
      <c r="AX6204" s="46">
        <f t="shared" si="289"/>
        <v>0</v>
      </c>
      <c r="AY6204" s="46">
        <f t="shared" si="290"/>
        <v>0</v>
      </c>
      <c r="AZ6204" s="46">
        <f t="shared" si="291"/>
        <v>0</v>
      </c>
    </row>
    <row r="6205" spans="50:52">
      <c r="AX6205" s="46">
        <f t="shared" si="289"/>
        <v>0</v>
      </c>
      <c r="AY6205" s="46">
        <f t="shared" si="290"/>
        <v>0</v>
      </c>
      <c r="AZ6205" s="46">
        <f t="shared" si="291"/>
        <v>0</v>
      </c>
    </row>
    <row r="6206" spans="50:52">
      <c r="AX6206" s="46">
        <f t="shared" si="289"/>
        <v>0</v>
      </c>
      <c r="AY6206" s="46">
        <f t="shared" si="290"/>
        <v>0</v>
      </c>
      <c r="AZ6206" s="46">
        <f t="shared" si="291"/>
        <v>0</v>
      </c>
    </row>
    <row r="6207" spans="50:52">
      <c r="AX6207" s="46">
        <f t="shared" si="289"/>
        <v>0</v>
      </c>
      <c r="AY6207" s="46">
        <f t="shared" si="290"/>
        <v>0</v>
      </c>
      <c r="AZ6207" s="46">
        <f t="shared" si="291"/>
        <v>0</v>
      </c>
    </row>
    <row r="6208" spans="50:52">
      <c r="AX6208" s="46">
        <f t="shared" si="289"/>
        <v>0</v>
      </c>
      <c r="AY6208" s="46">
        <f t="shared" si="290"/>
        <v>0</v>
      </c>
      <c r="AZ6208" s="46">
        <f t="shared" si="291"/>
        <v>0</v>
      </c>
    </row>
    <row r="6209" spans="50:52">
      <c r="AX6209" s="46">
        <f t="shared" si="289"/>
        <v>0</v>
      </c>
      <c r="AY6209" s="46">
        <f t="shared" si="290"/>
        <v>0</v>
      </c>
      <c r="AZ6209" s="46">
        <f t="shared" si="291"/>
        <v>0</v>
      </c>
    </row>
    <row r="6210" spans="50:52">
      <c r="AX6210" s="46">
        <f t="shared" si="289"/>
        <v>0</v>
      </c>
      <c r="AY6210" s="46">
        <f t="shared" si="290"/>
        <v>0</v>
      </c>
      <c r="AZ6210" s="46">
        <f t="shared" si="291"/>
        <v>0</v>
      </c>
    </row>
    <row r="6211" spans="50:52">
      <c r="AX6211" s="46">
        <f t="shared" si="289"/>
        <v>0</v>
      </c>
      <c r="AY6211" s="46">
        <f t="shared" si="290"/>
        <v>0</v>
      </c>
      <c r="AZ6211" s="46">
        <f t="shared" si="291"/>
        <v>0</v>
      </c>
    </row>
    <row r="6212" spans="50:52">
      <c r="AX6212" s="46">
        <f t="shared" si="289"/>
        <v>0</v>
      </c>
      <c r="AY6212" s="46">
        <f t="shared" si="290"/>
        <v>0</v>
      </c>
      <c r="AZ6212" s="46">
        <f t="shared" si="291"/>
        <v>0</v>
      </c>
    </row>
    <row r="6213" spans="50:52">
      <c r="AX6213" s="46">
        <f t="shared" si="289"/>
        <v>0</v>
      </c>
      <c r="AY6213" s="46">
        <f t="shared" si="290"/>
        <v>0</v>
      </c>
      <c r="AZ6213" s="46">
        <f t="shared" si="291"/>
        <v>0</v>
      </c>
    </row>
    <row r="6214" spans="50:52">
      <c r="AX6214" s="46">
        <f t="shared" si="289"/>
        <v>0</v>
      </c>
      <c r="AY6214" s="46">
        <f t="shared" si="290"/>
        <v>0</v>
      </c>
      <c r="AZ6214" s="46">
        <f t="shared" si="291"/>
        <v>0</v>
      </c>
    </row>
    <row r="6215" spans="50:52">
      <c r="AX6215" s="46">
        <f t="shared" si="289"/>
        <v>0</v>
      </c>
      <c r="AY6215" s="46">
        <f t="shared" si="290"/>
        <v>0</v>
      </c>
      <c r="AZ6215" s="46">
        <f t="shared" si="291"/>
        <v>0</v>
      </c>
    </row>
    <row r="6216" spans="50:52">
      <c r="AX6216" s="46">
        <f t="shared" si="289"/>
        <v>0</v>
      </c>
      <c r="AY6216" s="46">
        <f t="shared" si="290"/>
        <v>0</v>
      </c>
      <c r="AZ6216" s="46">
        <f t="shared" si="291"/>
        <v>0</v>
      </c>
    </row>
    <row r="6217" spans="50:52">
      <c r="AX6217" s="46">
        <f t="shared" si="289"/>
        <v>0</v>
      </c>
      <c r="AY6217" s="46">
        <f t="shared" si="290"/>
        <v>0</v>
      </c>
      <c r="AZ6217" s="46">
        <f t="shared" si="291"/>
        <v>0</v>
      </c>
    </row>
    <row r="6218" spans="50:52">
      <c r="AX6218" s="46">
        <f t="shared" si="289"/>
        <v>0</v>
      </c>
      <c r="AY6218" s="46">
        <f t="shared" si="290"/>
        <v>0</v>
      </c>
      <c r="AZ6218" s="46">
        <f t="shared" si="291"/>
        <v>0</v>
      </c>
    </row>
    <row r="6219" spans="50:52">
      <c r="AX6219" s="46">
        <f t="shared" ref="AX6219:AX6282" si="292">IFERROR(SUM(Q6219:AS6219)-SUM(AT6219:AU6219)+AV6219,"-")</f>
        <v>0</v>
      </c>
      <c r="AY6219" s="46">
        <f t="shared" ref="AY6219:AY6282" si="293">IFERROR(SUM(Q6219:AS6219)-SUM(AT6219:AT6219),"-")</f>
        <v>0</v>
      </c>
      <c r="AZ6219" s="46">
        <f t="shared" ref="AZ6219:AZ6282" si="294">SUM(Q6219:AS6219)</f>
        <v>0</v>
      </c>
    </row>
    <row r="6220" spans="50:52">
      <c r="AX6220" s="46">
        <f t="shared" si="292"/>
        <v>0</v>
      </c>
      <c r="AY6220" s="46">
        <f t="shared" si="293"/>
        <v>0</v>
      </c>
      <c r="AZ6220" s="46">
        <f t="shared" si="294"/>
        <v>0</v>
      </c>
    </row>
    <row r="6221" spans="50:52">
      <c r="AX6221" s="46">
        <f t="shared" si="292"/>
        <v>0</v>
      </c>
      <c r="AY6221" s="46">
        <f t="shared" si="293"/>
        <v>0</v>
      </c>
      <c r="AZ6221" s="46">
        <f t="shared" si="294"/>
        <v>0</v>
      </c>
    </row>
    <row r="6222" spans="50:52">
      <c r="AX6222" s="46">
        <f t="shared" si="292"/>
        <v>0</v>
      </c>
      <c r="AY6222" s="46">
        <f t="shared" si="293"/>
        <v>0</v>
      </c>
      <c r="AZ6222" s="46">
        <f t="shared" si="294"/>
        <v>0</v>
      </c>
    </row>
    <row r="6223" spans="50:52">
      <c r="AX6223" s="46">
        <f t="shared" si="292"/>
        <v>0</v>
      </c>
      <c r="AY6223" s="46">
        <f t="shared" si="293"/>
        <v>0</v>
      </c>
      <c r="AZ6223" s="46">
        <f t="shared" si="294"/>
        <v>0</v>
      </c>
    </row>
    <row r="6224" spans="50:52">
      <c r="AX6224" s="46">
        <f t="shared" si="292"/>
        <v>0</v>
      </c>
      <c r="AY6224" s="46">
        <f t="shared" si="293"/>
        <v>0</v>
      </c>
      <c r="AZ6224" s="46">
        <f t="shared" si="294"/>
        <v>0</v>
      </c>
    </row>
    <row r="6225" spans="50:52">
      <c r="AX6225" s="46">
        <f t="shared" si="292"/>
        <v>0</v>
      </c>
      <c r="AY6225" s="46">
        <f t="shared" si="293"/>
        <v>0</v>
      </c>
      <c r="AZ6225" s="46">
        <f t="shared" si="294"/>
        <v>0</v>
      </c>
    </row>
    <row r="6226" spans="50:52">
      <c r="AX6226" s="46">
        <f t="shared" si="292"/>
        <v>0</v>
      </c>
      <c r="AY6226" s="46">
        <f t="shared" si="293"/>
        <v>0</v>
      </c>
      <c r="AZ6226" s="46">
        <f t="shared" si="294"/>
        <v>0</v>
      </c>
    </row>
    <row r="6227" spans="50:52">
      <c r="AX6227" s="46">
        <f t="shared" si="292"/>
        <v>0</v>
      </c>
      <c r="AY6227" s="46">
        <f t="shared" si="293"/>
        <v>0</v>
      </c>
      <c r="AZ6227" s="46">
        <f t="shared" si="294"/>
        <v>0</v>
      </c>
    </row>
    <row r="6228" spans="50:52">
      <c r="AX6228" s="46">
        <f t="shared" si="292"/>
        <v>0</v>
      </c>
      <c r="AY6228" s="46">
        <f t="shared" si="293"/>
        <v>0</v>
      </c>
      <c r="AZ6228" s="46">
        <f t="shared" si="294"/>
        <v>0</v>
      </c>
    </row>
    <row r="6229" spans="50:52">
      <c r="AX6229" s="46">
        <f t="shared" si="292"/>
        <v>0</v>
      </c>
      <c r="AY6229" s="46">
        <f t="shared" si="293"/>
        <v>0</v>
      </c>
      <c r="AZ6229" s="46">
        <f t="shared" si="294"/>
        <v>0</v>
      </c>
    </row>
    <row r="6230" spans="50:52">
      <c r="AX6230" s="46">
        <f t="shared" si="292"/>
        <v>0</v>
      </c>
      <c r="AY6230" s="46">
        <f t="shared" si="293"/>
        <v>0</v>
      </c>
      <c r="AZ6230" s="46">
        <f t="shared" si="294"/>
        <v>0</v>
      </c>
    </row>
    <row r="6231" spans="50:52">
      <c r="AX6231" s="46">
        <f t="shared" si="292"/>
        <v>0</v>
      </c>
      <c r="AY6231" s="46">
        <f t="shared" si="293"/>
        <v>0</v>
      </c>
      <c r="AZ6231" s="46">
        <f t="shared" si="294"/>
        <v>0</v>
      </c>
    </row>
    <row r="6232" spans="50:52">
      <c r="AX6232" s="46">
        <f t="shared" si="292"/>
        <v>0</v>
      </c>
      <c r="AY6232" s="46">
        <f t="shared" si="293"/>
        <v>0</v>
      </c>
      <c r="AZ6232" s="46">
        <f t="shared" si="294"/>
        <v>0</v>
      </c>
    </row>
    <row r="6233" spans="50:52">
      <c r="AX6233" s="46">
        <f t="shared" si="292"/>
        <v>0</v>
      </c>
      <c r="AY6233" s="46">
        <f t="shared" si="293"/>
        <v>0</v>
      </c>
      <c r="AZ6233" s="46">
        <f t="shared" si="294"/>
        <v>0</v>
      </c>
    </row>
    <row r="6234" spans="50:52">
      <c r="AX6234" s="46">
        <f t="shared" si="292"/>
        <v>0</v>
      </c>
      <c r="AY6234" s="46">
        <f t="shared" si="293"/>
        <v>0</v>
      </c>
      <c r="AZ6234" s="46">
        <f t="shared" si="294"/>
        <v>0</v>
      </c>
    </row>
    <row r="6235" spans="50:52">
      <c r="AX6235" s="46">
        <f t="shared" si="292"/>
        <v>0</v>
      </c>
      <c r="AY6235" s="46">
        <f t="shared" si="293"/>
        <v>0</v>
      </c>
      <c r="AZ6235" s="46">
        <f t="shared" si="294"/>
        <v>0</v>
      </c>
    </row>
    <row r="6236" spans="50:52">
      <c r="AX6236" s="46">
        <f t="shared" si="292"/>
        <v>0</v>
      </c>
      <c r="AY6236" s="46">
        <f t="shared" si="293"/>
        <v>0</v>
      </c>
      <c r="AZ6236" s="46">
        <f t="shared" si="294"/>
        <v>0</v>
      </c>
    </row>
    <row r="6237" spans="50:52">
      <c r="AX6237" s="46">
        <f t="shared" si="292"/>
        <v>0</v>
      </c>
      <c r="AY6237" s="46">
        <f t="shared" si="293"/>
        <v>0</v>
      </c>
      <c r="AZ6237" s="46">
        <f t="shared" si="294"/>
        <v>0</v>
      </c>
    </row>
    <row r="6238" spans="50:52">
      <c r="AX6238" s="46">
        <f t="shared" si="292"/>
        <v>0</v>
      </c>
      <c r="AY6238" s="46">
        <f t="shared" si="293"/>
        <v>0</v>
      </c>
      <c r="AZ6238" s="46">
        <f t="shared" si="294"/>
        <v>0</v>
      </c>
    </row>
    <row r="6239" spans="50:52">
      <c r="AX6239" s="46">
        <f t="shared" si="292"/>
        <v>0</v>
      </c>
      <c r="AY6239" s="46">
        <f t="shared" si="293"/>
        <v>0</v>
      </c>
      <c r="AZ6239" s="46">
        <f t="shared" si="294"/>
        <v>0</v>
      </c>
    </row>
    <row r="6240" spans="50:52">
      <c r="AX6240" s="46">
        <f t="shared" si="292"/>
        <v>0</v>
      </c>
      <c r="AY6240" s="46">
        <f t="shared" si="293"/>
        <v>0</v>
      </c>
      <c r="AZ6240" s="46">
        <f t="shared" si="294"/>
        <v>0</v>
      </c>
    </row>
    <row r="6241" spans="50:52">
      <c r="AX6241" s="46">
        <f t="shared" si="292"/>
        <v>0</v>
      </c>
      <c r="AY6241" s="46">
        <f t="shared" si="293"/>
        <v>0</v>
      </c>
      <c r="AZ6241" s="46">
        <f t="shared" si="294"/>
        <v>0</v>
      </c>
    </row>
    <row r="6242" spans="50:52">
      <c r="AX6242" s="46">
        <f t="shared" si="292"/>
        <v>0</v>
      </c>
      <c r="AY6242" s="46">
        <f t="shared" si="293"/>
        <v>0</v>
      </c>
      <c r="AZ6242" s="46">
        <f t="shared" si="294"/>
        <v>0</v>
      </c>
    </row>
    <row r="6243" spans="50:52">
      <c r="AX6243" s="46">
        <f t="shared" si="292"/>
        <v>0</v>
      </c>
      <c r="AY6243" s="46">
        <f t="shared" si="293"/>
        <v>0</v>
      </c>
      <c r="AZ6243" s="46">
        <f t="shared" si="294"/>
        <v>0</v>
      </c>
    </row>
    <row r="6244" spans="50:52">
      <c r="AX6244" s="46">
        <f t="shared" si="292"/>
        <v>0</v>
      </c>
      <c r="AY6244" s="46">
        <f t="shared" si="293"/>
        <v>0</v>
      </c>
      <c r="AZ6244" s="46">
        <f t="shared" si="294"/>
        <v>0</v>
      </c>
    </row>
    <row r="6245" spans="50:52">
      <c r="AX6245" s="46">
        <f t="shared" si="292"/>
        <v>0</v>
      </c>
      <c r="AY6245" s="46">
        <f t="shared" si="293"/>
        <v>0</v>
      </c>
      <c r="AZ6245" s="46">
        <f t="shared" si="294"/>
        <v>0</v>
      </c>
    </row>
    <row r="6246" spans="50:52">
      <c r="AX6246" s="46">
        <f t="shared" si="292"/>
        <v>0</v>
      </c>
      <c r="AY6246" s="46">
        <f t="shared" si="293"/>
        <v>0</v>
      </c>
      <c r="AZ6246" s="46">
        <f t="shared" si="294"/>
        <v>0</v>
      </c>
    </row>
    <row r="6247" spans="50:52">
      <c r="AX6247" s="46">
        <f t="shared" si="292"/>
        <v>0</v>
      </c>
      <c r="AY6247" s="46">
        <f t="shared" si="293"/>
        <v>0</v>
      </c>
      <c r="AZ6247" s="46">
        <f t="shared" si="294"/>
        <v>0</v>
      </c>
    </row>
    <row r="6248" spans="50:52">
      <c r="AX6248" s="46">
        <f t="shared" si="292"/>
        <v>0</v>
      </c>
      <c r="AY6248" s="46">
        <f t="shared" si="293"/>
        <v>0</v>
      </c>
      <c r="AZ6248" s="46">
        <f t="shared" si="294"/>
        <v>0</v>
      </c>
    </row>
    <row r="6249" spans="50:52">
      <c r="AX6249" s="46">
        <f t="shared" si="292"/>
        <v>0</v>
      </c>
      <c r="AY6249" s="46">
        <f t="shared" si="293"/>
        <v>0</v>
      </c>
      <c r="AZ6249" s="46">
        <f t="shared" si="294"/>
        <v>0</v>
      </c>
    </row>
    <row r="6250" spans="50:52">
      <c r="AX6250" s="46">
        <f t="shared" si="292"/>
        <v>0</v>
      </c>
      <c r="AY6250" s="46">
        <f t="shared" si="293"/>
        <v>0</v>
      </c>
      <c r="AZ6250" s="46">
        <f t="shared" si="294"/>
        <v>0</v>
      </c>
    </row>
    <row r="6251" spans="50:52">
      <c r="AX6251" s="46">
        <f t="shared" si="292"/>
        <v>0</v>
      </c>
      <c r="AY6251" s="46">
        <f t="shared" si="293"/>
        <v>0</v>
      </c>
      <c r="AZ6251" s="46">
        <f t="shared" si="294"/>
        <v>0</v>
      </c>
    </row>
    <row r="6252" spans="50:52">
      <c r="AX6252" s="46">
        <f t="shared" si="292"/>
        <v>0</v>
      </c>
      <c r="AY6252" s="46">
        <f t="shared" si="293"/>
        <v>0</v>
      </c>
      <c r="AZ6252" s="46">
        <f t="shared" si="294"/>
        <v>0</v>
      </c>
    </row>
    <row r="6253" spans="50:52">
      <c r="AX6253" s="46">
        <f t="shared" si="292"/>
        <v>0</v>
      </c>
      <c r="AY6253" s="46">
        <f t="shared" si="293"/>
        <v>0</v>
      </c>
      <c r="AZ6253" s="46">
        <f t="shared" si="294"/>
        <v>0</v>
      </c>
    </row>
    <row r="6254" spans="50:52">
      <c r="AX6254" s="46">
        <f t="shared" si="292"/>
        <v>0</v>
      </c>
      <c r="AY6254" s="46">
        <f t="shared" si="293"/>
        <v>0</v>
      </c>
      <c r="AZ6254" s="46">
        <f t="shared" si="294"/>
        <v>0</v>
      </c>
    </row>
    <row r="6255" spans="50:52">
      <c r="AX6255" s="46">
        <f t="shared" si="292"/>
        <v>0</v>
      </c>
      <c r="AY6255" s="46">
        <f t="shared" si="293"/>
        <v>0</v>
      </c>
      <c r="AZ6255" s="46">
        <f t="shared" si="294"/>
        <v>0</v>
      </c>
    </row>
    <row r="6256" spans="50:52">
      <c r="AX6256" s="46">
        <f t="shared" si="292"/>
        <v>0</v>
      </c>
      <c r="AY6256" s="46">
        <f t="shared" si="293"/>
        <v>0</v>
      </c>
      <c r="AZ6256" s="46">
        <f t="shared" si="294"/>
        <v>0</v>
      </c>
    </row>
    <row r="6257" spans="50:52">
      <c r="AX6257" s="46">
        <f t="shared" si="292"/>
        <v>0</v>
      </c>
      <c r="AY6257" s="46">
        <f t="shared" si="293"/>
        <v>0</v>
      </c>
      <c r="AZ6257" s="46">
        <f t="shared" si="294"/>
        <v>0</v>
      </c>
    </row>
    <row r="6258" spans="50:52">
      <c r="AX6258" s="46">
        <f t="shared" si="292"/>
        <v>0</v>
      </c>
      <c r="AY6258" s="46">
        <f t="shared" si="293"/>
        <v>0</v>
      </c>
      <c r="AZ6258" s="46">
        <f t="shared" si="294"/>
        <v>0</v>
      </c>
    </row>
    <row r="6259" spans="50:52">
      <c r="AX6259" s="46">
        <f t="shared" si="292"/>
        <v>0</v>
      </c>
      <c r="AY6259" s="46">
        <f t="shared" si="293"/>
        <v>0</v>
      </c>
      <c r="AZ6259" s="46">
        <f t="shared" si="294"/>
        <v>0</v>
      </c>
    </row>
    <row r="6260" spans="50:52">
      <c r="AX6260" s="46">
        <f t="shared" si="292"/>
        <v>0</v>
      </c>
      <c r="AY6260" s="46">
        <f t="shared" si="293"/>
        <v>0</v>
      </c>
      <c r="AZ6260" s="46">
        <f t="shared" si="294"/>
        <v>0</v>
      </c>
    </row>
    <row r="6261" spans="50:52">
      <c r="AX6261" s="46">
        <f t="shared" si="292"/>
        <v>0</v>
      </c>
      <c r="AY6261" s="46">
        <f t="shared" si="293"/>
        <v>0</v>
      </c>
      <c r="AZ6261" s="46">
        <f t="shared" si="294"/>
        <v>0</v>
      </c>
    </row>
    <row r="6262" spans="50:52">
      <c r="AX6262" s="46">
        <f t="shared" si="292"/>
        <v>0</v>
      </c>
      <c r="AY6262" s="46">
        <f t="shared" si="293"/>
        <v>0</v>
      </c>
      <c r="AZ6262" s="46">
        <f t="shared" si="294"/>
        <v>0</v>
      </c>
    </row>
    <row r="6263" spans="50:52">
      <c r="AX6263" s="46">
        <f t="shared" si="292"/>
        <v>0</v>
      </c>
      <c r="AY6263" s="46">
        <f t="shared" si="293"/>
        <v>0</v>
      </c>
      <c r="AZ6263" s="46">
        <f t="shared" si="294"/>
        <v>0</v>
      </c>
    </row>
    <row r="6264" spans="50:52">
      <c r="AX6264" s="46">
        <f t="shared" si="292"/>
        <v>0</v>
      </c>
      <c r="AY6264" s="46">
        <f t="shared" si="293"/>
        <v>0</v>
      </c>
      <c r="AZ6264" s="46">
        <f t="shared" si="294"/>
        <v>0</v>
      </c>
    </row>
    <row r="6265" spans="50:52">
      <c r="AX6265" s="46">
        <f t="shared" si="292"/>
        <v>0</v>
      </c>
      <c r="AY6265" s="46">
        <f t="shared" si="293"/>
        <v>0</v>
      </c>
      <c r="AZ6265" s="46">
        <f t="shared" si="294"/>
        <v>0</v>
      </c>
    </row>
    <row r="6266" spans="50:52">
      <c r="AX6266" s="46">
        <f t="shared" si="292"/>
        <v>0</v>
      </c>
      <c r="AY6266" s="46">
        <f t="shared" si="293"/>
        <v>0</v>
      </c>
      <c r="AZ6266" s="46">
        <f t="shared" si="294"/>
        <v>0</v>
      </c>
    </row>
    <row r="6267" spans="50:52">
      <c r="AX6267" s="46">
        <f t="shared" si="292"/>
        <v>0</v>
      </c>
      <c r="AY6267" s="46">
        <f t="shared" si="293"/>
        <v>0</v>
      </c>
      <c r="AZ6267" s="46">
        <f t="shared" si="294"/>
        <v>0</v>
      </c>
    </row>
    <row r="6268" spans="50:52">
      <c r="AX6268" s="46">
        <f t="shared" si="292"/>
        <v>0</v>
      </c>
      <c r="AY6268" s="46">
        <f t="shared" si="293"/>
        <v>0</v>
      </c>
      <c r="AZ6268" s="46">
        <f t="shared" si="294"/>
        <v>0</v>
      </c>
    </row>
    <row r="6269" spans="50:52">
      <c r="AX6269" s="46">
        <f t="shared" si="292"/>
        <v>0</v>
      </c>
      <c r="AY6269" s="46">
        <f t="shared" si="293"/>
        <v>0</v>
      </c>
      <c r="AZ6269" s="46">
        <f t="shared" si="294"/>
        <v>0</v>
      </c>
    </row>
    <row r="6270" spans="50:52">
      <c r="AX6270" s="46">
        <f t="shared" si="292"/>
        <v>0</v>
      </c>
      <c r="AY6270" s="46">
        <f t="shared" si="293"/>
        <v>0</v>
      </c>
      <c r="AZ6270" s="46">
        <f t="shared" si="294"/>
        <v>0</v>
      </c>
    </row>
    <row r="6271" spans="50:52">
      <c r="AX6271" s="46">
        <f t="shared" si="292"/>
        <v>0</v>
      </c>
      <c r="AY6271" s="46">
        <f t="shared" si="293"/>
        <v>0</v>
      </c>
      <c r="AZ6271" s="46">
        <f t="shared" si="294"/>
        <v>0</v>
      </c>
    </row>
    <row r="6272" spans="50:52">
      <c r="AX6272" s="46">
        <f t="shared" si="292"/>
        <v>0</v>
      </c>
      <c r="AY6272" s="46">
        <f t="shared" si="293"/>
        <v>0</v>
      </c>
      <c r="AZ6272" s="46">
        <f t="shared" si="294"/>
        <v>0</v>
      </c>
    </row>
    <row r="6273" spans="50:52">
      <c r="AX6273" s="46">
        <f t="shared" si="292"/>
        <v>0</v>
      </c>
      <c r="AY6273" s="46">
        <f t="shared" si="293"/>
        <v>0</v>
      </c>
      <c r="AZ6273" s="46">
        <f t="shared" si="294"/>
        <v>0</v>
      </c>
    </row>
    <row r="6274" spans="50:52">
      <c r="AX6274" s="46">
        <f t="shared" si="292"/>
        <v>0</v>
      </c>
      <c r="AY6274" s="46">
        <f t="shared" si="293"/>
        <v>0</v>
      </c>
      <c r="AZ6274" s="46">
        <f t="shared" si="294"/>
        <v>0</v>
      </c>
    </row>
    <row r="6275" spans="50:52">
      <c r="AX6275" s="46">
        <f t="shared" si="292"/>
        <v>0</v>
      </c>
      <c r="AY6275" s="46">
        <f t="shared" si="293"/>
        <v>0</v>
      </c>
      <c r="AZ6275" s="46">
        <f t="shared" si="294"/>
        <v>0</v>
      </c>
    </row>
    <row r="6276" spans="50:52">
      <c r="AX6276" s="46">
        <f t="shared" si="292"/>
        <v>0</v>
      </c>
      <c r="AY6276" s="46">
        <f t="shared" si="293"/>
        <v>0</v>
      </c>
      <c r="AZ6276" s="46">
        <f t="shared" si="294"/>
        <v>0</v>
      </c>
    </row>
    <row r="6277" spans="50:52">
      <c r="AX6277" s="46">
        <f t="shared" si="292"/>
        <v>0</v>
      </c>
      <c r="AY6277" s="46">
        <f t="shared" si="293"/>
        <v>0</v>
      </c>
      <c r="AZ6277" s="46">
        <f t="shared" si="294"/>
        <v>0</v>
      </c>
    </row>
    <row r="6278" spans="50:52">
      <c r="AX6278" s="46">
        <f t="shared" si="292"/>
        <v>0</v>
      </c>
      <c r="AY6278" s="46">
        <f t="shared" si="293"/>
        <v>0</v>
      </c>
      <c r="AZ6278" s="46">
        <f t="shared" si="294"/>
        <v>0</v>
      </c>
    </row>
    <row r="6279" spans="50:52">
      <c r="AX6279" s="46">
        <f t="shared" si="292"/>
        <v>0</v>
      </c>
      <c r="AY6279" s="46">
        <f t="shared" si="293"/>
        <v>0</v>
      </c>
      <c r="AZ6279" s="46">
        <f t="shared" si="294"/>
        <v>0</v>
      </c>
    </row>
    <row r="6280" spans="50:52">
      <c r="AX6280" s="46">
        <f t="shared" si="292"/>
        <v>0</v>
      </c>
      <c r="AY6280" s="46">
        <f t="shared" si="293"/>
        <v>0</v>
      </c>
      <c r="AZ6280" s="46">
        <f t="shared" si="294"/>
        <v>0</v>
      </c>
    </row>
    <row r="6281" spans="50:52">
      <c r="AX6281" s="46">
        <f t="shared" si="292"/>
        <v>0</v>
      </c>
      <c r="AY6281" s="46">
        <f t="shared" si="293"/>
        <v>0</v>
      </c>
      <c r="AZ6281" s="46">
        <f t="shared" si="294"/>
        <v>0</v>
      </c>
    </row>
    <row r="6282" spans="50:52">
      <c r="AX6282" s="46">
        <f t="shared" si="292"/>
        <v>0</v>
      </c>
      <c r="AY6282" s="46">
        <f t="shared" si="293"/>
        <v>0</v>
      </c>
      <c r="AZ6282" s="46">
        <f t="shared" si="294"/>
        <v>0</v>
      </c>
    </row>
    <row r="6283" spans="50:52">
      <c r="AX6283" s="46">
        <f t="shared" ref="AX6283:AX6328" si="295">IFERROR(SUM(Q6283:AS6283)-SUM(AT6283:AU6283)+AV6283,"-")</f>
        <v>0</v>
      </c>
      <c r="AY6283" s="46">
        <f t="shared" ref="AY6283:AY6328" si="296">IFERROR(SUM(Q6283:AS6283)-SUM(AT6283:AT6283),"-")</f>
        <v>0</v>
      </c>
      <c r="AZ6283" s="46">
        <f t="shared" ref="AZ6283:AZ6328" si="297">SUM(Q6283:AS6283)</f>
        <v>0</v>
      </c>
    </row>
    <row r="6284" spans="50:52">
      <c r="AX6284" s="46">
        <f t="shared" si="295"/>
        <v>0</v>
      </c>
      <c r="AY6284" s="46">
        <f t="shared" si="296"/>
        <v>0</v>
      </c>
      <c r="AZ6284" s="46">
        <f t="shared" si="297"/>
        <v>0</v>
      </c>
    </row>
    <row r="6285" spans="50:52">
      <c r="AX6285" s="46">
        <f t="shared" si="295"/>
        <v>0</v>
      </c>
      <c r="AY6285" s="46">
        <f t="shared" si="296"/>
        <v>0</v>
      </c>
      <c r="AZ6285" s="46">
        <f t="shared" si="297"/>
        <v>0</v>
      </c>
    </row>
    <row r="6286" spans="50:52">
      <c r="AX6286" s="46">
        <f t="shared" si="295"/>
        <v>0</v>
      </c>
      <c r="AY6286" s="46">
        <f t="shared" si="296"/>
        <v>0</v>
      </c>
      <c r="AZ6286" s="46">
        <f t="shared" si="297"/>
        <v>0</v>
      </c>
    </row>
    <row r="6287" spans="50:52">
      <c r="AX6287" s="46">
        <f t="shared" si="295"/>
        <v>0</v>
      </c>
      <c r="AY6287" s="46">
        <f t="shared" si="296"/>
        <v>0</v>
      </c>
      <c r="AZ6287" s="46">
        <f t="shared" si="297"/>
        <v>0</v>
      </c>
    </row>
    <row r="6288" spans="50:52">
      <c r="AX6288" s="46">
        <f t="shared" si="295"/>
        <v>0</v>
      </c>
      <c r="AY6288" s="46">
        <f t="shared" si="296"/>
        <v>0</v>
      </c>
      <c r="AZ6288" s="46">
        <f t="shared" si="297"/>
        <v>0</v>
      </c>
    </row>
    <row r="6289" spans="50:52">
      <c r="AX6289" s="46">
        <f t="shared" si="295"/>
        <v>0</v>
      </c>
      <c r="AY6289" s="46">
        <f t="shared" si="296"/>
        <v>0</v>
      </c>
      <c r="AZ6289" s="46">
        <f t="shared" si="297"/>
        <v>0</v>
      </c>
    </row>
    <row r="6290" spans="50:52">
      <c r="AX6290" s="46">
        <f t="shared" si="295"/>
        <v>0</v>
      </c>
      <c r="AY6290" s="46">
        <f t="shared" si="296"/>
        <v>0</v>
      </c>
      <c r="AZ6290" s="46">
        <f t="shared" si="297"/>
        <v>0</v>
      </c>
    </row>
    <row r="6291" spans="50:52">
      <c r="AX6291" s="46">
        <f t="shared" si="295"/>
        <v>0</v>
      </c>
      <c r="AY6291" s="46">
        <f t="shared" si="296"/>
        <v>0</v>
      </c>
      <c r="AZ6291" s="46">
        <f t="shared" si="297"/>
        <v>0</v>
      </c>
    </row>
    <row r="6292" spans="50:52">
      <c r="AX6292" s="46">
        <f t="shared" si="295"/>
        <v>0</v>
      </c>
      <c r="AY6292" s="46">
        <f t="shared" si="296"/>
        <v>0</v>
      </c>
      <c r="AZ6292" s="46">
        <f t="shared" si="297"/>
        <v>0</v>
      </c>
    </row>
    <row r="6293" spans="50:52">
      <c r="AX6293" s="46">
        <f t="shared" si="295"/>
        <v>0</v>
      </c>
      <c r="AY6293" s="46">
        <f t="shared" si="296"/>
        <v>0</v>
      </c>
      <c r="AZ6293" s="46">
        <f t="shared" si="297"/>
        <v>0</v>
      </c>
    </row>
    <row r="6294" spans="50:52">
      <c r="AX6294" s="46">
        <f t="shared" si="295"/>
        <v>0</v>
      </c>
      <c r="AY6294" s="46">
        <f t="shared" si="296"/>
        <v>0</v>
      </c>
      <c r="AZ6294" s="46">
        <f t="shared" si="297"/>
        <v>0</v>
      </c>
    </row>
    <row r="6295" spans="50:52">
      <c r="AX6295" s="46">
        <f t="shared" si="295"/>
        <v>0</v>
      </c>
      <c r="AY6295" s="46">
        <f t="shared" si="296"/>
        <v>0</v>
      </c>
      <c r="AZ6295" s="46">
        <f t="shared" si="297"/>
        <v>0</v>
      </c>
    </row>
    <row r="6296" spans="50:52">
      <c r="AX6296" s="46">
        <f t="shared" si="295"/>
        <v>0</v>
      </c>
      <c r="AY6296" s="46">
        <f t="shared" si="296"/>
        <v>0</v>
      </c>
      <c r="AZ6296" s="46">
        <f t="shared" si="297"/>
        <v>0</v>
      </c>
    </row>
    <row r="6297" spans="50:52">
      <c r="AX6297" s="46">
        <f t="shared" si="295"/>
        <v>0</v>
      </c>
      <c r="AY6297" s="46">
        <f t="shared" si="296"/>
        <v>0</v>
      </c>
      <c r="AZ6297" s="46">
        <f t="shared" si="297"/>
        <v>0</v>
      </c>
    </row>
    <row r="6298" spans="50:52">
      <c r="AX6298" s="46">
        <f t="shared" si="295"/>
        <v>0</v>
      </c>
      <c r="AY6298" s="46">
        <f t="shared" si="296"/>
        <v>0</v>
      </c>
      <c r="AZ6298" s="46">
        <f t="shared" si="297"/>
        <v>0</v>
      </c>
    </row>
    <row r="6299" spans="50:52">
      <c r="AX6299" s="46">
        <f t="shared" si="295"/>
        <v>0</v>
      </c>
      <c r="AY6299" s="46">
        <f t="shared" si="296"/>
        <v>0</v>
      </c>
      <c r="AZ6299" s="46">
        <f t="shared" si="297"/>
        <v>0</v>
      </c>
    </row>
    <row r="6300" spans="50:52">
      <c r="AX6300" s="46">
        <f t="shared" si="295"/>
        <v>0</v>
      </c>
      <c r="AY6300" s="46">
        <f t="shared" si="296"/>
        <v>0</v>
      </c>
      <c r="AZ6300" s="46">
        <f t="shared" si="297"/>
        <v>0</v>
      </c>
    </row>
    <row r="6301" spans="50:52">
      <c r="AX6301" s="46">
        <f t="shared" si="295"/>
        <v>0</v>
      </c>
      <c r="AY6301" s="46">
        <f t="shared" si="296"/>
        <v>0</v>
      </c>
      <c r="AZ6301" s="46">
        <f t="shared" si="297"/>
        <v>0</v>
      </c>
    </row>
    <row r="6302" spans="50:52">
      <c r="AX6302" s="46">
        <f t="shared" si="295"/>
        <v>0</v>
      </c>
      <c r="AY6302" s="46">
        <f t="shared" si="296"/>
        <v>0</v>
      </c>
      <c r="AZ6302" s="46">
        <f t="shared" si="297"/>
        <v>0</v>
      </c>
    </row>
    <row r="6303" spans="50:52">
      <c r="AX6303" s="46">
        <f t="shared" si="295"/>
        <v>0</v>
      </c>
      <c r="AY6303" s="46">
        <f t="shared" si="296"/>
        <v>0</v>
      </c>
      <c r="AZ6303" s="46">
        <f t="shared" si="297"/>
        <v>0</v>
      </c>
    </row>
    <row r="6304" spans="50:52">
      <c r="AX6304" s="46">
        <f t="shared" si="295"/>
        <v>0</v>
      </c>
      <c r="AY6304" s="46">
        <f t="shared" si="296"/>
        <v>0</v>
      </c>
      <c r="AZ6304" s="46">
        <f t="shared" si="297"/>
        <v>0</v>
      </c>
    </row>
    <row r="6305" spans="50:52">
      <c r="AX6305" s="46">
        <f t="shared" si="295"/>
        <v>0</v>
      </c>
      <c r="AY6305" s="46">
        <f t="shared" si="296"/>
        <v>0</v>
      </c>
      <c r="AZ6305" s="46">
        <f t="shared" si="297"/>
        <v>0</v>
      </c>
    </row>
    <row r="6306" spans="50:52">
      <c r="AX6306" s="46">
        <f t="shared" si="295"/>
        <v>0</v>
      </c>
      <c r="AY6306" s="46">
        <f t="shared" si="296"/>
        <v>0</v>
      </c>
      <c r="AZ6306" s="46">
        <f t="shared" si="297"/>
        <v>0</v>
      </c>
    </row>
    <row r="6307" spans="50:52">
      <c r="AX6307" s="46">
        <f t="shared" si="295"/>
        <v>0</v>
      </c>
      <c r="AY6307" s="46">
        <f t="shared" si="296"/>
        <v>0</v>
      </c>
      <c r="AZ6307" s="46">
        <f t="shared" si="297"/>
        <v>0</v>
      </c>
    </row>
    <row r="6308" spans="50:52">
      <c r="AX6308" s="46">
        <f t="shared" si="295"/>
        <v>0</v>
      </c>
      <c r="AY6308" s="46">
        <f t="shared" si="296"/>
        <v>0</v>
      </c>
      <c r="AZ6308" s="46">
        <f t="shared" si="297"/>
        <v>0</v>
      </c>
    </row>
    <row r="6309" spans="50:52">
      <c r="AX6309" s="46">
        <f t="shared" si="295"/>
        <v>0</v>
      </c>
      <c r="AY6309" s="46">
        <f t="shared" si="296"/>
        <v>0</v>
      </c>
      <c r="AZ6309" s="46">
        <f t="shared" si="297"/>
        <v>0</v>
      </c>
    </row>
    <row r="6310" spans="50:52">
      <c r="AX6310" s="46">
        <f t="shared" si="295"/>
        <v>0</v>
      </c>
      <c r="AY6310" s="46">
        <f t="shared" si="296"/>
        <v>0</v>
      </c>
      <c r="AZ6310" s="46">
        <f t="shared" si="297"/>
        <v>0</v>
      </c>
    </row>
    <row r="6311" spans="50:52">
      <c r="AX6311" s="46">
        <f t="shared" si="295"/>
        <v>0</v>
      </c>
      <c r="AY6311" s="46">
        <f t="shared" si="296"/>
        <v>0</v>
      </c>
      <c r="AZ6311" s="46">
        <f t="shared" si="297"/>
        <v>0</v>
      </c>
    </row>
    <row r="6312" spans="50:52">
      <c r="AX6312" s="46">
        <f t="shared" si="295"/>
        <v>0</v>
      </c>
      <c r="AY6312" s="46">
        <f t="shared" si="296"/>
        <v>0</v>
      </c>
      <c r="AZ6312" s="46">
        <f t="shared" si="297"/>
        <v>0</v>
      </c>
    </row>
    <row r="6313" spans="50:52">
      <c r="AX6313" s="46">
        <f t="shared" si="295"/>
        <v>0</v>
      </c>
      <c r="AY6313" s="46">
        <f t="shared" si="296"/>
        <v>0</v>
      </c>
      <c r="AZ6313" s="46">
        <f t="shared" si="297"/>
        <v>0</v>
      </c>
    </row>
    <row r="6314" spans="50:52">
      <c r="AX6314" s="46">
        <f t="shared" si="295"/>
        <v>0</v>
      </c>
      <c r="AY6314" s="46">
        <f t="shared" si="296"/>
        <v>0</v>
      </c>
      <c r="AZ6314" s="46">
        <f t="shared" si="297"/>
        <v>0</v>
      </c>
    </row>
    <row r="6315" spans="50:52">
      <c r="AX6315" s="46">
        <f t="shared" si="295"/>
        <v>0</v>
      </c>
      <c r="AY6315" s="46">
        <f t="shared" si="296"/>
        <v>0</v>
      </c>
      <c r="AZ6315" s="46">
        <f t="shared" si="297"/>
        <v>0</v>
      </c>
    </row>
    <row r="6316" spans="50:52">
      <c r="AX6316" s="46">
        <f t="shared" si="295"/>
        <v>0</v>
      </c>
      <c r="AY6316" s="46">
        <f t="shared" si="296"/>
        <v>0</v>
      </c>
      <c r="AZ6316" s="46">
        <f t="shared" si="297"/>
        <v>0</v>
      </c>
    </row>
    <row r="6317" spans="50:52">
      <c r="AX6317" s="46">
        <f t="shared" si="295"/>
        <v>0</v>
      </c>
      <c r="AY6317" s="46">
        <f t="shared" si="296"/>
        <v>0</v>
      </c>
      <c r="AZ6317" s="46">
        <f t="shared" si="297"/>
        <v>0</v>
      </c>
    </row>
    <row r="6318" spans="50:52">
      <c r="AX6318" s="46">
        <f t="shared" si="295"/>
        <v>0</v>
      </c>
      <c r="AY6318" s="46">
        <f t="shared" si="296"/>
        <v>0</v>
      </c>
      <c r="AZ6318" s="46">
        <f t="shared" si="297"/>
        <v>0</v>
      </c>
    </row>
    <row r="6319" spans="50:52">
      <c r="AX6319" s="46">
        <f t="shared" si="295"/>
        <v>0</v>
      </c>
      <c r="AY6319" s="46">
        <f t="shared" si="296"/>
        <v>0</v>
      </c>
      <c r="AZ6319" s="46">
        <f t="shared" si="297"/>
        <v>0</v>
      </c>
    </row>
    <row r="6320" spans="50:52">
      <c r="AX6320" s="46">
        <f t="shared" si="295"/>
        <v>0</v>
      </c>
      <c r="AY6320" s="46">
        <f t="shared" si="296"/>
        <v>0</v>
      </c>
      <c r="AZ6320" s="46">
        <f t="shared" si="297"/>
        <v>0</v>
      </c>
    </row>
    <row r="6321" spans="50:52">
      <c r="AX6321" s="46">
        <f t="shared" si="295"/>
        <v>0</v>
      </c>
      <c r="AY6321" s="46">
        <f t="shared" si="296"/>
        <v>0</v>
      </c>
      <c r="AZ6321" s="46">
        <f t="shared" si="297"/>
        <v>0</v>
      </c>
    </row>
    <row r="6322" spans="50:52">
      <c r="AX6322" s="46">
        <f t="shared" si="295"/>
        <v>0</v>
      </c>
      <c r="AY6322" s="46">
        <f t="shared" si="296"/>
        <v>0</v>
      </c>
      <c r="AZ6322" s="46">
        <f t="shared" si="297"/>
        <v>0</v>
      </c>
    </row>
    <row r="6323" spans="50:52">
      <c r="AX6323" s="46">
        <f t="shared" si="295"/>
        <v>0</v>
      </c>
      <c r="AY6323" s="46">
        <f t="shared" si="296"/>
        <v>0</v>
      </c>
      <c r="AZ6323" s="46">
        <f t="shared" si="297"/>
        <v>0</v>
      </c>
    </row>
    <row r="6324" spans="50:52">
      <c r="AX6324" s="46">
        <f t="shared" si="295"/>
        <v>0</v>
      </c>
      <c r="AY6324" s="46">
        <f t="shared" si="296"/>
        <v>0</v>
      </c>
      <c r="AZ6324" s="46">
        <f t="shared" si="297"/>
        <v>0</v>
      </c>
    </row>
    <row r="6325" spans="50:52">
      <c r="AX6325" s="46">
        <f t="shared" si="295"/>
        <v>0</v>
      </c>
      <c r="AY6325" s="46">
        <f t="shared" si="296"/>
        <v>0</v>
      </c>
      <c r="AZ6325" s="46">
        <f t="shared" si="297"/>
        <v>0</v>
      </c>
    </row>
    <row r="6326" spans="50:52">
      <c r="AX6326" s="46">
        <f t="shared" si="295"/>
        <v>0</v>
      </c>
      <c r="AY6326" s="46">
        <f t="shared" si="296"/>
        <v>0</v>
      </c>
      <c r="AZ6326" s="46">
        <f t="shared" si="297"/>
        <v>0</v>
      </c>
    </row>
    <row r="6327" spans="50:52">
      <c r="AX6327" s="46">
        <f t="shared" si="295"/>
        <v>0</v>
      </c>
      <c r="AY6327" s="46">
        <f t="shared" si="296"/>
        <v>0</v>
      </c>
      <c r="AZ6327" s="46">
        <f t="shared" si="297"/>
        <v>0</v>
      </c>
    </row>
    <row r="6328" spans="50:52">
      <c r="AX6328" s="46">
        <f t="shared" si="295"/>
        <v>0</v>
      </c>
      <c r="AY6328" s="46">
        <f t="shared" si="296"/>
        <v>0</v>
      </c>
      <c r="AZ6328" s="46">
        <f t="shared" si="297"/>
        <v>0</v>
      </c>
    </row>
  </sheetData>
  <mergeCells count="2">
    <mergeCell ref="G5:I6"/>
    <mergeCell ref="G2:I3"/>
  </mergeCells>
  <phoneticPr fontId="1" type="noConversion"/>
  <pageMargins left="0.7" right="0.7" top="0.75" bottom="0.75" header="0.3" footer="0.3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D3"/>
  <sheetViews>
    <sheetView zoomScale="55" zoomScaleNormal="55" workbookViewId="0">
      <pane ySplit="2" topLeftCell="A3" activePane="bottomLeft" state="frozen"/>
      <selection pane="bottomLeft" activeCell="B2" sqref="B2"/>
    </sheetView>
  </sheetViews>
  <sheetFormatPr defaultRowHeight="16.5"/>
  <cols>
    <col min="2" max="2" width="15.25" customWidth="1"/>
    <col min="3" max="3" width="39.625" customWidth="1"/>
    <col min="4" max="4" width="19.25" customWidth="1"/>
    <col min="5" max="6" width="10.5" bestFit="1" customWidth="1"/>
    <col min="7" max="7" width="23.875" customWidth="1"/>
    <col min="8" max="8" width="14.25" customWidth="1"/>
    <col min="9" max="9" width="20.25" customWidth="1"/>
    <col min="10" max="10" width="18.25" customWidth="1"/>
    <col min="11" max="11" width="13" customWidth="1"/>
    <col min="12" max="12" width="13.25" customWidth="1"/>
    <col min="13" max="13" width="10.875" customWidth="1"/>
    <col min="14" max="18" width="10.75" customWidth="1"/>
    <col min="19" max="19" width="9.375" customWidth="1"/>
    <col min="20" max="20" width="7.75" customWidth="1"/>
    <col min="21" max="21" width="16.875" customWidth="1"/>
    <col min="22" max="22" width="15.25" customWidth="1"/>
    <col min="23" max="23" width="8.625" customWidth="1"/>
    <col min="24" max="25" width="6.375" customWidth="1"/>
    <col min="26" max="26" width="9.625" customWidth="1"/>
    <col min="27" max="27" width="12.125" customWidth="1"/>
    <col min="30" max="30" width="16" style="81" customWidth="1"/>
  </cols>
  <sheetData>
    <row r="2" spans="2:30" ht="17.25" thickBot="1">
      <c r="B2" s="101" t="s">
        <v>62</v>
      </c>
      <c r="C2" s="101" t="s">
        <v>63</v>
      </c>
      <c r="D2" s="101" t="s">
        <v>64</v>
      </c>
      <c r="E2" s="108" t="s">
        <v>95</v>
      </c>
      <c r="F2" s="101" t="s">
        <v>58</v>
      </c>
      <c r="G2" s="101" t="s">
        <v>96</v>
      </c>
      <c r="H2" s="101" t="s">
        <v>97</v>
      </c>
      <c r="I2" s="101" t="s">
        <v>98</v>
      </c>
      <c r="J2" s="101" t="s">
        <v>99</v>
      </c>
      <c r="K2" s="101" t="s">
        <v>65</v>
      </c>
      <c r="L2" s="101" t="s">
        <v>66</v>
      </c>
      <c r="M2" s="101" t="s">
        <v>62</v>
      </c>
      <c r="N2" s="101" t="s">
        <v>90</v>
      </c>
      <c r="O2" s="101" t="s">
        <v>136</v>
      </c>
      <c r="P2" s="101" t="s">
        <v>137</v>
      </c>
      <c r="Q2" s="101" t="s">
        <v>149</v>
      </c>
      <c r="R2" s="140" t="s">
        <v>100</v>
      </c>
      <c r="S2" s="140" t="s">
        <v>146</v>
      </c>
      <c r="T2" s="140" t="s">
        <v>94</v>
      </c>
      <c r="U2" s="140" t="s">
        <v>101</v>
      </c>
      <c r="V2" s="140" t="s">
        <v>102</v>
      </c>
      <c r="W2" s="140" t="s">
        <v>103</v>
      </c>
      <c r="X2" s="140" t="s">
        <v>147</v>
      </c>
      <c r="Y2" s="140" t="s">
        <v>148</v>
      </c>
      <c r="Z2" s="140" t="s">
        <v>118</v>
      </c>
      <c r="AA2" s="140" t="s">
        <v>104</v>
      </c>
    </row>
    <row r="3" spans="2:30" ht="17.25" thickBot="1">
      <c r="AC3" s="83" t="s">
        <v>77</v>
      </c>
      <c r="AD3" s="82">
        <f>SUM(AA3:AA393)</f>
        <v>0</v>
      </c>
    </row>
  </sheetData>
  <phoneticPr fontId="1" type="noConversion"/>
  <conditionalFormatting sqref="C2">
    <cfRule type="duplicateValues" dxfId="5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2"/>
  <sheetViews>
    <sheetView zoomScale="55" zoomScaleNormal="55" workbookViewId="0">
      <pane ySplit="2" topLeftCell="A3" activePane="bottomLeft" state="frozen"/>
      <selection pane="bottomLeft" activeCell="B2" sqref="B2"/>
    </sheetView>
  </sheetViews>
  <sheetFormatPr defaultRowHeight="16.5"/>
  <cols>
    <col min="2" max="2" width="15.875" bestFit="1" customWidth="1"/>
    <col min="3" max="3" width="15.5" bestFit="1" customWidth="1"/>
    <col min="5" max="5" width="36.875" bestFit="1" customWidth="1"/>
    <col min="6" max="6" width="12.25" bestFit="1" customWidth="1"/>
    <col min="7" max="8" width="9.25" bestFit="1" customWidth="1"/>
    <col min="9" max="9" width="13.5" bestFit="1" customWidth="1"/>
    <col min="10" max="10" width="14.625" bestFit="1" customWidth="1"/>
    <col min="11" max="11" width="11.5" bestFit="1" customWidth="1"/>
    <col min="12" max="12" width="40.75" bestFit="1" customWidth="1"/>
    <col min="13" max="13" width="10.625" bestFit="1" customWidth="1"/>
    <col min="14" max="14" width="11" bestFit="1" customWidth="1"/>
    <col min="15" max="15" width="11.75" bestFit="1" customWidth="1"/>
    <col min="16" max="16" width="13.875" bestFit="1" customWidth="1"/>
    <col min="17" max="17" width="30" customWidth="1"/>
  </cols>
  <sheetData>
    <row r="2" spans="2:17">
      <c r="B2" s="97" t="s">
        <v>57</v>
      </c>
      <c r="C2" s="97" t="s">
        <v>58</v>
      </c>
      <c r="D2" s="97"/>
      <c r="E2" s="97" t="s">
        <v>59</v>
      </c>
      <c r="F2" s="97" t="s">
        <v>0</v>
      </c>
      <c r="G2" s="97" t="s">
        <v>1</v>
      </c>
      <c r="H2" s="97" t="s">
        <v>2</v>
      </c>
      <c r="I2" s="97" t="s">
        <v>3</v>
      </c>
      <c r="J2" s="97" t="s">
        <v>60</v>
      </c>
      <c r="K2" s="97" t="s">
        <v>4</v>
      </c>
      <c r="L2" s="97" t="s">
        <v>61</v>
      </c>
      <c r="M2" s="97" t="s">
        <v>5</v>
      </c>
      <c r="N2" s="97" t="s">
        <v>6</v>
      </c>
      <c r="O2" s="97" t="s">
        <v>71</v>
      </c>
      <c r="P2" s="97" t="s">
        <v>72</v>
      </c>
      <c r="Q2" s="97" t="s">
        <v>73</v>
      </c>
    </row>
  </sheetData>
  <phoneticPr fontId="1" type="noConversion"/>
  <conditionalFormatting sqref="C2">
    <cfRule type="duplicateValues" dxfId="4" priority="3"/>
    <cfRule type="duplicateValues" dxfId="3" priority="4"/>
    <cfRule type="duplicateValues" dxfId="2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3"/>
  <sheetViews>
    <sheetView zoomScale="70" zoomScaleNormal="70" workbookViewId="0">
      <selection activeCell="B2" sqref="B2"/>
    </sheetView>
  </sheetViews>
  <sheetFormatPr defaultRowHeight="16.5"/>
  <cols>
    <col min="2" max="8" width="14.625" customWidth="1"/>
    <col min="9" max="9" width="74.375" customWidth="1"/>
    <col min="12" max="12" width="12.875" style="93" customWidth="1"/>
  </cols>
  <sheetData>
    <row r="2" spans="2:12" ht="17.25" thickBot="1">
      <c r="B2" s="95" t="s">
        <v>57</v>
      </c>
      <c r="C2" s="95" t="s">
        <v>59</v>
      </c>
      <c r="D2" s="95" t="s">
        <v>4</v>
      </c>
      <c r="E2" s="95" t="s">
        <v>74</v>
      </c>
      <c r="F2" s="95" t="s">
        <v>5</v>
      </c>
      <c r="G2" s="95" t="s">
        <v>6</v>
      </c>
      <c r="H2" s="96" t="s">
        <v>71</v>
      </c>
      <c r="I2" s="95" t="s">
        <v>73</v>
      </c>
    </row>
    <row r="3" spans="2:12" ht="17.25" thickBot="1">
      <c r="K3" s="98" t="s">
        <v>85</v>
      </c>
      <c r="L3" s="94">
        <f>SUM(H3:H150)</f>
        <v>0</v>
      </c>
    </row>
  </sheetData>
  <phoneticPr fontId="1" type="noConversion"/>
  <conditionalFormatting sqref="E2">
    <cfRule type="duplicateValues" dxfId="1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4"/>
  <sheetViews>
    <sheetView zoomScale="85" zoomScaleNormal="85" workbookViewId="0">
      <selection activeCell="B2" sqref="B2"/>
    </sheetView>
  </sheetViews>
  <sheetFormatPr defaultRowHeight="16.5"/>
  <cols>
    <col min="15" max="17" width="9" style="81"/>
    <col min="21" max="23" width="9" style="81"/>
  </cols>
  <sheetData>
    <row r="2" spans="2:23">
      <c r="B2" s="116" t="s">
        <v>108</v>
      </c>
      <c r="C2" s="117" t="s">
        <v>58</v>
      </c>
      <c r="D2" s="116"/>
      <c r="E2" s="116" t="s">
        <v>59</v>
      </c>
      <c r="F2" s="118" t="s">
        <v>0</v>
      </c>
      <c r="G2" s="118" t="s">
        <v>1</v>
      </c>
      <c r="H2" s="116" t="s">
        <v>2</v>
      </c>
      <c r="I2" s="116" t="s">
        <v>3</v>
      </c>
      <c r="J2" s="116" t="s">
        <v>60</v>
      </c>
      <c r="K2" s="116" t="s">
        <v>4</v>
      </c>
      <c r="L2" s="116" t="s">
        <v>61</v>
      </c>
      <c r="M2" s="116" t="s">
        <v>5</v>
      </c>
      <c r="N2" s="116" t="s">
        <v>6</v>
      </c>
      <c r="O2" s="124" t="s">
        <v>109</v>
      </c>
      <c r="P2" s="124" t="s">
        <v>110</v>
      </c>
      <c r="Q2" s="124" t="s">
        <v>111</v>
      </c>
      <c r="R2" s="116" t="s">
        <v>72</v>
      </c>
      <c r="S2" s="116" t="s">
        <v>73</v>
      </c>
    </row>
    <row r="3" spans="2:23">
      <c r="U3" s="125" t="s">
        <v>109</v>
      </c>
      <c r="V3" s="125" t="s">
        <v>110</v>
      </c>
      <c r="W3" s="125" t="s">
        <v>111</v>
      </c>
    </row>
    <row r="4" spans="2:23">
      <c r="U4" s="126">
        <f>SUM($O:$O)</f>
        <v>0</v>
      </c>
      <c r="V4" s="126">
        <f>SUM($P:$P)</f>
        <v>0</v>
      </c>
      <c r="W4" s="126">
        <f>SUM($Q:$Q)</f>
        <v>0</v>
      </c>
    </row>
  </sheetData>
  <phoneticPr fontId="1" type="noConversion"/>
  <conditionalFormatting sqref="C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수수료 정산 내역서</vt:lpstr>
      <vt:lpstr>정산리스트</vt:lpstr>
      <vt:lpstr>홈정산</vt:lpstr>
      <vt:lpstr>환수내용</vt:lpstr>
      <vt:lpstr>단말이상</vt:lpstr>
      <vt:lpstr>소급분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ss99</dc:creator>
  <cp:lastModifiedBy>Windows 사용자</cp:lastModifiedBy>
  <cp:lastPrinted>2020-04-07T02:53:07Z</cp:lastPrinted>
  <dcterms:created xsi:type="dcterms:W3CDTF">2020-04-06T12:04:04Z</dcterms:created>
  <dcterms:modified xsi:type="dcterms:W3CDTF">2025-12-17T10:21:24Z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C:\Users\user\Desktop\정산모음\22년02월\2월 정산마무리\수석네트웍스_ - 복사본.xlsx</vt:lpwstr>
  </property>
</Properties>
</file>